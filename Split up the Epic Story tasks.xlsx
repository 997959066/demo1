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db7aa1af50ca40c2" Type="http://schemas.microsoft.com/office/2007/relationships/ui/extensibility" Target="customUI/customUI14.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updateLinks="always" codeName="ThisWorkbook"/>
  <mc:AlternateContent xmlns:mc="http://schemas.openxmlformats.org/markup-compatibility/2006">
    <mc:Choice Requires="x15">
      <x15ac:absPath xmlns:x15ac="http://schemas.microsoft.com/office/spreadsheetml/2010/11/ac" url="/Users/xiaoyu/demo1/"/>
    </mc:Choice>
  </mc:AlternateContent>
  <xr:revisionPtr revIDLastSave="0" documentId="13_ncr:1_{53739A72-271E-0E48-ABDF-485407EABFD6}" xr6:coauthVersionLast="47" xr6:coauthVersionMax="47" xr10:uidLastSave="{00000000-0000-0000-0000-000000000000}"/>
  <bookViews>
    <workbookView xWindow="30860" yWindow="2640" windowWidth="37460" windowHeight="19880" xr2:uid="{00000000-000D-0000-FFFF-FFFF00000000}"/>
  </bookViews>
  <sheets>
    <sheet name="DE_Cost" sheetId="56" r:id="rId1"/>
    <sheet name="Cost Breakdown" sheetId="69" r:id="rId2"/>
    <sheet name="BRD &amp; EPIC (2)" sheetId="71" r:id="rId3"/>
    <sheet name="1_Standard Part" sheetId="72" r:id="rId4"/>
    <sheet name="2_Customize Part" sheetId="73" r:id="rId5"/>
    <sheet name="BRD &amp; EPIC" sheetId="74" r:id="rId6"/>
    <sheet name="Rate" sheetId="21" state="hidden" r:id="rId7"/>
  </sheets>
  <definedNames>
    <definedName name="_xlnm._FilterDatabase" localSheetId="5" hidden="1">'BRD &amp; EPIC'!$V$6:$AD$296</definedName>
    <definedName name="_xlnm._FilterDatabase" localSheetId="2" hidden="1">'BRD &amp; EPIC (2)'!$X$6:$AC$296</definedName>
    <definedName name="_xlnm._FilterDatabase" localSheetId="1" hidden="1">'Cost Breakdown'!$A$4:$U$5</definedName>
    <definedName name="Actual_Expenses">#REF!</definedName>
    <definedName name="Actual_Income">#REF!</definedName>
    <definedName name="Centralize" localSheetId="5">'BRD &amp; EPIC'!#REF!</definedName>
    <definedName name="Centralize" localSheetId="2">'BRD &amp; EPIC (2)'!#REF!</definedName>
    <definedName name="Centralize">#REF!</definedName>
    <definedName name="ColumnTitle1">#REF!</definedName>
    <definedName name="ColumnTitleRegion1..B4.1">#REF!</definedName>
    <definedName name="ColumnTitleRegion2..C9.1">#REF!</definedName>
    <definedName name="Company_Name">#REF!</definedName>
    <definedName name="Create_and_edit_plan" localSheetId="5">'BRD &amp; EPIC'!#REF!</definedName>
    <definedName name="Create_and_edit_plan" localSheetId="2">'BRD &amp; EPIC (2)'!#REF!</definedName>
    <definedName name="Create_and_edit_plan">#REF!</definedName>
    <definedName name="List_Categories">#REF!</definedName>
    <definedName name="Map_view_and_route" localSheetId="5">'BRD &amp; EPIC'!#REF!</definedName>
    <definedName name="Map_view_and_route" localSheetId="2">'BRD &amp; EPIC (2)'!#REF!</definedName>
    <definedName name="Map_view_and_route">#REF!</definedName>
    <definedName name="_xlnm.Print_Area" localSheetId="5">'BRD &amp; EPIC'!$B$1:$F$164</definedName>
    <definedName name="_xlnm.Print_Area" localSheetId="2">'BRD &amp; EPIC (2)'!$B$1:$F$164</definedName>
    <definedName name="Projected_Expenses">#REF!</definedName>
    <definedName name="Projected_Income">#REF!</definedName>
    <definedName name="Rule_based_upsell_capability" localSheetId="5">'BRD &amp; EPIC'!#REF!</definedName>
    <definedName name="Rule_based_upsell_capability" localSheetId="2">'BRD &amp; EPIC (2)'!#REF!</definedName>
    <definedName name="Rule_based_upsell_capability">#REF!</definedName>
    <definedName name="SHDR_Options" localSheetId="3">'1_Standard Part'!#REF!</definedName>
    <definedName name="SHDR_Options" localSheetId="5">#REF!</definedName>
    <definedName name="SHDR_Options" localSheetId="2">#REF!</definedName>
    <definedName name="SHDR_Options" localSheetId="1">#REF!</definedName>
    <definedName name="SHDR_Options">#REF!</definedName>
    <definedName name="US_Options" localSheetId="3">'1_Standard Part'!#REF!</definedName>
    <definedName name="US_Options" localSheetId="5">#REF!</definedName>
    <definedName name="US_Options" localSheetId="2">#REF!</definedName>
    <definedName name="US_Options" localSheetId="1">#REF!</definedName>
    <definedName name="US_Options">#REF!</definedName>
    <definedName name="Vendor_Options" localSheetId="3">'1_Standard Part'!#REF!</definedName>
    <definedName name="Vendor_Options" localSheetId="5">#REF!</definedName>
    <definedName name="Vendor_Options" localSheetId="2">#REF!</definedName>
    <definedName name="Vendor_Options" localSheetId="1">#REF!</definedName>
    <definedName name="Vendor_Options">#REF!</definedName>
    <definedName name="WeekStart" localSheetId="5">'BRD &amp; EPIC'!#REF!</definedName>
    <definedName name="WeekStart" localSheetId="2">'BRD &amp; EPIC (2)'!#REF!</definedName>
  </definedNames>
  <calcPr calcId="191029"/>
  <pivotCaches>
    <pivotCache cacheId="2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74" l="1"/>
  <c r="X7" i="74"/>
  <c r="Y7" i="74" s="1"/>
  <c r="X8" i="74"/>
  <c r="Y8" i="74" s="1"/>
  <c r="X9" i="74"/>
  <c r="Y9" i="74" s="1"/>
  <c r="X10" i="74"/>
  <c r="Y10" i="74" s="1"/>
  <c r="X11" i="74"/>
  <c r="Y11" i="74" s="1"/>
  <c r="X12" i="74"/>
  <c r="Y12" i="74" s="1"/>
  <c r="X13" i="74"/>
  <c r="Y13" i="74" s="1"/>
  <c r="X14" i="74"/>
  <c r="Y14" i="74" s="1"/>
  <c r="X15" i="74"/>
  <c r="Y15" i="74" s="1"/>
  <c r="X16" i="74"/>
  <c r="Y16" i="74" s="1"/>
  <c r="X17" i="74"/>
  <c r="Y17" i="74" s="1"/>
  <c r="X18" i="74"/>
  <c r="Y18" i="74" s="1"/>
  <c r="X19" i="74"/>
  <c r="Y19" i="74" s="1"/>
  <c r="X20" i="74"/>
  <c r="Y20" i="74" s="1"/>
  <c r="X21" i="74"/>
  <c r="Y21" i="74" s="1"/>
  <c r="X22" i="74"/>
  <c r="Y22" i="74" s="1"/>
  <c r="X23" i="74"/>
  <c r="Y23" i="74" s="1"/>
  <c r="X24" i="74"/>
  <c r="Y24" i="74" s="1"/>
  <c r="X25" i="74"/>
  <c r="Y25" i="74" s="1"/>
  <c r="X26" i="74"/>
  <c r="Y26" i="74" s="1"/>
  <c r="X27" i="74"/>
  <c r="Y27" i="74" s="1"/>
  <c r="X28" i="74"/>
  <c r="Y28" i="74" s="1"/>
  <c r="X29" i="74"/>
  <c r="Y29" i="74" s="1"/>
  <c r="X30" i="74"/>
  <c r="Y30" i="74" s="1"/>
  <c r="X31" i="74"/>
  <c r="Y31" i="74" s="1"/>
  <c r="X32" i="74"/>
  <c r="Y32" i="74" s="1"/>
  <c r="X33" i="74"/>
  <c r="Y33" i="74" s="1"/>
  <c r="X34" i="74"/>
  <c r="Y34" i="74" s="1"/>
  <c r="X37" i="74"/>
  <c r="Y37" i="74" s="1"/>
  <c r="X38" i="74"/>
  <c r="Y38" i="74" s="1"/>
  <c r="X39" i="74"/>
  <c r="Y39" i="74" s="1"/>
  <c r="X40" i="74"/>
  <c r="Y40" i="74" s="1"/>
  <c r="X41" i="74"/>
  <c r="Y41" i="74" s="1"/>
  <c r="X42" i="74"/>
  <c r="Y42" i="74" s="1"/>
  <c r="X43" i="74"/>
  <c r="Y43" i="74" s="1"/>
  <c r="X44" i="74"/>
  <c r="Y44" i="74" s="1"/>
  <c r="X45" i="74"/>
  <c r="Y45" i="74" s="1"/>
  <c r="X46" i="74"/>
  <c r="Y46" i="74" s="1"/>
  <c r="X47" i="74"/>
  <c r="Y47" i="74" s="1"/>
  <c r="X48" i="74"/>
  <c r="Y48" i="74" s="1"/>
  <c r="X49" i="74"/>
  <c r="Y49" i="74" s="1"/>
  <c r="X50" i="74"/>
  <c r="Y50" i="74" s="1"/>
  <c r="X51" i="74"/>
  <c r="Y51" i="74" s="1"/>
  <c r="X52" i="74"/>
  <c r="Y52" i="74" s="1"/>
  <c r="X53" i="74"/>
  <c r="Y53" i="74" s="1"/>
  <c r="X54" i="74"/>
  <c r="Y54" i="74" s="1"/>
  <c r="X55" i="74"/>
  <c r="Y55" i="74" s="1"/>
  <c r="X56" i="74"/>
  <c r="Y56" i="74" s="1"/>
  <c r="X57" i="74"/>
  <c r="Y57" i="74" s="1"/>
  <c r="X58" i="74"/>
  <c r="Y58" i="74" s="1"/>
  <c r="X59" i="74"/>
  <c r="Y59" i="74" s="1"/>
  <c r="X60" i="74"/>
  <c r="Y60" i="74" s="1"/>
  <c r="X61" i="74"/>
  <c r="Y61" i="74" s="1"/>
  <c r="X62" i="74"/>
  <c r="Y62" i="74" s="1"/>
  <c r="X63" i="74"/>
  <c r="Y63" i="74" s="1"/>
  <c r="X64" i="74"/>
  <c r="Y64" i="74" s="1"/>
  <c r="X65" i="74"/>
  <c r="Y65" i="74" s="1"/>
  <c r="X66" i="74"/>
  <c r="Y66" i="74" s="1"/>
  <c r="X67" i="74"/>
  <c r="Y67" i="74" s="1"/>
  <c r="X68" i="74"/>
  <c r="Y68" i="74" s="1"/>
  <c r="X69" i="74"/>
  <c r="Y69" i="74" s="1"/>
  <c r="X70" i="74"/>
  <c r="Y70" i="74" s="1"/>
  <c r="X71" i="74"/>
  <c r="Y71" i="74" s="1"/>
  <c r="X72" i="74"/>
  <c r="Y72" i="74" s="1"/>
  <c r="X73" i="74"/>
  <c r="Y73" i="74" s="1"/>
  <c r="X74" i="74"/>
  <c r="Y74" i="74" s="1"/>
  <c r="X75" i="74"/>
  <c r="Y75" i="74" s="1"/>
  <c r="X76" i="74"/>
  <c r="Y76" i="74" s="1"/>
  <c r="X77" i="74"/>
  <c r="Y77" i="74" s="1"/>
  <c r="X78" i="74"/>
  <c r="Y78" i="74" s="1"/>
  <c r="X79" i="74"/>
  <c r="Y79" i="74" s="1"/>
  <c r="X80" i="74"/>
  <c r="Y80" i="74" s="1"/>
  <c r="X81" i="74"/>
  <c r="Y81" i="74" s="1"/>
  <c r="X82" i="74"/>
  <c r="Y82" i="74" s="1"/>
  <c r="X83" i="74"/>
  <c r="Y83" i="74" s="1"/>
  <c r="X84" i="74"/>
  <c r="Y84" i="74" s="1"/>
  <c r="X85" i="74"/>
  <c r="Y85" i="74" s="1"/>
  <c r="X86" i="74"/>
  <c r="Y86" i="74" s="1"/>
  <c r="X87" i="74"/>
  <c r="Y87" i="74" s="1"/>
  <c r="X88" i="74"/>
  <c r="Y88" i="74" s="1"/>
  <c r="X89" i="74"/>
  <c r="Y89" i="74" s="1"/>
  <c r="X90" i="74"/>
  <c r="Y90" i="74" s="1"/>
  <c r="X91" i="74"/>
  <c r="Y91" i="74" s="1"/>
  <c r="X92" i="74"/>
  <c r="Y92" i="74" s="1"/>
  <c r="X93" i="74"/>
  <c r="Y93" i="74" s="1"/>
  <c r="X94" i="74"/>
  <c r="Y94" i="74" s="1"/>
  <c r="X95" i="74"/>
  <c r="Y95" i="74" s="1"/>
  <c r="X96" i="74"/>
  <c r="Y96" i="74" s="1"/>
  <c r="X97" i="74"/>
  <c r="Y97" i="74" s="1"/>
  <c r="X98" i="74"/>
  <c r="Y98" i="74" s="1"/>
  <c r="X99" i="74"/>
  <c r="Y99" i="74" s="1"/>
  <c r="X100" i="74"/>
  <c r="Y100" i="74" s="1"/>
  <c r="X101" i="74"/>
  <c r="Y101" i="74" s="1"/>
  <c r="X102" i="74"/>
  <c r="Y102" i="74" s="1"/>
  <c r="X103" i="74"/>
  <c r="Y103" i="74" s="1"/>
  <c r="X104" i="74"/>
  <c r="Y104" i="74" s="1"/>
  <c r="X105" i="74"/>
  <c r="Y105" i="74" s="1"/>
  <c r="X106" i="74"/>
  <c r="Y106" i="74" s="1"/>
  <c r="X107" i="74"/>
  <c r="Y107" i="74" s="1"/>
  <c r="X108" i="74"/>
  <c r="Y108" i="74" s="1"/>
  <c r="X109" i="74"/>
  <c r="Y109" i="74" s="1"/>
  <c r="X110" i="74"/>
  <c r="Y110" i="74" s="1"/>
  <c r="X111" i="74"/>
  <c r="Y111" i="74" s="1"/>
  <c r="X112" i="74"/>
  <c r="Y112" i="74" s="1"/>
  <c r="X113" i="74"/>
  <c r="Y113" i="74" s="1"/>
  <c r="X114" i="74"/>
  <c r="Y114" i="74" s="1"/>
  <c r="X115" i="74"/>
  <c r="Y115" i="74" s="1"/>
  <c r="X116" i="74"/>
  <c r="Y116" i="74" s="1"/>
  <c r="X117" i="74"/>
  <c r="Y117" i="74" s="1"/>
  <c r="X118" i="74"/>
  <c r="Y118" i="74" s="1"/>
  <c r="X119" i="74"/>
  <c r="Y119" i="74" s="1"/>
  <c r="X120" i="74"/>
  <c r="Y120" i="74" s="1"/>
  <c r="X121" i="74"/>
  <c r="Y121" i="74" s="1"/>
  <c r="X122" i="74"/>
  <c r="Y122" i="74" s="1"/>
  <c r="X123" i="74"/>
  <c r="Y123" i="74" s="1"/>
  <c r="X124" i="74"/>
  <c r="Y124" i="74" s="1"/>
  <c r="X125" i="74"/>
  <c r="Y125" i="74" s="1"/>
  <c r="X126" i="74"/>
  <c r="Y126" i="74" s="1"/>
  <c r="X127" i="74"/>
  <c r="Y127" i="74" s="1"/>
  <c r="X128" i="74"/>
  <c r="Y128" i="74" s="1"/>
  <c r="X129" i="74"/>
  <c r="Y129" i="74" s="1"/>
  <c r="X130" i="74"/>
  <c r="Y130" i="74" s="1"/>
  <c r="X131" i="74"/>
  <c r="Y131" i="74" s="1"/>
  <c r="X132" i="74"/>
  <c r="Y132" i="74" s="1"/>
  <c r="X133" i="74"/>
  <c r="Y133" i="74" s="1"/>
  <c r="X134" i="74"/>
  <c r="Y134" i="74" s="1"/>
  <c r="X135" i="74"/>
  <c r="Y135" i="74" s="1"/>
  <c r="X136" i="74"/>
  <c r="Y136" i="74" s="1"/>
  <c r="X137" i="74"/>
  <c r="Y137" i="74" s="1"/>
  <c r="X138" i="74"/>
  <c r="Y138" i="74" s="1"/>
  <c r="X139" i="74"/>
  <c r="Y139" i="74" s="1"/>
  <c r="X140" i="74"/>
  <c r="Y140" i="74" s="1"/>
  <c r="X141" i="74"/>
  <c r="Y141" i="74" s="1"/>
  <c r="X142" i="74"/>
  <c r="Y142" i="74" s="1"/>
  <c r="X143" i="74"/>
  <c r="Y143" i="74" s="1"/>
  <c r="X144" i="74"/>
  <c r="Y144" i="74" s="1"/>
  <c r="X145" i="74"/>
  <c r="Y145" i="74" s="1"/>
  <c r="X146" i="74"/>
  <c r="Y146" i="74" s="1"/>
  <c r="X147" i="74"/>
  <c r="Y147" i="74" s="1"/>
  <c r="X148" i="74"/>
  <c r="Y148" i="74" s="1"/>
  <c r="X149" i="74"/>
  <c r="Y149" i="74" s="1"/>
  <c r="X150" i="74"/>
  <c r="Y150" i="74" s="1"/>
  <c r="X151" i="74"/>
  <c r="Y151" i="74" s="1"/>
  <c r="X152" i="74"/>
  <c r="Y152" i="74" s="1"/>
  <c r="X153" i="74"/>
  <c r="Y153" i="74" s="1"/>
  <c r="X154" i="74"/>
  <c r="Y154" i="74" s="1"/>
  <c r="X155" i="74"/>
  <c r="Y155" i="74" s="1"/>
  <c r="X156" i="74"/>
  <c r="Y156" i="74" s="1"/>
  <c r="X157" i="74"/>
  <c r="Y157" i="74" s="1"/>
  <c r="X158" i="74"/>
  <c r="Y158" i="74" s="1"/>
  <c r="X159" i="74"/>
  <c r="Y159" i="74" s="1"/>
  <c r="X160" i="74"/>
  <c r="Y160" i="74" s="1"/>
  <c r="X161" i="74"/>
  <c r="Y161" i="74" s="1"/>
  <c r="X162" i="74"/>
  <c r="Y162" i="74" s="1"/>
  <c r="X163" i="74"/>
  <c r="Y163" i="74" s="1"/>
  <c r="X164" i="74"/>
  <c r="Y164" i="74" s="1"/>
  <c r="X165" i="74"/>
  <c r="Y165" i="74" s="1"/>
  <c r="X166" i="74"/>
  <c r="Y166" i="74" s="1"/>
  <c r="X167" i="74"/>
  <c r="Y167" i="74" s="1"/>
  <c r="X168" i="74"/>
  <c r="Y168" i="74" s="1"/>
  <c r="X169" i="74"/>
  <c r="Y169" i="74" s="1"/>
  <c r="X170" i="74"/>
  <c r="Y170" i="74" s="1"/>
  <c r="X171" i="74"/>
  <c r="Y171" i="74" s="1"/>
  <c r="X172" i="74"/>
  <c r="Y172" i="74" s="1"/>
  <c r="X173" i="74"/>
  <c r="Y173" i="74" s="1"/>
  <c r="X174" i="74"/>
  <c r="Y174" i="74" s="1"/>
  <c r="X175" i="74"/>
  <c r="Y175" i="74" s="1"/>
  <c r="X176" i="74"/>
  <c r="Y176" i="74" s="1"/>
  <c r="X177" i="74"/>
  <c r="Y177" i="74" s="1"/>
  <c r="X178" i="74"/>
  <c r="Y178" i="74" s="1"/>
  <c r="X179" i="74"/>
  <c r="Y179" i="74" s="1"/>
  <c r="X180" i="74"/>
  <c r="Y180" i="74" s="1"/>
  <c r="X181" i="74"/>
  <c r="Y181" i="74" s="1"/>
  <c r="X182" i="74"/>
  <c r="Y182" i="74" s="1"/>
  <c r="X183" i="74"/>
  <c r="Y183" i="74" s="1"/>
  <c r="X184" i="74"/>
  <c r="Y184" i="74" s="1"/>
  <c r="X185" i="74"/>
  <c r="Y185" i="74" s="1"/>
  <c r="X186" i="74"/>
  <c r="Y186" i="74" s="1"/>
  <c r="X187" i="74"/>
  <c r="Y187" i="74" s="1"/>
  <c r="X188" i="74"/>
  <c r="Y188" i="74" s="1"/>
  <c r="X189" i="74"/>
  <c r="Y189" i="74" s="1"/>
  <c r="X190" i="74"/>
  <c r="Y190" i="74" s="1"/>
  <c r="X191" i="74"/>
  <c r="Y191" i="74" s="1"/>
  <c r="X192" i="74"/>
  <c r="Y192" i="74" s="1"/>
  <c r="X193" i="74"/>
  <c r="Y193" i="74" s="1"/>
  <c r="X194" i="74"/>
  <c r="Y194" i="74" s="1"/>
  <c r="X195" i="74"/>
  <c r="Y195" i="74" s="1"/>
  <c r="X196" i="74"/>
  <c r="Y196" i="74" s="1"/>
  <c r="X197" i="74"/>
  <c r="Y197" i="74" s="1"/>
  <c r="X198" i="74"/>
  <c r="Y198" i="74" s="1"/>
  <c r="X199" i="74"/>
  <c r="Y199" i="74" s="1"/>
  <c r="X200" i="74"/>
  <c r="Y200" i="74" s="1"/>
  <c r="X201" i="74"/>
  <c r="Y201" i="74" s="1"/>
  <c r="X202" i="74"/>
  <c r="Y202" i="74" s="1"/>
  <c r="X203" i="74"/>
  <c r="Y203" i="74" s="1"/>
  <c r="X204" i="74"/>
  <c r="Y204" i="74" s="1"/>
  <c r="X205" i="74"/>
  <c r="Y205" i="74" s="1"/>
  <c r="X206" i="74"/>
  <c r="Y206" i="74" s="1"/>
  <c r="X207" i="74"/>
  <c r="Y207" i="74" s="1"/>
  <c r="X208" i="74"/>
  <c r="Y208" i="74" s="1"/>
  <c r="X209" i="74"/>
  <c r="Y209" i="74" s="1"/>
  <c r="X210" i="74"/>
  <c r="Y210" i="74" s="1"/>
  <c r="X211" i="74"/>
  <c r="Y211" i="74" s="1"/>
  <c r="X212" i="74"/>
  <c r="Y212" i="74" s="1"/>
  <c r="X213" i="74"/>
  <c r="Y213" i="74" s="1"/>
  <c r="X214" i="74"/>
  <c r="Y214" i="74" s="1"/>
  <c r="X215" i="74"/>
  <c r="Y215" i="74" s="1"/>
  <c r="X216" i="74"/>
  <c r="Y216" i="74" s="1"/>
  <c r="X217" i="74"/>
  <c r="Y217" i="74" s="1"/>
  <c r="X218" i="74"/>
  <c r="Y218" i="74" s="1"/>
  <c r="X219" i="74"/>
  <c r="Y219" i="74" s="1"/>
  <c r="X220" i="74"/>
  <c r="Y220" i="74" s="1"/>
  <c r="X221" i="74"/>
  <c r="Y221" i="74" s="1"/>
  <c r="X222" i="74"/>
  <c r="Y222" i="74" s="1"/>
  <c r="X223" i="74"/>
  <c r="Y223" i="74" s="1"/>
  <c r="X224" i="74"/>
  <c r="Y224" i="74" s="1"/>
  <c r="X225" i="74"/>
  <c r="Y225" i="74" s="1"/>
  <c r="X226" i="74"/>
  <c r="Y226" i="74" s="1"/>
  <c r="X227" i="74"/>
  <c r="Y227" i="74" s="1"/>
  <c r="X228" i="74"/>
  <c r="Y228" i="74" s="1"/>
  <c r="X229" i="74"/>
  <c r="Y229" i="74" s="1"/>
  <c r="X230" i="74"/>
  <c r="Y230" i="74" s="1"/>
  <c r="X231" i="74"/>
  <c r="Y231" i="74" s="1"/>
  <c r="X232" i="74"/>
  <c r="Y232" i="74" s="1"/>
  <c r="X233" i="74"/>
  <c r="Y233" i="74" s="1"/>
  <c r="X234" i="74"/>
  <c r="Y234" i="74" s="1"/>
  <c r="X235" i="74"/>
  <c r="Y235" i="74" s="1"/>
  <c r="X236" i="74"/>
  <c r="Y236" i="74" s="1"/>
  <c r="X237" i="74"/>
  <c r="Y237" i="74" s="1"/>
  <c r="X238" i="74"/>
  <c r="Y238" i="74" s="1"/>
  <c r="X239" i="74"/>
  <c r="Y239" i="74" s="1"/>
  <c r="X240" i="74"/>
  <c r="Y240" i="74" s="1"/>
  <c r="X241" i="74"/>
  <c r="Y241" i="74" s="1"/>
  <c r="X242" i="74"/>
  <c r="Y242" i="74" s="1"/>
  <c r="X243" i="74"/>
  <c r="Y243" i="74" s="1"/>
  <c r="X244" i="74"/>
  <c r="Y244" i="74" s="1"/>
  <c r="X245" i="74"/>
  <c r="Y245" i="74" s="1"/>
  <c r="X246" i="74"/>
  <c r="Y246" i="74" s="1"/>
  <c r="X247" i="74"/>
  <c r="Y247" i="74" s="1"/>
  <c r="X248" i="74"/>
  <c r="Y248" i="74" s="1"/>
  <c r="X249" i="74"/>
  <c r="Y249" i="74" s="1"/>
  <c r="X250" i="74"/>
  <c r="Y250" i="74" s="1"/>
  <c r="X251" i="74"/>
  <c r="Y251" i="74" s="1"/>
  <c r="X252" i="74"/>
  <c r="Y252" i="74" s="1"/>
  <c r="X253" i="74"/>
  <c r="Y253" i="74" s="1"/>
  <c r="X254" i="74"/>
  <c r="Y254" i="74" s="1"/>
  <c r="X255" i="74"/>
  <c r="Y255" i="74" s="1"/>
  <c r="X256" i="74"/>
  <c r="Y256" i="74" s="1"/>
  <c r="X257" i="74"/>
  <c r="Y257" i="74" s="1"/>
  <c r="X258" i="74"/>
  <c r="Y258" i="74" s="1"/>
  <c r="X259" i="74"/>
  <c r="Y259" i="74" s="1"/>
  <c r="X260" i="74"/>
  <c r="Y260" i="74" s="1"/>
  <c r="X261" i="74"/>
  <c r="Y261" i="74" s="1"/>
  <c r="X262" i="74"/>
  <c r="Y262" i="74" s="1"/>
  <c r="X263" i="74"/>
  <c r="Y263" i="74" s="1"/>
  <c r="X264" i="74"/>
  <c r="Y264" i="74" s="1"/>
  <c r="X265" i="74"/>
  <c r="Y265" i="74" s="1"/>
  <c r="X266" i="74"/>
  <c r="Y266" i="74" s="1"/>
  <c r="X267" i="74"/>
  <c r="Y267" i="74" s="1"/>
  <c r="X268" i="74"/>
  <c r="Y268" i="74" s="1"/>
  <c r="X269" i="74"/>
  <c r="Y269" i="74" s="1"/>
  <c r="X270" i="74"/>
  <c r="Y270" i="74" s="1"/>
  <c r="X271" i="74"/>
  <c r="Y271" i="74" s="1"/>
  <c r="X272" i="74"/>
  <c r="Y272" i="74" s="1"/>
  <c r="X273" i="74"/>
  <c r="Y273" i="74" s="1"/>
  <c r="X274" i="74"/>
  <c r="Y274" i="74" s="1"/>
  <c r="X275" i="74"/>
  <c r="Y275" i="74" s="1"/>
  <c r="X276" i="74"/>
  <c r="Y276" i="74" s="1"/>
  <c r="X277" i="74"/>
  <c r="Y277" i="74" s="1"/>
  <c r="X278" i="74"/>
  <c r="Y278" i="74" s="1"/>
  <c r="X279" i="74"/>
  <c r="Y279" i="74" s="1"/>
  <c r="X280" i="74"/>
  <c r="Y280" i="74" s="1"/>
  <c r="X281" i="74"/>
  <c r="Y281" i="74" s="1"/>
  <c r="X282" i="74"/>
  <c r="Y282" i="74" s="1"/>
  <c r="X283" i="74"/>
  <c r="Y283" i="74" s="1"/>
  <c r="X284" i="74"/>
  <c r="Y284" i="74" s="1"/>
  <c r="X285" i="74"/>
  <c r="Y285" i="74" s="1"/>
  <c r="X286" i="74"/>
  <c r="Y286" i="74" s="1"/>
  <c r="X287" i="74"/>
  <c r="Y287" i="74" s="1"/>
  <c r="X288" i="74"/>
  <c r="Y288" i="74" s="1"/>
  <c r="X289" i="74"/>
  <c r="Y289" i="74" s="1"/>
  <c r="X290" i="74"/>
  <c r="Y290" i="74" s="1"/>
  <c r="X291" i="74"/>
  <c r="Y291" i="74" s="1"/>
  <c r="X292" i="74"/>
  <c r="Y292" i="74" s="1"/>
  <c r="X293" i="74"/>
  <c r="Y293" i="74" s="1"/>
  <c r="X294" i="74"/>
  <c r="Y294" i="74" s="1"/>
  <c r="X295" i="74"/>
  <c r="Y295" i="74" s="1"/>
  <c r="X296" i="74"/>
  <c r="Y296" i="74" s="1"/>
  <c r="X36" i="74"/>
  <c r="Y36" i="74" s="1"/>
  <c r="X35" i="74"/>
  <c r="Y35" i="74" s="1"/>
  <c r="AE2" i="74" l="1"/>
  <c r="AE242" i="74" s="1"/>
  <c r="AE141" i="74" l="1"/>
  <c r="AE243" i="74"/>
  <c r="AE26" i="74"/>
  <c r="AE162" i="74"/>
  <c r="AE228" i="74"/>
  <c r="AE292" i="74"/>
  <c r="AE147" i="74"/>
  <c r="AE37" i="74"/>
  <c r="AE293" i="74"/>
  <c r="AE148" i="74"/>
  <c r="AE38" i="74"/>
  <c r="AE102" i="74"/>
  <c r="AE166" i="74"/>
  <c r="AE230" i="74"/>
  <c r="AE294" i="74"/>
  <c r="AE133" i="74"/>
  <c r="AE29" i="74"/>
  <c r="AE95" i="74"/>
  <c r="AE159" i="74"/>
  <c r="AE223" i="74"/>
  <c r="AE287" i="74"/>
  <c r="AE138" i="74"/>
  <c r="AE40" i="74"/>
  <c r="AE104" i="74"/>
  <c r="AE168" i="74"/>
  <c r="AE232" i="74"/>
  <c r="AE296" i="74"/>
  <c r="AE139" i="74"/>
  <c r="AE31" i="74"/>
  <c r="AE97" i="74"/>
  <c r="AE161" i="74"/>
  <c r="AE225" i="74"/>
  <c r="AE289" i="74"/>
  <c r="AE124" i="74"/>
  <c r="AE9" i="74"/>
  <c r="AE17" i="74"/>
  <c r="AE25" i="74"/>
  <c r="AE33" i="74"/>
  <c r="AE157" i="74"/>
  <c r="AE251" i="74"/>
  <c r="AE50" i="74"/>
  <c r="AE178" i="74"/>
  <c r="AE236" i="74"/>
  <c r="AE32" i="74"/>
  <c r="AE163" i="74"/>
  <c r="AE237" i="74"/>
  <c r="AE10" i="74"/>
  <c r="AE164" i="74"/>
  <c r="AE46" i="74"/>
  <c r="AE110" i="74"/>
  <c r="AE174" i="74"/>
  <c r="AE238" i="74"/>
  <c r="AE16" i="74"/>
  <c r="AE149" i="74"/>
  <c r="AE39" i="74"/>
  <c r="AE103" i="74"/>
  <c r="AE167" i="74"/>
  <c r="AE231" i="74"/>
  <c r="AE295" i="74"/>
  <c r="AE154" i="74"/>
  <c r="AE48" i="74"/>
  <c r="AE112" i="74"/>
  <c r="AE176" i="74"/>
  <c r="AE240" i="74"/>
  <c r="AE18" i="74"/>
  <c r="AE155" i="74"/>
  <c r="AE41" i="74"/>
  <c r="AE105" i="74"/>
  <c r="AE169" i="74"/>
  <c r="AE233" i="74"/>
  <c r="AE36" i="74"/>
  <c r="AE140" i="74"/>
  <c r="AE250" i="74"/>
  <c r="AE45" i="74"/>
  <c r="AE173" i="74"/>
  <c r="AE259" i="74"/>
  <c r="AE66" i="74"/>
  <c r="AE194" i="74"/>
  <c r="AE244" i="74"/>
  <c r="AE51" i="74"/>
  <c r="AE179" i="74"/>
  <c r="AE245" i="74"/>
  <c r="AE52" i="74"/>
  <c r="AE180" i="74"/>
  <c r="AE54" i="74"/>
  <c r="AE118" i="74"/>
  <c r="AE182" i="74"/>
  <c r="AE246" i="74"/>
  <c r="AE34" i="74"/>
  <c r="AE165" i="74"/>
  <c r="AE47" i="74"/>
  <c r="AE111" i="74"/>
  <c r="AE175" i="74"/>
  <c r="AE239" i="74"/>
  <c r="AE42" i="74"/>
  <c r="AE170" i="74"/>
  <c r="AE56" i="74"/>
  <c r="AE120" i="74"/>
  <c r="AE184" i="74"/>
  <c r="AE248" i="74"/>
  <c r="AE43" i="74"/>
  <c r="AE171" i="74"/>
  <c r="AE49" i="74"/>
  <c r="AE113" i="74"/>
  <c r="AE177" i="74"/>
  <c r="AE241" i="74"/>
  <c r="AE24" i="74"/>
  <c r="AE156" i="74"/>
  <c r="AE258" i="74"/>
  <c r="AE61" i="74"/>
  <c r="AE189" i="74"/>
  <c r="AE267" i="74"/>
  <c r="AE82" i="74"/>
  <c r="AE213" i="74"/>
  <c r="AE252" i="74"/>
  <c r="AE67" i="74"/>
  <c r="AE195" i="74"/>
  <c r="AE253" i="74"/>
  <c r="AE68" i="74"/>
  <c r="AE197" i="74"/>
  <c r="AE62" i="74"/>
  <c r="AE126" i="74"/>
  <c r="AE190" i="74"/>
  <c r="AE254" i="74"/>
  <c r="AE53" i="74"/>
  <c r="AE181" i="74"/>
  <c r="AE55" i="74"/>
  <c r="AE119" i="74"/>
  <c r="AE183" i="74"/>
  <c r="AE247" i="74"/>
  <c r="AE58" i="74"/>
  <c r="AE186" i="74"/>
  <c r="AE64" i="74"/>
  <c r="AE128" i="74"/>
  <c r="AE192" i="74"/>
  <c r="AE256" i="74"/>
  <c r="AE59" i="74"/>
  <c r="AE187" i="74"/>
  <c r="AE57" i="74"/>
  <c r="AE121" i="74"/>
  <c r="AE185" i="74"/>
  <c r="AE249" i="74"/>
  <c r="AE44" i="74"/>
  <c r="AE172" i="74"/>
  <c r="AE266" i="74"/>
  <c r="AE77" i="74"/>
  <c r="AE211" i="74"/>
  <c r="AE275" i="74"/>
  <c r="AE98" i="74"/>
  <c r="AE196" i="74"/>
  <c r="AE260" i="74"/>
  <c r="AE83" i="74"/>
  <c r="AE218" i="74"/>
  <c r="AE261" i="74"/>
  <c r="AE84" i="74"/>
  <c r="AE221" i="74"/>
  <c r="AE70" i="74"/>
  <c r="AE134" i="74"/>
  <c r="AE198" i="74"/>
  <c r="AE262" i="74"/>
  <c r="AE69" i="74"/>
  <c r="AE202" i="74"/>
  <c r="AE63" i="74"/>
  <c r="AE127" i="74"/>
  <c r="AE191" i="74"/>
  <c r="AE255" i="74"/>
  <c r="AE74" i="74"/>
  <c r="AE203" i="74"/>
  <c r="AE72" i="74"/>
  <c r="AE136" i="74"/>
  <c r="AE200" i="74"/>
  <c r="AE264" i="74"/>
  <c r="AE75" i="74"/>
  <c r="AE205" i="74"/>
  <c r="AE65" i="74"/>
  <c r="AE129" i="74"/>
  <c r="AE193" i="74"/>
  <c r="AE257" i="74"/>
  <c r="AE60" i="74"/>
  <c r="AE188" i="74"/>
  <c r="AE274" i="74"/>
  <c r="AE93" i="74"/>
  <c r="AE219" i="74"/>
  <c r="AE283" i="74"/>
  <c r="AE114" i="74"/>
  <c r="AE204" i="74"/>
  <c r="AE268" i="74"/>
  <c r="AE99" i="74"/>
  <c r="AE11" i="74"/>
  <c r="AE269" i="74"/>
  <c r="AE100" i="74"/>
  <c r="AE12" i="74"/>
  <c r="AE78" i="74"/>
  <c r="AE142" i="74"/>
  <c r="AE206" i="74"/>
  <c r="AE270" i="74"/>
  <c r="AE85" i="74"/>
  <c r="AE229" i="74"/>
  <c r="AE71" i="74"/>
  <c r="AE135" i="74"/>
  <c r="AE199" i="74"/>
  <c r="AE263" i="74"/>
  <c r="AE90" i="74"/>
  <c r="AE14" i="74"/>
  <c r="AE80" i="74"/>
  <c r="AE144" i="74"/>
  <c r="AE208" i="74"/>
  <c r="AE272" i="74"/>
  <c r="AE91" i="74"/>
  <c r="AE7" i="74"/>
  <c r="AE73" i="74"/>
  <c r="AE137" i="74"/>
  <c r="AE201" i="74"/>
  <c r="AE265" i="74"/>
  <c r="AE76" i="74"/>
  <c r="AE210" i="74"/>
  <c r="AE282" i="74"/>
  <c r="AE109" i="74"/>
  <c r="AE227" i="74"/>
  <c r="AE291" i="74"/>
  <c r="AE130" i="74"/>
  <c r="AE212" i="74"/>
  <c r="AE276" i="74"/>
  <c r="AE115" i="74"/>
  <c r="AE19" i="74"/>
  <c r="AE277" i="74"/>
  <c r="AE116" i="74"/>
  <c r="AE20" i="74"/>
  <c r="AE86" i="74"/>
  <c r="AE150" i="74"/>
  <c r="AE214" i="74"/>
  <c r="AE278" i="74"/>
  <c r="AE101" i="74"/>
  <c r="AE13" i="74"/>
  <c r="AE79" i="74"/>
  <c r="AE143" i="74"/>
  <c r="AE207" i="74"/>
  <c r="AE271" i="74"/>
  <c r="AE106" i="74"/>
  <c r="AE22" i="74"/>
  <c r="AE88" i="74"/>
  <c r="AE152" i="74"/>
  <c r="AE216" i="74"/>
  <c r="AE280" i="74"/>
  <c r="AE107" i="74"/>
  <c r="AE15" i="74"/>
  <c r="AE81" i="74"/>
  <c r="AE145" i="74"/>
  <c r="AE209" i="74"/>
  <c r="AE273" i="74"/>
  <c r="AE92" i="74"/>
  <c r="AE226" i="74"/>
  <c r="AE290" i="74"/>
  <c r="AE125" i="74"/>
  <c r="AE235" i="74"/>
  <c r="AE8" i="74"/>
  <c r="AE146" i="74"/>
  <c r="AE220" i="74"/>
  <c r="AE284" i="74"/>
  <c r="AE131" i="74"/>
  <c r="AE27" i="74"/>
  <c r="AE285" i="74"/>
  <c r="AE132" i="74"/>
  <c r="AE28" i="74"/>
  <c r="AE94" i="74"/>
  <c r="AE158" i="74"/>
  <c r="AE222" i="74"/>
  <c r="AE286" i="74"/>
  <c r="AE117" i="74"/>
  <c r="AE21" i="74"/>
  <c r="AE87" i="74"/>
  <c r="AE151" i="74"/>
  <c r="AE215" i="74"/>
  <c r="AE279" i="74"/>
  <c r="AE122" i="74"/>
  <c r="AE30" i="74"/>
  <c r="AE96" i="74"/>
  <c r="AE160" i="74"/>
  <c r="AE224" i="74"/>
  <c r="AE288" i="74"/>
  <c r="AE123" i="74"/>
  <c r="AE23" i="74"/>
  <c r="AE89" i="74"/>
  <c r="AE153" i="74"/>
  <c r="AE217" i="74"/>
  <c r="AE281" i="74"/>
  <c r="AE108" i="74"/>
  <c r="AE234" i="74"/>
  <c r="AE35" i="74"/>
  <c r="T7" i="74" l="1"/>
  <c r="U7" i="74"/>
  <c r="T8" i="74"/>
  <c r="U8" i="74"/>
  <c r="T9" i="74"/>
  <c r="U9" i="74"/>
  <c r="T10" i="74"/>
  <c r="U10" i="74"/>
  <c r="T11" i="74"/>
  <c r="U11" i="74"/>
  <c r="T12" i="74"/>
  <c r="U12" i="74"/>
  <c r="T13" i="74"/>
  <c r="U13" i="74"/>
  <c r="T14" i="74"/>
  <c r="U14" i="74"/>
  <c r="T15" i="74"/>
  <c r="U15" i="74"/>
  <c r="T16" i="74"/>
  <c r="U16" i="74"/>
  <c r="T17" i="74"/>
  <c r="U17" i="74"/>
  <c r="T18" i="74"/>
  <c r="U18" i="74"/>
  <c r="T19" i="74"/>
  <c r="U19" i="74"/>
  <c r="T20" i="74"/>
  <c r="U20" i="74"/>
  <c r="T21" i="74"/>
  <c r="U21" i="74"/>
  <c r="T22" i="74"/>
  <c r="U22" i="74"/>
  <c r="T23" i="74"/>
  <c r="U23" i="74"/>
  <c r="T24" i="74"/>
  <c r="U24" i="74"/>
  <c r="T25" i="74"/>
  <c r="U25" i="74"/>
  <c r="T26" i="74"/>
  <c r="U26" i="74"/>
  <c r="T27" i="74"/>
  <c r="U27" i="74"/>
  <c r="T28" i="74"/>
  <c r="U28" i="74"/>
  <c r="T29" i="74"/>
  <c r="U29" i="74"/>
  <c r="T30" i="74"/>
  <c r="U30" i="74"/>
  <c r="T31" i="74"/>
  <c r="U31" i="74"/>
  <c r="T32" i="74"/>
  <c r="U32" i="74"/>
  <c r="T33" i="74"/>
  <c r="U33" i="74"/>
  <c r="T34" i="74"/>
  <c r="U34" i="74"/>
  <c r="T35" i="74"/>
  <c r="U35" i="74"/>
  <c r="T36" i="74"/>
  <c r="U36" i="74"/>
  <c r="T37" i="74"/>
  <c r="U37" i="74"/>
  <c r="T38" i="74"/>
  <c r="U38" i="74"/>
  <c r="T39" i="74"/>
  <c r="U39" i="74"/>
  <c r="T40" i="74"/>
  <c r="U40" i="74"/>
  <c r="T41" i="74"/>
  <c r="U41" i="74"/>
  <c r="T42" i="74"/>
  <c r="U42" i="74"/>
  <c r="T43" i="74"/>
  <c r="U43" i="74"/>
  <c r="T44" i="74"/>
  <c r="U44" i="74"/>
  <c r="T45" i="74"/>
  <c r="U45" i="74"/>
  <c r="T46" i="74"/>
  <c r="U46" i="74"/>
  <c r="T47" i="74"/>
  <c r="U47" i="74"/>
  <c r="T48" i="74"/>
  <c r="U48" i="74"/>
  <c r="T49" i="74"/>
  <c r="U49" i="74"/>
  <c r="T50" i="74"/>
  <c r="U50" i="74"/>
  <c r="T51" i="74"/>
  <c r="U51" i="74"/>
  <c r="T52" i="74"/>
  <c r="U52" i="74"/>
  <c r="T53" i="74"/>
  <c r="U53" i="74"/>
  <c r="T54" i="74"/>
  <c r="U54" i="74"/>
  <c r="T55" i="74"/>
  <c r="U55" i="74"/>
  <c r="T56" i="74"/>
  <c r="U56" i="74"/>
  <c r="T57" i="74"/>
  <c r="U57" i="74"/>
  <c r="T58" i="74"/>
  <c r="U58" i="74"/>
  <c r="T59" i="74"/>
  <c r="U59" i="74"/>
  <c r="T60" i="74"/>
  <c r="U60" i="74"/>
  <c r="T61" i="74"/>
  <c r="U61" i="74"/>
  <c r="T63" i="74"/>
  <c r="U63" i="74"/>
  <c r="T64" i="74"/>
  <c r="U64" i="74"/>
  <c r="T65" i="74"/>
  <c r="U65" i="74"/>
  <c r="T66" i="74"/>
  <c r="U66" i="74"/>
  <c r="T67" i="74"/>
  <c r="U67" i="74"/>
  <c r="T68" i="74"/>
  <c r="U68" i="74"/>
  <c r="T69" i="74"/>
  <c r="U69" i="74"/>
  <c r="T70" i="74"/>
  <c r="U70" i="74"/>
  <c r="T71" i="74"/>
  <c r="U71" i="74"/>
  <c r="T72" i="74"/>
  <c r="U72" i="74"/>
  <c r="T73" i="74"/>
  <c r="U73" i="74"/>
  <c r="T74" i="74"/>
  <c r="U74" i="74"/>
  <c r="T75" i="74"/>
  <c r="U75" i="74"/>
  <c r="T76" i="74"/>
  <c r="U76" i="74"/>
  <c r="T77" i="74"/>
  <c r="U77" i="74"/>
  <c r="T78" i="74"/>
  <c r="U78" i="74"/>
  <c r="T79" i="74"/>
  <c r="U79" i="74"/>
  <c r="T80" i="74"/>
  <c r="U80" i="74"/>
  <c r="T81" i="74"/>
  <c r="U81" i="74"/>
  <c r="T82" i="74"/>
  <c r="U82" i="74"/>
  <c r="T83" i="74"/>
  <c r="U83" i="74"/>
  <c r="T84" i="74"/>
  <c r="U84" i="74"/>
  <c r="T85" i="74"/>
  <c r="U85" i="74"/>
  <c r="T86" i="74"/>
  <c r="U86" i="74"/>
  <c r="T87" i="74"/>
  <c r="U87" i="74"/>
  <c r="T88" i="74"/>
  <c r="U88" i="74"/>
  <c r="T89" i="74"/>
  <c r="U89" i="74"/>
  <c r="T90" i="74"/>
  <c r="U90" i="74"/>
  <c r="T91" i="74"/>
  <c r="U91" i="74"/>
  <c r="T92" i="74"/>
  <c r="U92" i="74"/>
  <c r="T93" i="74"/>
  <c r="U93" i="74"/>
  <c r="T94" i="74"/>
  <c r="U94" i="74"/>
  <c r="T95" i="74"/>
  <c r="U95" i="74"/>
  <c r="T96" i="74"/>
  <c r="U96" i="74"/>
  <c r="T97" i="74"/>
  <c r="U97" i="74"/>
  <c r="T98" i="74"/>
  <c r="U98" i="74"/>
  <c r="T99" i="74"/>
  <c r="U99" i="74"/>
  <c r="T100" i="74"/>
  <c r="U100" i="74"/>
  <c r="T101" i="74"/>
  <c r="U101" i="74"/>
  <c r="T102" i="74"/>
  <c r="U102" i="74"/>
  <c r="T103" i="74"/>
  <c r="U103" i="74"/>
  <c r="T104" i="74"/>
  <c r="U104" i="74"/>
  <c r="T105" i="74"/>
  <c r="U105" i="74"/>
  <c r="T106" i="74"/>
  <c r="U106" i="74"/>
  <c r="T107" i="74"/>
  <c r="U107" i="74"/>
  <c r="T108" i="74"/>
  <c r="U108" i="74"/>
  <c r="T109" i="74"/>
  <c r="U109" i="74"/>
  <c r="T110" i="74"/>
  <c r="U110" i="74"/>
  <c r="T111" i="74"/>
  <c r="U111" i="74"/>
  <c r="T112" i="74"/>
  <c r="U112" i="74"/>
  <c r="T113" i="74"/>
  <c r="U113" i="74"/>
  <c r="T114" i="74"/>
  <c r="U114" i="74"/>
  <c r="T115" i="74"/>
  <c r="U115" i="74"/>
  <c r="T116" i="74"/>
  <c r="U116" i="74"/>
  <c r="T117" i="74"/>
  <c r="U117" i="74"/>
  <c r="T118" i="74"/>
  <c r="U118" i="74"/>
  <c r="T119" i="74"/>
  <c r="U119" i="74"/>
  <c r="T120" i="74"/>
  <c r="U120" i="74"/>
  <c r="T121" i="74"/>
  <c r="U121" i="74"/>
  <c r="T122" i="74"/>
  <c r="U122" i="74"/>
  <c r="T123" i="74"/>
  <c r="U123" i="74"/>
  <c r="T124" i="74"/>
  <c r="U124" i="74"/>
  <c r="T125" i="74"/>
  <c r="U125" i="74"/>
  <c r="T126" i="74"/>
  <c r="U126" i="74"/>
  <c r="T127" i="74"/>
  <c r="U127" i="74"/>
  <c r="T128" i="74"/>
  <c r="U128" i="74"/>
  <c r="T129" i="74"/>
  <c r="U129" i="74"/>
  <c r="T130" i="74"/>
  <c r="U130" i="74"/>
  <c r="T131" i="74"/>
  <c r="U131" i="74"/>
  <c r="T132" i="74"/>
  <c r="U132" i="74"/>
  <c r="T133" i="74"/>
  <c r="U133" i="74"/>
  <c r="T134" i="74"/>
  <c r="U134" i="74"/>
  <c r="T135" i="74"/>
  <c r="U135" i="74"/>
  <c r="T136" i="74"/>
  <c r="U136" i="74"/>
  <c r="T137" i="74"/>
  <c r="U137" i="74"/>
  <c r="T138" i="74"/>
  <c r="U138" i="74"/>
  <c r="T139" i="74"/>
  <c r="U139" i="74"/>
  <c r="T140" i="74"/>
  <c r="U140" i="74"/>
  <c r="T141" i="74"/>
  <c r="U141" i="74"/>
  <c r="T142" i="74"/>
  <c r="U142" i="74"/>
  <c r="T143" i="74"/>
  <c r="U143" i="74"/>
  <c r="T144" i="74"/>
  <c r="U144" i="74"/>
  <c r="T145" i="74"/>
  <c r="U145" i="74"/>
  <c r="T146" i="74"/>
  <c r="U146" i="74"/>
  <c r="T147" i="74"/>
  <c r="U147" i="74"/>
  <c r="T148" i="74"/>
  <c r="U148" i="74"/>
  <c r="T149" i="74"/>
  <c r="U149" i="74"/>
  <c r="T150" i="74"/>
  <c r="U150" i="74"/>
  <c r="T151" i="74"/>
  <c r="U151" i="74"/>
  <c r="T152" i="74"/>
  <c r="U152" i="74"/>
  <c r="T153" i="74"/>
  <c r="U153" i="74"/>
  <c r="T154" i="74"/>
  <c r="U154" i="74"/>
  <c r="T155" i="74"/>
  <c r="U155" i="74"/>
  <c r="T156" i="74"/>
  <c r="U156" i="74"/>
  <c r="T157" i="74"/>
  <c r="U157" i="74"/>
  <c r="T158" i="74"/>
  <c r="U158" i="74"/>
  <c r="T159" i="74"/>
  <c r="U159" i="74"/>
  <c r="T160" i="74"/>
  <c r="U160" i="74"/>
  <c r="T161" i="74"/>
  <c r="U161" i="74"/>
  <c r="T162" i="74"/>
  <c r="U162" i="74"/>
  <c r="T163" i="74"/>
  <c r="U163" i="74"/>
  <c r="T164" i="74"/>
  <c r="U164" i="74"/>
  <c r="T165" i="74"/>
  <c r="U165" i="74"/>
  <c r="T166" i="74"/>
  <c r="U166" i="74"/>
  <c r="T167" i="74"/>
  <c r="U167" i="74"/>
  <c r="T168" i="74"/>
  <c r="U168" i="74"/>
  <c r="T169" i="74"/>
  <c r="U169" i="74"/>
  <c r="T170" i="74"/>
  <c r="U170" i="74"/>
  <c r="T171" i="74"/>
  <c r="U171" i="74"/>
  <c r="T172" i="74"/>
  <c r="U172" i="74"/>
  <c r="T173" i="74"/>
  <c r="U173" i="74"/>
  <c r="T174" i="74"/>
  <c r="U174" i="74"/>
  <c r="T175" i="74"/>
  <c r="U175" i="74"/>
  <c r="T176" i="74"/>
  <c r="U176" i="74"/>
  <c r="T177" i="74"/>
  <c r="U177" i="74"/>
  <c r="T178" i="74"/>
  <c r="U178" i="74"/>
  <c r="T179" i="74"/>
  <c r="U179" i="74"/>
  <c r="T180" i="74"/>
  <c r="U180" i="74"/>
  <c r="T181" i="74"/>
  <c r="U181" i="74"/>
  <c r="T182" i="74"/>
  <c r="U182" i="74"/>
  <c r="T183" i="74"/>
  <c r="U183" i="74"/>
  <c r="T184" i="74"/>
  <c r="U184" i="74"/>
  <c r="T185" i="74"/>
  <c r="U185" i="74"/>
  <c r="T186" i="74"/>
  <c r="U186" i="74"/>
  <c r="T187" i="74"/>
  <c r="U187" i="74"/>
  <c r="T188" i="74"/>
  <c r="U188" i="74"/>
  <c r="T189" i="74"/>
  <c r="U189" i="74"/>
  <c r="T190" i="74"/>
  <c r="U190" i="74"/>
  <c r="T191" i="74"/>
  <c r="U191" i="74"/>
  <c r="T192" i="74"/>
  <c r="U192" i="74"/>
  <c r="T193" i="74"/>
  <c r="U193" i="74"/>
  <c r="T194" i="74"/>
  <c r="U194" i="74"/>
  <c r="T195" i="74"/>
  <c r="U195" i="74"/>
  <c r="T196" i="74"/>
  <c r="U196" i="74"/>
  <c r="T197" i="74"/>
  <c r="U197" i="74"/>
  <c r="T198" i="74"/>
  <c r="U198" i="74"/>
  <c r="T199" i="74"/>
  <c r="U199" i="74"/>
  <c r="T200" i="74"/>
  <c r="U200" i="74"/>
  <c r="T201" i="74"/>
  <c r="U201" i="74"/>
  <c r="T202" i="74"/>
  <c r="U202" i="74"/>
  <c r="T203" i="74"/>
  <c r="U203" i="74"/>
  <c r="T204" i="74"/>
  <c r="U204" i="74"/>
  <c r="T205" i="74"/>
  <c r="U205" i="74"/>
  <c r="T206" i="74"/>
  <c r="U206" i="74"/>
  <c r="T207" i="74"/>
  <c r="U207" i="74"/>
  <c r="T208" i="74"/>
  <c r="U208" i="74"/>
  <c r="T209" i="74"/>
  <c r="U209" i="74"/>
  <c r="T210" i="74"/>
  <c r="U210" i="74"/>
  <c r="T211" i="74"/>
  <c r="U211" i="74"/>
  <c r="T212" i="74"/>
  <c r="U212" i="74"/>
  <c r="T213" i="74"/>
  <c r="U213" i="74"/>
  <c r="T214" i="74"/>
  <c r="U214" i="74"/>
  <c r="T215" i="74"/>
  <c r="U215" i="74"/>
  <c r="T216" i="74"/>
  <c r="U216" i="74"/>
  <c r="T217" i="74"/>
  <c r="U217" i="74"/>
  <c r="T218" i="74"/>
  <c r="U218" i="74"/>
  <c r="T219" i="74"/>
  <c r="U219" i="74"/>
  <c r="T220" i="74"/>
  <c r="U220" i="74"/>
  <c r="T221" i="74"/>
  <c r="U221" i="74"/>
  <c r="T222" i="74"/>
  <c r="U222" i="74"/>
  <c r="T224" i="74"/>
  <c r="U224" i="74"/>
  <c r="T225" i="74"/>
  <c r="U225" i="74"/>
  <c r="T226" i="74"/>
  <c r="U226" i="74"/>
  <c r="T227" i="74"/>
  <c r="U227" i="74"/>
  <c r="T228" i="74"/>
  <c r="U228" i="74"/>
  <c r="T229" i="74"/>
  <c r="U229" i="74"/>
  <c r="T230" i="74"/>
  <c r="U230" i="74"/>
  <c r="T231" i="74"/>
  <c r="U231" i="74"/>
  <c r="T232" i="74"/>
  <c r="U232" i="74"/>
  <c r="T233" i="74"/>
  <c r="U233" i="74"/>
  <c r="T234" i="74"/>
  <c r="U234" i="74"/>
  <c r="T235" i="74"/>
  <c r="U235" i="74"/>
  <c r="T236" i="74"/>
  <c r="U236" i="74"/>
  <c r="T237" i="74"/>
  <c r="U237" i="74"/>
  <c r="T238" i="74"/>
  <c r="U238" i="74"/>
  <c r="T240" i="74"/>
  <c r="U240" i="74"/>
  <c r="T241" i="74"/>
  <c r="U241" i="74"/>
  <c r="T247" i="74"/>
  <c r="U247" i="74"/>
  <c r="T253" i="74"/>
  <c r="U253" i="74"/>
  <c r="T254" i="74"/>
  <c r="U254" i="74"/>
  <c r="T255" i="74"/>
  <c r="U255" i="74"/>
  <c r="T256" i="74"/>
  <c r="U256" i="74"/>
  <c r="T259" i="74"/>
  <c r="U259" i="74"/>
  <c r="T261" i="74"/>
  <c r="U261" i="74"/>
  <c r="T262" i="74"/>
  <c r="U262" i="74"/>
  <c r="T264" i="74"/>
  <c r="U264" i="74"/>
  <c r="T268" i="74"/>
  <c r="U268" i="74"/>
  <c r="T270" i="74"/>
  <c r="U270" i="74"/>
  <c r="T271" i="74"/>
  <c r="U271" i="74"/>
  <c r="T272" i="74"/>
  <c r="U272" i="74"/>
  <c r="T273" i="74"/>
  <c r="U273" i="74"/>
  <c r="T274" i="74"/>
  <c r="U274" i="74"/>
  <c r="T275" i="74"/>
  <c r="U275" i="74"/>
  <c r="T276" i="74"/>
  <c r="U276" i="74"/>
  <c r="T277" i="74"/>
  <c r="U277" i="74"/>
  <c r="T278" i="74"/>
  <c r="U278" i="74"/>
  <c r="T279" i="74"/>
  <c r="U279" i="74"/>
  <c r="T280" i="74"/>
  <c r="U280" i="74"/>
  <c r="T281" i="74"/>
  <c r="U281" i="74"/>
  <c r="T282" i="74"/>
  <c r="U282" i="74"/>
  <c r="T283" i="74"/>
  <c r="U283" i="74"/>
  <c r="T284" i="74"/>
  <c r="U284" i="74"/>
  <c r="T285" i="74"/>
  <c r="U285" i="74"/>
  <c r="T286" i="74"/>
  <c r="U286" i="74"/>
  <c r="T287" i="74"/>
  <c r="U287" i="74"/>
  <c r="T288" i="74"/>
  <c r="U288" i="74"/>
  <c r="T289" i="74"/>
  <c r="U289" i="74"/>
  <c r="T290" i="74"/>
  <c r="U290" i="74"/>
  <c r="T291" i="74"/>
  <c r="U291" i="74"/>
  <c r="T292" i="74"/>
  <c r="U292" i="74"/>
  <c r="T293" i="74"/>
  <c r="U293" i="74"/>
  <c r="T294" i="74"/>
  <c r="U294" i="74"/>
  <c r="T295" i="74"/>
  <c r="U295" i="74"/>
  <c r="T296" i="74"/>
  <c r="U296" i="74"/>
  <c r="A3" i="73"/>
  <c r="G3" i="73"/>
  <c r="A4" i="73"/>
  <c r="G4" i="73"/>
  <c r="A5" i="73"/>
  <c r="G5" i="73"/>
  <c r="A6" i="73"/>
  <c r="G6" i="73"/>
  <c r="A7" i="73"/>
  <c r="G7" i="73"/>
  <c r="A8" i="73"/>
  <c r="G8" i="73"/>
  <c r="A9" i="73"/>
  <c r="G9" i="73"/>
  <c r="A10" i="73"/>
  <c r="G10" i="73"/>
  <c r="A11" i="73"/>
  <c r="G11" i="73"/>
  <c r="A12" i="73"/>
  <c r="G12" i="73"/>
  <c r="A13" i="73"/>
  <c r="A14" i="73"/>
  <c r="A15" i="73"/>
  <c r="A16" i="73"/>
  <c r="G16" i="73"/>
  <c r="A17" i="73"/>
  <c r="A18" i="73"/>
  <c r="A19" i="73"/>
  <c r="A20" i="73"/>
  <c r="G20" i="73"/>
  <c r="A21" i="73"/>
  <c r="A22" i="73"/>
  <c r="A23" i="73"/>
  <c r="A24" i="73"/>
  <c r="A25" i="73"/>
  <c r="G25" i="73"/>
  <c r="A26" i="73"/>
  <c r="A27" i="73"/>
  <c r="G27" i="73"/>
  <c r="A28" i="73"/>
  <c r="A29" i="73"/>
  <c r="G29" i="73"/>
  <c r="A30" i="73"/>
  <c r="A31" i="73"/>
  <c r="A32" i="73"/>
  <c r="A33" i="73"/>
  <c r="G33" i="73"/>
  <c r="A34" i="73"/>
  <c r="G34" i="73"/>
  <c r="A35" i="73"/>
  <c r="G35" i="73"/>
  <c r="A36" i="73"/>
  <c r="G36" i="73"/>
  <c r="A37" i="73"/>
  <c r="G37" i="73"/>
  <c r="A38" i="73"/>
  <c r="G38" i="73"/>
  <c r="A39" i="73"/>
  <c r="G39" i="73"/>
  <c r="A40" i="73"/>
  <c r="G40" i="73"/>
  <c r="A41" i="73"/>
  <c r="G41" i="73"/>
  <c r="A42" i="73"/>
  <c r="G42" i="73"/>
  <c r="A43" i="73"/>
  <c r="G43" i="73"/>
  <c r="A44" i="73"/>
  <c r="G44" i="73"/>
  <c r="A45" i="73"/>
  <c r="G45" i="73"/>
  <c r="A46" i="73"/>
  <c r="G46" i="73"/>
  <c r="A47" i="73"/>
  <c r="G47" i="73"/>
  <c r="A48" i="73"/>
  <c r="G48" i="73"/>
  <c r="A49" i="73"/>
  <c r="G49" i="73"/>
  <c r="A50" i="73"/>
  <c r="G50" i="73"/>
  <c r="A51" i="73"/>
  <c r="G51" i="73"/>
  <c r="A52" i="73"/>
  <c r="G52" i="73"/>
  <c r="A53" i="73"/>
  <c r="G53" i="73"/>
  <c r="A54" i="73"/>
  <c r="G54" i="73"/>
  <c r="G56" i="73"/>
  <c r="G57" i="73"/>
  <c r="G58" i="73"/>
  <c r="G59" i="73"/>
  <c r="G60" i="73"/>
  <c r="G61" i="73"/>
  <c r="G62" i="73"/>
  <c r="G63" i="73"/>
  <c r="G64" i="73"/>
  <c r="G65" i="73"/>
  <c r="G66" i="73"/>
  <c r="G67" i="73"/>
  <c r="G68" i="73"/>
  <c r="G69" i="73"/>
  <c r="G70" i="73"/>
  <c r="G71" i="73"/>
  <c r="G72" i="73"/>
  <c r="G73" i="73"/>
  <c r="G74" i="73"/>
  <c r="G75" i="73"/>
  <c r="G76" i="73"/>
  <c r="G77" i="73"/>
  <c r="G78" i="73"/>
  <c r="G79" i="73"/>
  <c r="G80" i="73"/>
  <c r="G81" i="73"/>
  <c r="G82" i="73"/>
  <c r="G83" i="73"/>
  <c r="G84" i="73"/>
  <c r="E85" i="73"/>
  <c r="A2" i="72"/>
  <c r="G2" i="72"/>
  <c r="A5" i="72"/>
  <c r="A6" i="72"/>
  <c r="A7" i="72"/>
  <c r="A8" i="72"/>
  <c r="A9" i="72"/>
  <c r="A10" i="72"/>
  <c r="A11" i="72"/>
  <c r="A12" i="72"/>
  <c r="A13" i="72"/>
  <c r="A14" i="72"/>
  <c r="A15" i="72"/>
  <c r="A16" i="72"/>
  <c r="G85" i="73" l="1"/>
  <c r="W398" i="71"/>
  <c r="V398" i="71"/>
  <c r="Q398" i="71"/>
  <c r="Z398" i="71" s="1"/>
  <c r="AD398" i="71" s="1"/>
  <c r="W397" i="71"/>
  <c r="V397" i="71"/>
  <c r="Q397" i="71"/>
  <c r="Z397" i="71" s="1"/>
  <c r="AD397" i="71" s="1"/>
  <c r="W396" i="71"/>
  <c r="V396" i="71"/>
  <c r="Q396" i="71"/>
  <c r="Z396" i="71" s="1"/>
  <c r="AD396" i="71" s="1"/>
  <c r="W395" i="71"/>
  <c r="V395" i="71"/>
  <c r="Q395" i="71"/>
  <c r="Z395" i="71" s="1"/>
  <c r="AD395" i="71" s="1"/>
  <c r="W394" i="71"/>
  <c r="V394" i="71"/>
  <c r="Q394" i="71"/>
  <c r="Z394" i="71" s="1"/>
  <c r="AD394" i="71" s="1"/>
  <c r="W393" i="71"/>
  <c r="V393" i="71"/>
  <c r="Q393" i="71"/>
  <c r="Z393" i="71" s="1"/>
  <c r="AD393" i="71" s="1"/>
  <c r="W392" i="71"/>
  <c r="V392" i="71"/>
  <c r="Q392" i="71"/>
  <c r="Z392" i="71" s="1"/>
  <c r="AD392" i="71" s="1"/>
  <c r="W391" i="71"/>
  <c r="V391" i="71"/>
  <c r="Q391" i="71"/>
  <c r="Z391" i="71" s="1"/>
  <c r="AD391" i="71" s="1"/>
  <c r="W390" i="71"/>
  <c r="V390" i="71"/>
  <c r="Q390" i="71"/>
  <c r="Z390" i="71" s="1"/>
  <c r="AD390" i="71" s="1"/>
  <c r="W389" i="71"/>
  <c r="V389" i="71"/>
  <c r="Q389" i="71"/>
  <c r="Z389" i="71" s="1"/>
  <c r="AD389" i="71" s="1"/>
  <c r="W388" i="71"/>
  <c r="V388" i="71"/>
  <c r="Q388" i="71"/>
  <c r="Z388" i="71" s="1"/>
  <c r="AD388" i="71" s="1"/>
  <c r="W387" i="71"/>
  <c r="V387" i="71"/>
  <c r="Q387" i="71"/>
  <c r="Z387" i="71" s="1"/>
  <c r="AD387" i="71" s="1"/>
  <c r="W386" i="71"/>
  <c r="V386" i="71"/>
  <c r="Q386" i="71"/>
  <c r="Z386" i="71" s="1"/>
  <c r="AD386" i="71" s="1"/>
  <c r="W385" i="71"/>
  <c r="V385" i="71"/>
  <c r="Q385" i="71"/>
  <c r="Z385" i="71" s="1"/>
  <c r="AD385" i="71" s="1"/>
  <c r="W384" i="71"/>
  <c r="V384" i="71"/>
  <c r="Q384" i="71"/>
  <c r="Z384" i="71" s="1"/>
  <c r="AD384" i="71" s="1"/>
  <c r="W383" i="71"/>
  <c r="V383" i="71"/>
  <c r="Q383" i="71"/>
  <c r="Z383" i="71" s="1"/>
  <c r="AD383" i="71" s="1"/>
  <c r="W382" i="71"/>
  <c r="V382" i="71"/>
  <c r="Q382" i="71"/>
  <c r="Z382" i="71" s="1"/>
  <c r="AD382" i="71" s="1"/>
  <c r="W381" i="71"/>
  <c r="V381" i="71"/>
  <c r="Q381" i="71"/>
  <c r="Z381" i="71" s="1"/>
  <c r="AD381" i="71" s="1"/>
  <c r="W380" i="71"/>
  <c r="V380" i="71"/>
  <c r="Q380" i="71"/>
  <c r="Z380" i="71" s="1"/>
  <c r="AD380" i="71" s="1"/>
  <c r="W379" i="71"/>
  <c r="V379" i="71"/>
  <c r="Q379" i="71"/>
  <c r="Z379" i="71" s="1"/>
  <c r="AD379" i="71" s="1"/>
  <c r="W378" i="71"/>
  <c r="V378" i="71"/>
  <c r="Q378" i="71"/>
  <c r="Z378" i="71" s="1"/>
  <c r="AD378" i="71" s="1"/>
  <c r="W377" i="71"/>
  <c r="V377" i="71"/>
  <c r="Q377" i="71"/>
  <c r="Z377" i="71" s="1"/>
  <c r="AD377" i="71" s="1"/>
  <c r="W376" i="71"/>
  <c r="V376" i="71"/>
  <c r="Q376" i="71"/>
  <c r="Z376" i="71" s="1"/>
  <c r="AD376" i="71" s="1"/>
  <c r="W375" i="71"/>
  <c r="V375" i="71"/>
  <c r="Q375" i="71"/>
  <c r="Z375" i="71" s="1"/>
  <c r="AD375" i="71" s="1"/>
  <c r="W374" i="71"/>
  <c r="V374" i="71"/>
  <c r="Q374" i="71"/>
  <c r="Z374" i="71" s="1"/>
  <c r="AD374" i="71" s="1"/>
  <c r="W373" i="71"/>
  <c r="V373" i="71"/>
  <c r="Q373" i="71"/>
  <c r="Z373" i="71" s="1"/>
  <c r="AD373" i="71" s="1"/>
  <c r="W372" i="71"/>
  <c r="V372" i="71"/>
  <c r="Q372" i="71"/>
  <c r="Z372" i="71" s="1"/>
  <c r="AD372" i="71" s="1"/>
  <c r="W371" i="71"/>
  <c r="V371" i="71"/>
  <c r="Q371" i="71"/>
  <c r="Z371" i="71" s="1"/>
  <c r="AD371" i="71" s="1"/>
  <c r="W370" i="71"/>
  <c r="V370" i="71"/>
  <c r="Q370" i="71"/>
  <c r="Z370" i="71" s="1"/>
  <c r="AD370" i="71" s="1"/>
  <c r="W369" i="71"/>
  <c r="V369" i="71"/>
  <c r="Q369" i="71"/>
  <c r="Z369" i="71" s="1"/>
  <c r="AD369" i="71" s="1"/>
  <c r="W368" i="71"/>
  <c r="V368" i="71"/>
  <c r="Q368" i="71"/>
  <c r="Z368" i="71" s="1"/>
  <c r="AD368" i="71" s="1"/>
  <c r="W367" i="71"/>
  <c r="V367" i="71"/>
  <c r="Q367" i="71"/>
  <c r="Z367" i="71" s="1"/>
  <c r="AD367" i="71" s="1"/>
  <c r="W366" i="71"/>
  <c r="V366" i="71"/>
  <c r="Q366" i="71"/>
  <c r="Z366" i="71" s="1"/>
  <c r="AD366" i="71" s="1"/>
  <c r="W365" i="71"/>
  <c r="V365" i="71"/>
  <c r="Q365" i="71"/>
  <c r="Z365" i="71" s="1"/>
  <c r="AD365" i="71" s="1"/>
  <c r="W364" i="71"/>
  <c r="V364" i="71"/>
  <c r="Q364" i="71"/>
  <c r="Z364" i="71" s="1"/>
  <c r="AD364" i="71" s="1"/>
  <c r="W363" i="71"/>
  <c r="V363" i="71"/>
  <c r="Q363" i="71"/>
  <c r="Z363" i="71" s="1"/>
  <c r="AD363" i="71" s="1"/>
  <c r="W362" i="71"/>
  <c r="V362" i="71"/>
  <c r="Q362" i="71"/>
  <c r="Z362" i="71" s="1"/>
  <c r="AD362" i="71" s="1"/>
  <c r="W361" i="71"/>
  <c r="V361" i="71"/>
  <c r="Q361" i="71"/>
  <c r="Z361" i="71" s="1"/>
  <c r="AD361" i="71" s="1"/>
  <c r="W360" i="71"/>
  <c r="V360" i="71"/>
  <c r="Q360" i="71"/>
  <c r="Z360" i="71" s="1"/>
  <c r="AD360" i="71" s="1"/>
  <c r="W359" i="71"/>
  <c r="V359" i="71"/>
  <c r="Q359" i="71"/>
  <c r="Z359" i="71" s="1"/>
  <c r="AD359" i="71" s="1"/>
  <c r="W358" i="71"/>
  <c r="V358" i="71"/>
  <c r="Q358" i="71"/>
  <c r="Z358" i="71" s="1"/>
  <c r="AD358" i="71" s="1"/>
  <c r="W357" i="71"/>
  <c r="V357" i="71"/>
  <c r="Q357" i="71"/>
  <c r="Z357" i="71" s="1"/>
  <c r="AD357" i="71" s="1"/>
  <c r="W356" i="71"/>
  <c r="V356" i="71"/>
  <c r="Q356" i="71"/>
  <c r="Z356" i="71" s="1"/>
  <c r="AD356" i="71" s="1"/>
  <c r="W355" i="71"/>
  <c r="V355" i="71"/>
  <c r="Q355" i="71"/>
  <c r="Z355" i="71" s="1"/>
  <c r="AD355" i="71" s="1"/>
  <c r="W354" i="71"/>
  <c r="V354" i="71"/>
  <c r="Q354" i="71"/>
  <c r="Z354" i="71" s="1"/>
  <c r="AD354" i="71" s="1"/>
  <c r="W353" i="71"/>
  <c r="V353" i="71"/>
  <c r="Q353" i="71"/>
  <c r="Z353" i="71" s="1"/>
  <c r="AD353" i="71" s="1"/>
  <c r="W352" i="71"/>
  <c r="V352" i="71"/>
  <c r="Q352" i="71"/>
  <c r="Z352" i="71" s="1"/>
  <c r="AD352" i="71" s="1"/>
  <c r="W351" i="71"/>
  <c r="V351" i="71"/>
  <c r="Q351" i="71"/>
  <c r="Z351" i="71" s="1"/>
  <c r="AD351" i="71" s="1"/>
  <c r="W350" i="71"/>
  <c r="V350" i="71"/>
  <c r="Q350" i="71"/>
  <c r="Z350" i="71" s="1"/>
  <c r="AD350" i="71" s="1"/>
  <c r="W349" i="71"/>
  <c r="V349" i="71"/>
  <c r="Q349" i="71"/>
  <c r="Z349" i="71" s="1"/>
  <c r="AD349" i="71" s="1"/>
  <c r="W348" i="71"/>
  <c r="V348" i="71"/>
  <c r="Q348" i="71"/>
  <c r="Z348" i="71" s="1"/>
  <c r="AD348" i="71" s="1"/>
  <c r="W347" i="71"/>
  <c r="V347" i="71"/>
  <c r="Q347" i="71"/>
  <c r="Z347" i="71" s="1"/>
  <c r="AD347" i="71" s="1"/>
  <c r="W346" i="71"/>
  <c r="V346" i="71"/>
  <c r="Q346" i="71"/>
  <c r="Z346" i="71" s="1"/>
  <c r="AD346" i="71" s="1"/>
  <c r="W345" i="71"/>
  <c r="V345" i="71"/>
  <c r="Q345" i="71"/>
  <c r="Z345" i="71" s="1"/>
  <c r="AD345" i="71" s="1"/>
  <c r="W344" i="71"/>
  <c r="V344" i="71"/>
  <c r="Q344" i="71"/>
  <c r="Z344" i="71" s="1"/>
  <c r="AD344" i="71" s="1"/>
  <c r="W343" i="71"/>
  <c r="V343" i="71"/>
  <c r="Q343" i="71"/>
  <c r="Z343" i="71" s="1"/>
  <c r="AD343" i="71" s="1"/>
  <c r="W342" i="71"/>
  <c r="V342" i="71"/>
  <c r="Q342" i="71"/>
  <c r="Z342" i="71" s="1"/>
  <c r="AD342" i="71" s="1"/>
  <c r="W341" i="71"/>
  <c r="V341" i="71"/>
  <c r="Q341" i="71"/>
  <c r="Z341" i="71" s="1"/>
  <c r="AD341" i="71" s="1"/>
  <c r="W340" i="71"/>
  <c r="V340" i="71"/>
  <c r="Q340" i="71"/>
  <c r="Z340" i="71" s="1"/>
  <c r="AD340" i="71" s="1"/>
  <c r="W339" i="71"/>
  <c r="V339" i="71"/>
  <c r="Q339" i="71"/>
  <c r="Z339" i="71" s="1"/>
  <c r="AD339" i="71" s="1"/>
  <c r="W338" i="71"/>
  <c r="V338" i="71"/>
  <c r="Q338" i="71"/>
  <c r="Z338" i="71" s="1"/>
  <c r="AD338" i="71" s="1"/>
  <c r="W337" i="71"/>
  <c r="V337" i="71"/>
  <c r="Q337" i="71"/>
  <c r="Z337" i="71" s="1"/>
  <c r="AD337" i="71" s="1"/>
  <c r="W336" i="71"/>
  <c r="V336" i="71"/>
  <c r="Q336" i="71"/>
  <c r="Z336" i="71" s="1"/>
  <c r="AD336" i="71" s="1"/>
  <c r="W335" i="71"/>
  <c r="V335" i="71"/>
  <c r="Q335" i="71"/>
  <c r="Z335" i="71" s="1"/>
  <c r="AD335" i="71" s="1"/>
  <c r="W334" i="71"/>
  <c r="V334" i="71"/>
  <c r="Q334" i="71"/>
  <c r="Z334" i="71" s="1"/>
  <c r="AD334" i="71" s="1"/>
  <c r="W333" i="71"/>
  <c r="V333" i="71"/>
  <c r="Q333" i="71"/>
  <c r="Z333" i="71" s="1"/>
  <c r="AD333" i="71" s="1"/>
  <c r="W332" i="71"/>
  <c r="V332" i="71"/>
  <c r="Q332" i="71"/>
  <c r="Z332" i="71" s="1"/>
  <c r="AD332" i="71" s="1"/>
  <c r="W331" i="71"/>
  <c r="V331" i="71"/>
  <c r="Q331" i="71"/>
  <c r="Z331" i="71" s="1"/>
  <c r="AD331" i="71" s="1"/>
  <c r="W330" i="71"/>
  <c r="V330" i="71"/>
  <c r="Q330" i="71"/>
  <c r="Z330" i="71" s="1"/>
  <c r="AD330" i="71" s="1"/>
  <c r="W329" i="71"/>
  <c r="V329" i="71"/>
  <c r="Q329" i="71"/>
  <c r="Z329" i="71" s="1"/>
  <c r="AD329" i="71" s="1"/>
  <c r="W328" i="71"/>
  <c r="V328" i="71"/>
  <c r="Q328" i="71"/>
  <c r="Z328" i="71" s="1"/>
  <c r="AD328" i="71" s="1"/>
  <c r="W327" i="71"/>
  <c r="V327" i="71"/>
  <c r="Q327" i="71"/>
  <c r="Z327" i="71" s="1"/>
  <c r="AD327" i="71" s="1"/>
  <c r="W326" i="71"/>
  <c r="V326" i="71"/>
  <c r="Q326" i="71"/>
  <c r="Z326" i="71" s="1"/>
  <c r="AD326" i="71" s="1"/>
  <c r="W325" i="71"/>
  <c r="V325" i="71"/>
  <c r="Q325" i="71"/>
  <c r="Z325" i="71" s="1"/>
  <c r="AD325" i="71" s="1"/>
  <c r="W324" i="71"/>
  <c r="V324" i="71"/>
  <c r="Q324" i="71"/>
  <c r="Z324" i="71" s="1"/>
  <c r="AD324" i="71" s="1"/>
  <c r="W323" i="71"/>
  <c r="V323" i="71"/>
  <c r="Q323" i="71"/>
  <c r="Z323" i="71" s="1"/>
  <c r="AD323" i="71" s="1"/>
  <c r="W322" i="71"/>
  <c r="V322" i="71"/>
  <c r="Q322" i="71"/>
  <c r="Z322" i="71" s="1"/>
  <c r="AD322" i="71" s="1"/>
  <c r="W321" i="71"/>
  <c r="V321" i="71"/>
  <c r="Q321" i="71"/>
  <c r="Z321" i="71" s="1"/>
  <c r="AD321" i="71" s="1"/>
  <c r="W320" i="71"/>
  <c r="V320" i="71"/>
  <c r="Q320" i="71"/>
  <c r="Z320" i="71" s="1"/>
  <c r="AD320" i="71" s="1"/>
  <c r="W319" i="71"/>
  <c r="V319" i="71"/>
  <c r="Q319" i="71"/>
  <c r="Z319" i="71" s="1"/>
  <c r="AD319" i="71" s="1"/>
  <c r="W318" i="71"/>
  <c r="V318" i="71"/>
  <c r="Q318" i="71"/>
  <c r="Z318" i="71" s="1"/>
  <c r="AD318" i="71" s="1"/>
  <c r="W317" i="71"/>
  <c r="V317" i="71"/>
  <c r="Q317" i="71"/>
  <c r="Z317" i="71" s="1"/>
  <c r="AD317" i="71" s="1"/>
  <c r="W316" i="71"/>
  <c r="V316" i="71"/>
  <c r="Q316" i="71"/>
  <c r="Z316" i="71" s="1"/>
  <c r="AD316" i="71" s="1"/>
  <c r="W315" i="71"/>
  <c r="V315" i="71"/>
  <c r="Q315" i="71"/>
  <c r="Z315" i="71" s="1"/>
  <c r="AD315" i="71" s="1"/>
  <c r="W314" i="71"/>
  <c r="V314" i="71"/>
  <c r="Q314" i="71"/>
  <c r="Z314" i="71" s="1"/>
  <c r="AD314" i="71" s="1"/>
  <c r="W313" i="71"/>
  <c r="V313" i="71"/>
  <c r="Q313" i="71"/>
  <c r="Z313" i="71" s="1"/>
  <c r="AD313" i="71" s="1"/>
  <c r="W312" i="71"/>
  <c r="V312" i="71"/>
  <c r="Q312" i="71"/>
  <c r="Z312" i="71" s="1"/>
  <c r="AD312" i="71" s="1"/>
  <c r="W311" i="71"/>
  <c r="V311" i="71"/>
  <c r="Q311" i="71"/>
  <c r="Z311" i="71" s="1"/>
  <c r="AD311" i="71" s="1"/>
  <c r="W310" i="71"/>
  <c r="V310" i="71"/>
  <c r="Q310" i="71"/>
  <c r="Z310" i="71" s="1"/>
  <c r="AD310" i="71" s="1"/>
  <c r="W309" i="71"/>
  <c r="V309" i="71"/>
  <c r="Q309" i="71"/>
  <c r="Z309" i="71" s="1"/>
  <c r="AD309" i="71" s="1"/>
  <c r="W308" i="71"/>
  <c r="V308" i="71"/>
  <c r="Q308" i="71"/>
  <c r="Z308" i="71" s="1"/>
  <c r="AD308" i="71" s="1"/>
  <c r="W307" i="71"/>
  <c r="V307" i="71"/>
  <c r="Q307" i="71"/>
  <c r="Z307" i="71" s="1"/>
  <c r="AD307" i="71" s="1"/>
  <c r="W306" i="71"/>
  <c r="V306" i="71"/>
  <c r="Q306" i="71"/>
  <c r="Z306" i="71" s="1"/>
  <c r="AD306" i="71" s="1"/>
  <c r="W305" i="71"/>
  <c r="V305" i="71"/>
  <c r="Q305" i="71"/>
  <c r="Z305" i="71" s="1"/>
  <c r="AD305" i="71" s="1"/>
  <c r="W304" i="71"/>
  <c r="V304" i="71"/>
  <c r="Q304" i="71"/>
  <c r="Z304" i="71" s="1"/>
  <c r="AD304" i="71" s="1"/>
  <c r="W303" i="71"/>
  <c r="V303" i="71"/>
  <c r="Q303" i="71"/>
  <c r="Z303" i="71" s="1"/>
  <c r="AD303" i="71" s="1"/>
  <c r="W302" i="71"/>
  <c r="V302" i="71"/>
  <c r="Q302" i="71"/>
  <c r="Z302" i="71" s="1"/>
  <c r="AD302" i="71" s="1"/>
  <c r="W301" i="71"/>
  <c r="V301" i="71"/>
  <c r="Q301" i="71"/>
  <c r="Z301" i="71" s="1"/>
  <c r="AD301" i="71" s="1"/>
  <c r="W300" i="71"/>
  <c r="V300" i="71"/>
  <c r="Q300" i="71"/>
  <c r="Z300" i="71" s="1"/>
  <c r="AD300" i="71" s="1"/>
  <c r="W299" i="71"/>
  <c r="V299" i="71"/>
  <c r="Q299" i="71"/>
  <c r="Z299" i="71" s="1"/>
  <c r="AD299" i="71" s="1"/>
  <c r="W298" i="71"/>
  <c r="V298" i="71"/>
  <c r="Q298" i="71"/>
  <c r="Z298" i="71" s="1"/>
  <c r="AD298" i="71" s="1"/>
  <c r="W297" i="71"/>
  <c r="V297" i="71"/>
  <c r="Q297" i="71"/>
  <c r="Z297" i="71" s="1"/>
  <c r="AD297" i="71" s="1"/>
  <c r="W296" i="71"/>
  <c r="V296" i="71"/>
  <c r="Q296" i="71"/>
  <c r="Z296" i="71" s="1"/>
  <c r="AD296" i="71" s="1"/>
  <c r="W295" i="71"/>
  <c r="V295" i="71"/>
  <c r="Q295" i="71"/>
  <c r="Z295" i="71" s="1"/>
  <c r="AD295" i="71" s="1"/>
  <c r="W294" i="71"/>
  <c r="V294" i="71"/>
  <c r="Q294" i="71"/>
  <c r="Z294" i="71" s="1"/>
  <c r="AD294" i="71" s="1"/>
  <c r="W293" i="71"/>
  <c r="V293" i="71"/>
  <c r="Q293" i="71"/>
  <c r="Z293" i="71" s="1"/>
  <c r="AD293" i="71" s="1"/>
  <c r="W292" i="71"/>
  <c r="V292" i="71"/>
  <c r="Q292" i="71"/>
  <c r="Z292" i="71" s="1"/>
  <c r="AD292" i="71" s="1"/>
  <c r="W291" i="71"/>
  <c r="V291" i="71"/>
  <c r="Q291" i="71"/>
  <c r="Z291" i="71" s="1"/>
  <c r="AD291" i="71" s="1"/>
  <c r="W290" i="71"/>
  <c r="V290" i="71"/>
  <c r="Q290" i="71"/>
  <c r="Z290" i="71" s="1"/>
  <c r="AD290" i="71" s="1"/>
  <c r="W289" i="71"/>
  <c r="V289" i="71"/>
  <c r="Q289" i="71"/>
  <c r="Z289" i="71" s="1"/>
  <c r="AD289" i="71" s="1"/>
  <c r="W288" i="71"/>
  <c r="V288" i="71"/>
  <c r="Q288" i="71"/>
  <c r="Z288" i="71" s="1"/>
  <c r="AD288" i="71" s="1"/>
  <c r="W287" i="71"/>
  <c r="V287" i="71"/>
  <c r="Q287" i="71"/>
  <c r="Z287" i="71" s="1"/>
  <c r="AD287" i="71" s="1"/>
  <c r="W286" i="71"/>
  <c r="V286" i="71"/>
  <c r="Q286" i="71"/>
  <c r="Z286" i="71" s="1"/>
  <c r="AD286" i="71" s="1"/>
  <c r="W285" i="71"/>
  <c r="V285" i="71"/>
  <c r="Q285" i="71"/>
  <c r="Z285" i="71" s="1"/>
  <c r="AD285" i="71" s="1"/>
  <c r="W284" i="71"/>
  <c r="V284" i="71"/>
  <c r="Q284" i="71"/>
  <c r="Z284" i="71" s="1"/>
  <c r="AD284" i="71" s="1"/>
  <c r="W283" i="71"/>
  <c r="V283" i="71"/>
  <c r="Q283" i="71"/>
  <c r="Z283" i="71" s="1"/>
  <c r="AD283" i="71" s="1"/>
  <c r="W282" i="71"/>
  <c r="V282" i="71"/>
  <c r="Q282" i="71"/>
  <c r="Z282" i="71" s="1"/>
  <c r="AD282" i="71" s="1"/>
  <c r="W281" i="71"/>
  <c r="V281" i="71"/>
  <c r="Q281" i="71"/>
  <c r="Z281" i="71" s="1"/>
  <c r="AD281" i="71" s="1"/>
  <c r="W280" i="71"/>
  <c r="V280" i="71"/>
  <c r="Q280" i="71"/>
  <c r="Z280" i="71" s="1"/>
  <c r="AD280" i="71" s="1"/>
  <c r="W279" i="71"/>
  <c r="V279" i="71"/>
  <c r="Q279" i="71"/>
  <c r="Z279" i="71" s="1"/>
  <c r="AD279" i="71" s="1"/>
  <c r="W278" i="71"/>
  <c r="V278" i="71"/>
  <c r="Q278" i="71"/>
  <c r="Z278" i="71" s="1"/>
  <c r="AD278" i="71" s="1"/>
  <c r="W277" i="71"/>
  <c r="V277" i="71"/>
  <c r="Q277" i="71"/>
  <c r="Z277" i="71" s="1"/>
  <c r="AD277" i="71" s="1"/>
  <c r="W276" i="71"/>
  <c r="V276" i="71"/>
  <c r="Q276" i="71"/>
  <c r="Z276" i="71" s="1"/>
  <c r="AD276" i="71" s="1"/>
  <c r="W275" i="71"/>
  <c r="V275" i="71"/>
  <c r="Q275" i="71"/>
  <c r="Z275" i="71" s="1"/>
  <c r="AD275" i="71" s="1"/>
  <c r="W274" i="71"/>
  <c r="V274" i="71"/>
  <c r="Q274" i="71"/>
  <c r="Z274" i="71" s="1"/>
  <c r="AD274" i="71" s="1"/>
  <c r="W273" i="71"/>
  <c r="V273" i="71"/>
  <c r="Q273" i="71"/>
  <c r="Z273" i="71" s="1"/>
  <c r="AD273" i="71" s="1"/>
  <c r="W272" i="71"/>
  <c r="V272" i="71"/>
  <c r="Q272" i="71"/>
  <c r="Z272" i="71" s="1"/>
  <c r="AD272" i="71" s="1"/>
  <c r="W271" i="71"/>
  <c r="V271" i="71"/>
  <c r="Q271" i="71"/>
  <c r="Z271" i="71" s="1"/>
  <c r="AD271" i="71" s="1"/>
  <c r="W270" i="71"/>
  <c r="V270" i="71"/>
  <c r="Q270" i="71"/>
  <c r="Z270" i="71" s="1"/>
  <c r="AD270" i="71" s="1"/>
  <c r="Q269" i="71"/>
  <c r="Z269" i="71" s="1"/>
  <c r="AD269" i="71" s="1"/>
  <c r="W268" i="71"/>
  <c r="V268" i="71"/>
  <c r="Q268" i="71"/>
  <c r="Z268" i="71" s="1"/>
  <c r="AD268" i="71" s="1"/>
  <c r="Q267" i="71"/>
  <c r="Z267" i="71" s="1"/>
  <c r="AD267" i="71" s="1"/>
  <c r="Q266" i="71"/>
  <c r="Z266" i="71" s="1"/>
  <c r="AD266" i="71" s="1"/>
  <c r="Q265" i="71"/>
  <c r="Z265" i="71" s="1"/>
  <c r="AD265" i="71" s="1"/>
  <c r="W264" i="71"/>
  <c r="V264" i="71"/>
  <c r="Q264" i="71"/>
  <c r="Z264" i="71" s="1"/>
  <c r="AD264" i="71" s="1"/>
  <c r="Q263" i="71"/>
  <c r="Z263" i="71" s="1"/>
  <c r="AD263" i="71" s="1"/>
  <c r="W262" i="71"/>
  <c r="V262" i="71"/>
  <c r="Q262" i="71"/>
  <c r="Z262" i="71" s="1"/>
  <c r="AD262" i="71" s="1"/>
  <c r="W261" i="71"/>
  <c r="V261" i="71"/>
  <c r="Q261" i="71"/>
  <c r="Z261" i="71" s="1"/>
  <c r="AD261" i="71" s="1"/>
  <c r="Q260" i="71"/>
  <c r="Z260" i="71" s="1"/>
  <c r="AD260" i="71" s="1"/>
  <c r="W259" i="71"/>
  <c r="V259" i="71"/>
  <c r="Q259" i="71"/>
  <c r="Z259" i="71" s="1"/>
  <c r="AD259" i="71" s="1"/>
  <c r="Q258" i="71"/>
  <c r="Z258" i="71" s="1"/>
  <c r="AD258" i="71" s="1"/>
  <c r="Q257" i="71"/>
  <c r="Z257" i="71" s="1"/>
  <c r="AD257" i="71" s="1"/>
  <c r="W256" i="71"/>
  <c r="V256" i="71"/>
  <c r="Q256" i="71"/>
  <c r="Z256" i="71" s="1"/>
  <c r="AD256" i="71" s="1"/>
  <c r="W255" i="71"/>
  <c r="V255" i="71"/>
  <c r="Q255" i="71"/>
  <c r="Z255" i="71" s="1"/>
  <c r="AD255" i="71" s="1"/>
  <c r="W254" i="71"/>
  <c r="V254" i="71"/>
  <c r="Q254" i="71"/>
  <c r="Z254" i="71" s="1"/>
  <c r="AD254" i="71" s="1"/>
  <c r="W253" i="71"/>
  <c r="V253" i="71"/>
  <c r="Q253" i="71"/>
  <c r="Z253" i="71" s="1"/>
  <c r="AD253" i="71" s="1"/>
  <c r="Q252" i="71"/>
  <c r="Z252" i="71" s="1"/>
  <c r="AD252" i="71" s="1"/>
  <c r="Q251" i="71"/>
  <c r="Z251" i="71" s="1"/>
  <c r="AD251" i="71" s="1"/>
  <c r="Q250" i="71"/>
  <c r="Z250" i="71" s="1"/>
  <c r="AD250" i="71" s="1"/>
  <c r="Q249" i="71"/>
  <c r="Z249" i="71" s="1"/>
  <c r="AD249" i="71" s="1"/>
  <c r="Q248" i="71"/>
  <c r="Z248" i="71" s="1"/>
  <c r="AD248" i="71" s="1"/>
  <c r="W247" i="71"/>
  <c r="V247" i="71"/>
  <c r="Q247" i="71"/>
  <c r="Z247" i="71" s="1"/>
  <c r="AD247" i="71" s="1"/>
  <c r="Q246" i="71"/>
  <c r="Z246" i="71" s="1"/>
  <c r="AD246" i="71" s="1"/>
  <c r="Q245" i="71"/>
  <c r="Z245" i="71" s="1"/>
  <c r="AD245" i="71" s="1"/>
  <c r="Q244" i="71"/>
  <c r="Z244" i="71" s="1"/>
  <c r="AD244" i="71" s="1"/>
  <c r="Q243" i="71"/>
  <c r="Z243" i="71" s="1"/>
  <c r="AD243" i="71" s="1"/>
  <c r="Q242" i="71"/>
  <c r="Z242" i="71" s="1"/>
  <c r="AD242" i="71" s="1"/>
  <c r="W241" i="71"/>
  <c r="V241" i="71"/>
  <c r="Q241" i="71"/>
  <c r="Z241" i="71" s="1"/>
  <c r="AD241" i="71" s="1"/>
  <c r="W240" i="71"/>
  <c r="V240" i="71"/>
  <c r="Q240" i="71"/>
  <c r="Z240" i="71" s="1"/>
  <c r="AD240" i="71" s="1"/>
  <c r="Q239" i="71"/>
  <c r="Z239" i="71" s="1"/>
  <c r="AD239" i="71" s="1"/>
  <c r="W238" i="71"/>
  <c r="V238" i="71"/>
  <c r="Q238" i="71"/>
  <c r="Z238" i="71" s="1"/>
  <c r="AD238" i="71" s="1"/>
  <c r="W237" i="71"/>
  <c r="V237" i="71"/>
  <c r="Q237" i="71"/>
  <c r="Z237" i="71" s="1"/>
  <c r="AD237" i="71" s="1"/>
  <c r="W236" i="71"/>
  <c r="V236" i="71"/>
  <c r="Q236" i="71"/>
  <c r="Z236" i="71" s="1"/>
  <c r="AD236" i="71" s="1"/>
  <c r="W235" i="71"/>
  <c r="V235" i="71"/>
  <c r="Q235" i="71"/>
  <c r="Z235" i="71" s="1"/>
  <c r="AD235" i="71" s="1"/>
  <c r="W234" i="71"/>
  <c r="V234" i="71"/>
  <c r="Q234" i="71"/>
  <c r="Z234" i="71" s="1"/>
  <c r="AD234" i="71" s="1"/>
  <c r="W233" i="71"/>
  <c r="V233" i="71"/>
  <c r="Q233" i="71"/>
  <c r="Z233" i="71" s="1"/>
  <c r="AD233" i="71" s="1"/>
  <c r="W232" i="71"/>
  <c r="V232" i="71"/>
  <c r="Q232" i="71"/>
  <c r="Z232" i="71" s="1"/>
  <c r="AD232" i="71" s="1"/>
  <c r="W231" i="71"/>
  <c r="V231" i="71"/>
  <c r="Q231" i="71"/>
  <c r="Z231" i="71" s="1"/>
  <c r="AD231" i="71" s="1"/>
  <c r="W230" i="71"/>
  <c r="V230" i="71"/>
  <c r="Q230" i="71"/>
  <c r="Z230" i="71" s="1"/>
  <c r="AD230" i="71" s="1"/>
  <c r="W229" i="71"/>
  <c r="V229" i="71"/>
  <c r="Q229" i="71"/>
  <c r="Z229" i="71" s="1"/>
  <c r="AD229" i="71" s="1"/>
  <c r="W228" i="71"/>
  <c r="V228" i="71"/>
  <c r="Q228" i="71"/>
  <c r="Z228" i="71" s="1"/>
  <c r="AD228" i="71" s="1"/>
  <c r="W227" i="71"/>
  <c r="V227" i="71"/>
  <c r="Q227" i="71"/>
  <c r="Z227" i="71" s="1"/>
  <c r="AD227" i="71" s="1"/>
  <c r="W226" i="71"/>
  <c r="V226" i="71"/>
  <c r="Q226" i="71"/>
  <c r="Z226" i="71" s="1"/>
  <c r="AD226" i="71" s="1"/>
  <c r="W225" i="71"/>
  <c r="V225" i="71"/>
  <c r="Q225" i="71"/>
  <c r="Z225" i="71" s="1"/>
  <c r="AD225" i="71" s="1"/>
  <c r="W224" i="71"/>
  <c r="V224" i="71"/>
  <c r="Q224" i="71"/>
  <c r="Z224" i="71" s="1"/>
  <c r="AD224" i="71" s="1"/>
  <c r="Q223" i="71"/>
  <c r="Z223" i="71" s="1"/>
  <c r="AD223" i="71" s="1"/>
  <c r="W222" i="71"/>
  <c r="V222" i="71"/>
  <c r="Q222" i="71"/>
  <c r="Z222" i="71" s="1"/>
  <c r="AD222" i="71" s="1"/>
  <c r="W221" i="71"/>
  <c r="V221" i="71"/>
  <c r="Q221" i="71"/>
  <c r="Z221" i="71" s="1"/>
  <c r="AD221" i="71" s="1"/>
  <c r="W220" i="71"/>
  <c r="V220" i="71"/>
  <c r="Q220" i="71"/>
  <c r="Z220" i="71" s="1"/>
  <c r="AD220" i="71" s="1"/>
  <c r="W219" i="71"/>
  <c r="V219" i="71"/>
  <c r="Q219" i="71"/>
  <c r="Z219" i="71" s="1"/>
  <c r="AD219" i="71" s="1"/>
  <c r="W218" i="71"/>
  <c r="V218" i="71"/>
  <c r="Q218" i="71"/>
  <c r="Z218" i="71" s="1"/>
  <c r="AD218" i="71" s="1"/>
  <c r="W217" i="71"/>
  <c r="V217" i="71"/>
  <c r="Q217" i="71"/>
  <c r="Z217" i="71" s="1"/>
  <c r="AD217" i="71" s="1"/>
  <c r="W216" i="71"/>
  <c r="V216" i="71"/>
  <c r="Q216" i="71"/>
  <c r="Z216" i="71" s="1"/>
  <c r="AD216" i="71" s="1"/>
  <c r="W215" i="71"/>
  <c r="V215" i="71"/>
  <c r="Q215" i="71"/>
  <c r="Z215" i="71" s="1"/>
  <c r="AD215" i="71" s="1"/>
  <c r="W214" i="71"/>
  <c r="V214" i="71"/>
  <c r="Q214" i="71"/>
  <c r="Z214" i="71" s="1"/>
  <c r="AD214" i="71" s="1"/>
  <c r="W213" i="71"/>
  <c r="V213" i="71"/>
  <c r="Q213" i="71"/>
  <c r="Z213" i="71" s="1"/>
  <c r="AD213" i="71" s="1"/>
  <c r="W212" i="71"/>
  <c r="V212" i="71"/>
  <c r="Q212" i="71"/>
  <c r="Z212" i="71" s="1"/>
  <c r="AD212" i="71" s="1"/>
  <c r="W211" i="71"/>
  <c r="V211" i="71"/>
  <c r="Q211" i="71"/>
  <c r="Z211" i="71" s="1"/>
  <c r="AD211" i="71" s="1"/>
  <c r="W210" i="71"/>
  <c r="V210" i="71"/>
  <c r="Q210" i="71"/>
  <c r="Z210" i="71" s="1"/>
  <c r="AD210" i="71" s="1"/>
  <c r="W209" i="71"/>
  <c r="V209" i="71"/>
  <c r="Q209" i="71"/>
  <c r="Z209" i="71" s="1"/>
  <c r="AD209" i="71" s="1"/>
  <c r="W208" i="71"/>
  <c r="V208" i="71"/>
  <c r="Q208" i="71"/>
  <c r="Z208" i="71" s="1"/>
  <c r="AD208" i="71" s="1"/>
  <c r="W207" i="71"/>
  <c r="V207" i="71"/>
  <c r="Q207" i="71"/>
  <c r="Z207" i="71" s="1"/>
  <c r="AD207" i="71" s="1"/>
  <c r="W206" i="71"/>
  <c r="V206" i="71"/>
  <c r="Q206" i="71"/>
  <c r="Z206" i="71" s="1"/>
  <c r="AD206" i="71" s="1"/>
  <c r="W205" i="71"/>
  <c r="V205" i="71"/>
  <c r="Q205" i="71"/>
  <c r="Z205" i="71" s="1"/>
  <c r="AD205" i="71" s="1"/>
  <c r="W204" i="71"/>
  <c r="V204" i="71"/>
  <c r="Q204" i="71"/>
  <c r="Z204" i="71" s="1"/>
  <c r="AD204" i="71" s="1"/>
  <c r="W203" i="71"/>
  <c r="V203" i="71"/>
  <c r="Q203" i="71"/>
  <c r="Z203" i="71" s="1"/>
  <c r="AD203" i="71" s="1"/>
  <c r="W202" i="71"/>
  <c r="V202" i="71"/>
  <c r="Q202" i="71"/>
  <c r="Z202" i="71" s="1"/>
  <c r="AD202" i="71" s="1"/>
  <c r="W201" i="71"/>
  <c r="V201" i="71"/>
  <c r="Q201" i="71"/>
  <c r="Z201" i="71" s="1"/>
  <c r="AD201" i="71" s="1"/>
  <c r="W200" i="71"/>
  <c r="V200" i="71"/>
  <c r="Q200" i="71"/>
  <c r="Z200" i="71" s="1"/>
  <c r="AD200" i="71" s="1"/>
  <c r="W199" i="71"/>
  <c r="V199" i="71"/>
  <c r="Q199" i="71"/>
  <c r="Z199" i="71" s="1"/>
  <c r="AD199" i="71" s="1"/>
  <c r="W198" i="71"/>
  <c r="V198" i="71"/>
  <c r="Q198" i="71"/>
  <c r="Z198" i="71" s="1"/>
  <c r="AD198" i="71" s="1"/>
  <c r="W197" i="71"/>
  <c r="V197" i="71"/>
  <c r="Q197" i="71"/>
  <c r="Z197" i="71" s="1"/>
  <c r="AD197" i="71" s="1"/>
  <c r="W196" i="71"/>
  <c r="V196" i="71"/>
  <c r="Q196" i="71"/>
  <c r="Z196" i="71" s="1"/>
  <c r="AD196" i="71" s="1"/>
  <c r="W195" i="71"/>
  <c r="V195" i="71"/>
  <c r="Q195" i="71"/>
  <c r="Z195" i="71" s="1"/>
  <c r="AD195" i="71" s="1"/>
  <c r="W194" i="71"/>
  <c r="V194" i="71"/>
  <c r="Q194" i="71"/>
  <c r="Z194" i="71" s="1"/>
  <c r="AD194" i="71" s="1"/>
  <c r="W193" i="71"/>
  <c r="V193" i="71"/>
  <c r="Q193" i="71"/>
  <c r="Z193" i="71" s="1"/>
  <c r="AD193" i="71" s="1"/>
  <c r="W192" i="71"/>
  <c r="V192" i="71"/>
  <c r="Q192" i="71"/>
  <c r="Z192" i="71" s="1"/>
  <c r="AD192" i="71" s="1"/>
  <c r="W191" i="71"/>
  <c r="V191" i="71"/>
  <c r="Q191" i="71"/>
  <c r="Z191" i="71" s="1"/>
  <c r="AD191" i="71" s="1"/>
  <c r="W190" i="71"/>
  <c r="V190" i="71"/>
  <c r="Q190" i="71"/>
  <c r="Z190" i="71" s="1"/>
  <c r="AD190" i="71" s="1"/>
  <c r="W189" i="71"/>
  <c r="V189" i="71"/>
  <c r="Q189" i="71"/>
  <c r="Z189" i="71" s="1"/>
  <c r="AD189" i="71" s="1"/>
  <c r="W188" i="71"/>
  <c r="V188" i="71"/>
  <c r="Q188" i="71"/>
  <c r="Z188" i="71" s="1"/>
  <c r="AD188" i="71" s="1"/>
  <c r="W187" i="71"/>
  <c r="V187" i="71"/>
  <c r="Q187" i="71"/>
  <c r="Z187" i="71" s="1"/>
  <c r="AD187" i="71" s="1"/>
  <c r="W186" i="71"/>
  <c r="V186" i="71"/>
  <c r="Q186" i="71"/>
  <c r="Z186" i="71" s="1"/>
  <c r="AD186" i="71" s="1"/>
  <c r="W185" i="71"/>
  <c r="V185" i="71"/>
  <c r="Q185" i="71"/>
  <c r="Z185" i="71" s="1"/>
  <c r="AD185" i="71" s="1"/>
  <c r="W184" i="71"/>
  <c r="V184" i="71"/>
  <c r="Q184" i="71"/>
  <c r="Z184" i="71" s="1"/>
  <c r="AD184" i="71" s="1"/>
  <c r="W183" i="71"/>
  <c r="V183" i="71"/>
  <c r="Q183" i="71"/>
  <c r="Z183" i="71" s="1"/>
  <c r="AD183" i="71" s="1"/>
  <c r="W182" i="71"/>
  <c r="V182" i="71"/>
  <c r="Q182" i="71"/>
  <c r="Z182" i="71" s="1"/>
  <c r="AD182" i="71" s="1"/>
  <c r="W181" i="71"/>
  <c r="V181" i="71"/>
  <c r="Q181" i="71"/>
  <c r="Z181" i="71" s="1"/>
  <c r="AD181" i="71" s="1"/>
  <c r="W180" i="71"/>
  <c r="V180" i="71"/>
  <c r="Q180" i="71"/>
  <c r="Z180" i="71" s="1"/>
  <c r="AD180" i="71" s="1"/>
  <c r="W179" i="71"/>
  <c r="V179" i="71"/>
  <c r="Q179" i="71"/>
  <c r="Z179" i="71" s="1"/>
  <c r="AD179" i="71" s="1"/>
  <c r="W178" i="71"/>
  <c r="V178" i="71"/>
  <c r="Q178" i="71"/>
  <c r="Z178" i="71" s="1"/>
  <c r="AD178" i="71" s="1"/>
  <c r="W177" i="71"/>
  <c r="V177" i="71"/>
  <c r="Q177" i="71"/>
  <c r="Z177" i="71" s="1"/>
  <c r="AD177" i="71" s="1"/>
  <c r="W176" i="71"/>
  <c r="V176" i="71"/>
  <c r="Q176" i="71"/>
  <c r="Z176" i="71" s="1"/>
  <c r="AD176" i="71" s="1"/>
  <c r="W175" i="71"/>
  <c r="V175" i="71"/>
  <c r="Q175" i="71"/>
  <c r="Z175" i="71" s="1"/>
  <c r="AD175" i="71" s="1"/>
  <c r="W174" i="71"/>
  <c r="V174" i="71"/>
  <c r="Q174" i="71"/>
  <c r="Z174" i="71" s="1"/>
  <c r="AD174" i="71" s="1"/>
  <c r="W173" i="71"/>
  <c r="V173" i="71"/>
  <c r="Q173" i="71"/>
  <c r="Z173" i="71" s="1"/>
  <c r="AD173" i="71" s="1"/>
  <c r="W172" i="71"/>
  <c r="V172" i="71"/>
  <c r="Q172" i="71"/>
  <c r="Z172" i="71" s="1"/>
  <c r="AD172" i="71" s="1"/>
  <c r="W171" i="71"/>
  <c r="V171" i="71"/>
  <c r="Q171" i="71"/>
  <c r="Z171" i="71" s="1"/>
  <c r="AD171" i="71" s="1"/>
  <c r="W170" i="71"/>
  <c r="V170" i="71"/>
  <c r="Q170" i="71"/>
  <c r="Z170" i="71" s="1"/>
  <c r="AD170" i="71" s="1"/>
  <c r="W169" i="71"/>
  <c r="V169" i="71"/>
  <c r="Q169" i="71"/>
  <c r="Z169" i="71" s="1"/>
  <c r="AD169" i="71" s="1"/>
  <c r="W168" i="71"/>
  <c r="V168" i="71"/>
  <c r="Q168" i="71"/>
  <c r="Z168" i="71" s="1"/>
  <c r="AD168" i="71" s="1"/>
  <c r="W167" i="71"/>
  <c r="V167" i="71"/>
  <c r="Q167" i="71"/>
  <c r="Z167" i="71" s="1"/>
  <c r="AD167" i="71" s="1"/>
  <c r="W166" i="71"/>
  <c r="V166" i="71"/>
  <c r="Q166" i="71"/>
  <c r="Z166" i="71" s="1"/>
  <c r="AD166" i="71" s="1"/>
  <c r="W165" i="71"/>
  <c r="V165" i="71"/>
  <c r="Q165" i="71"/>
  <c r="Z165" i="71" s="1"/>
  <c r="AD165" i="71" s="1"/>
  <c r="W164" i="71"/>
  <c r="V164" i="71"/>
  <c r="Q164" i="71"/>
  <c r="Z164" i="71" s="1"/>
  <c r="AD164" i="71" s="1"/>
  <c r="W163" i="71"/>
  <c r="V163" i="71"/>
  <c r="Q163" i="71"/>
  <c r="Z163" i="71" s="1"/>
  <c r="AD163" i="71" s="1"/>
  <c r="W162" i="71"/>
  <c r="V162" i="71"/>
  <c r="Q162" i="71"/>
  <c r="Z162" i="71" s="1"/>
  <c r="AD162" i="71" s="1"/>
  <c r="W161" i="71"/>
  <c r="V161" i="71"/>
  <c r="Q161" i="71"/>
  <c r="Z161" i="71" s="1"/>
  <c r="AD161" i="71" s="1"/>
  <c r="W160" i="71"/>
  <c r="V160" i="71"/>
  <c r="Q160" i="71"/>
  <c r="Z160" i="71" s="1"/>
  <c r="AD160" i="71" s="1"/>
  <c r="W159" i="71"/>
  <c r="V159" i="71"/>
  <c r="Q159" i="71"/>
  <c r="Z159" i="71" s="1"/>
  <c r="AD159" i="71" s="1"/>
  <c r="W158" i="71"/>
  <c r="V158" i="71"/>
  <c r="Q158" i="71"/>
  <c r="Z158" i="71" s="1"/>
  <c r="AD158" i="71" s="1"/>
  <c r="W157" i="71"/>
  <c r="V157" i="71"/>
  <c r="Q157" i="71"/>
  <c r="Z157" i="71" s="1"/>
  <c r="AD157" i="71" s="1"/>
  <c r="W156" i="71"/>
  <c r="V156" i="71"/>
  <c r="Q156" i="71"/>
  <c r="Z156" i="71" s="1"/>
  <c r="AD156" i="71" s="1"/>
  <c r="W155" i="71"/>
  <c r="V155" i="71"/>
  <c r="Q155" i="71"/>
  <c r="Z155" i="71" s="1"/>
  <c r="AD155" i="71" s="1"/>
  <c r="W154" i="71"/>
  <c r="V154" i="71"/>
  <c r="Q154" i="71"/>
  <c r="Z154" i="71" s="1"/>
  <c r="AD154" i="71" s="1"/>
  <c r="W153" i="71"/>
  <c r="V153" i="71"/>
  <c r="Q153" i="71"/>
  <c r="Z153" i="71" s="1"/>
  <c r="AD153" i="71" s="1"/>
  <c r="W152" i="71"/>
  <c r="V152" i="71"/>
  <c r="Q152" i="71"/>
  <c r="Z152" i="71" s="1"/>
  <c r="AD152" i="71" s="1"/>
  <c r="W151" i="71"/>
  <c r="V151" i="71"/>
  <c r="Q151" i="71"/>
  <c r="Z151" i="71" s="1"/>
  <c r="AD151" i="71" s="1"/>
  <c r="W150" i="71"/>
  <c r="V150" i="71"/>
  <c r="Q150" i="71"/>
  <c r="Z150" i="71" s="1"/>
  <c r="AD150" i="71" s="1"/>
  <c r="W149" i="71"/>
  <c r="V149" i="71"/>
  <c r="Q149" i="71"/>
  <c r="Z149" i="71" s="1"/>
  <c r="AD149" i="71" s="1"/>
  <c r="W148" i="71"/>
  <c r="V148" i="71"/>
  <c r="Q148" i="71"/>
  <c r="Z148" i="71" s="1"/>
  <c r="AD148" i="71" s="1"/>
  <c r="W147" i="71"/>
  <c r="V147" i="71"/>
  <c r="Q147" i="71"/>
  <c r="Z147" i="71" s="1"/>
  <c r="AD147" i="71" s="1"/>
  <c r="W146" i="71"/>
  <c r="V146" i="71"/>
  <c r="Q146" i="71"/>
  <c r="Z146" i="71" s="1"/>
  <c r="AD146" i="71" s="1"/>
  <c r="W145" i="71"/>
  <c r="V145" i="71"/>
  <c r="Q145" i="71"/>
  <c r="Z145" i="71" s="1"/>
  <c r="AD145" i="71" s="1"/>
  <c r="W144" i="71"/>
  <c r="V144" i="71"/>
  <c r="Q144" i="71"/>
  <c r="Z144" i="71" s="1"/>
  <c r="AD144" i="71" s="1"/>
  <c r="W143" i="71"/>
  <c r="V143" i="71"/>
  <c r="Q143" i="71"/>
  <c r="Z143" i="71" s="1"/>
  <c r="AD143" i="71" s="1"/>
  <c r="W142" i="71"/>
  <c r="V142" i="71"/>
  <c r="Q142" i="71"/>
  <c r="Z142" i="71" s="1"/>
  <c r="AD142" i="71" s="1"/>
  <c r="W141" i="71"/>
  <c r="V141" i="71"/>
  <c r="Q141" i="71"/>
  <c r="Z141" i="71" s="1"/>
  <c r="AD141" i="71" s="1"/>
  <c r="W140" i="71"/>
  <c r="V140" i="71"/>
  <c r="Q140" i="71"/>
  <c r="Z140" i="71" s="1"/>
  <c r="AD140" i="71" s="1"/>
  <c r="W139" i="71"/>
  <c r="V139" i="71"/>
  <c r="Q139" i="71"/>
  <c r="Z139" i="71" s="1"/>
  <c r="AD139" i="71" s="1"/>
  <c r="W138" i="71"/>
  <c r="V138" i="71"/>
  <c r="Q138" i="71"/>
  <c r="Z138" i="71" s="1"/>
  <c r="AD138" i="71" s="1"/>
  <c r="W137" i="71"/>
  <c r="V137" i="71"/>
  <c r="Q137" i="71"/>
  <c r="Z137" i="71" s="1"/>
  <c r="AD137" i="71" s="1"/>
  <c r="W136" i="71"/>
  <c r="V136" i="71"/>
  <c r="Q136" i="71"/>
  <c r="Z136" i="71" s="1"/>
  <c r="AD136" i="71" s="1"/>
  <c r="W135" i="71"/>
  <c r="V135" i="71"/>
  <c r="Q135" i="71"/>
  <c r="Z135" i="71" s="1"/>
  <c r="AD135" i="71" s="1"/>
  <c r="W134" i="71"/>
  <c r="V134" i="71"/>
  <c r="Q134" i="71"/>
  <c r="Z134" i="71" s="1"/>
  <c r="AD134" i="71" s="1"/>
  <c r="W133" i="71"/>
  <c r="V133" i="71"/>
  <c r="Q133" i="71"/>
  <c r="Z133" i="71" s="1"/>
  <c r="AD133" i="71" s="1"/>
  <c r="W132" i="71"/>
  <c r="V132" i="71"/>
  <c r="Q132" i="71"/>
  <c r="Z132" i="71" s="1"/>
  <c r="AD132" i="71" s="1"/>
  <c r="W131" i="71"/>
  <c r="V131" i="71"/>
  <c r="Q131" i="71"/>
  <c r="Z131" i="71" s="1"/>
  <c r="AD131" i="71" s="1"/>
  <c r="W130" i="71"/>
  <c r="V130" i="71"/>
  <c r="Q130" i="71"/>
  <c r="Z130" i="71" s="1"/>
  <c r="AD130" i="71" s="1"/>
  <c r="W129" i="71"/>
  <c r="V129" i="71"/>
  <c r="Q129" i="71"/>
  <c r="Z129" i="71" s="1"/>
  <c r="AD129" i="71" s="1"/>
  <c r="W128" i="71"/>
  <c r="V128" i="71"/>
  <c r="Q128" i="71"/>
  <c r="Z128" i="71" s="1"/>
  <c r="AD128" i="71" s="1"/>
  <c r="W127" i="71"/>
  <c r="V127" i="71"/>
  <c r="Q127" i="71"/>
  <c r="Z127" i="71" s="1"/>
  <c r="AD127" i="71" s="1"/>
  <c r="W126" i="71"/>
  <c r="V126" i="71"/>
  <c r="Q126" i="71"/>
  <c r="Z126" i="71" s="1"/>
  <c r="AD126" i="71" s="1"/>
  <c r="W125" i="71"/>
  <c r="V125" i="71"/>
  <c r="Q125" i="71"/>
  <c r="Z125" i="71" s="1"/>
  <c r="AD125" i="71" s="1"/>
  <c r="W124" i="71"/>
  <c r="V124" i="71"/>
  <c r="Q124" i="71"/>
  <c r="Z124" i="71" s="1"/>
  <c r="AD124" i="71" s="1"/>
  <c r="W123" i="71"/>
  <c r="V123" i="71"/>
  <c r="Q123" i="71"/>
  <c r="Z123" i="71" s="1"/>
  <c r="AD123" i="71" s="1"/>
  <c r="W122" i="71"/>
  <c r="V122" i="71"/>
  <c r="Q122" i="71"/>
  <c r="Z122" i="71" s="1"/>
  <c r="AD122" i="71" s="1"/>
  <c r="W121" i="71"/>
  <c r="V121" i="71"/>
  <c r="Q121" i="71"/>
  <c r="Z121" i="71" s="1"/>
  <c r="AD121" i="71" s="1"/>
  <c r="W120" i="71"/>
  <c r="V120" i="71"/>
  <c r="Q120" i="71"/>
  <c r="Z120" i="71" s="1"/>
  <c r="AD120" i="71" s="1"/>
  <c r="W119" i="71"/>
  <c r="V119" i="71"/>
  <c r="Q119" i="71"/>
  <c r="Z119" i="71" s="1"/>
  <c r="AD119" i="71" s="1"/>
  <c r="W118" i="71"/>
  <c r="V118" i="71"/>
  <c r="Q118" i="71"/>
  <c r="Z118" i="71" s="1"/>
  <c r="AD118" i="71" s="1"/>
  <c r="W117" i="71"/>
  <c r="V117" i="71"/>
  <c r="Q117" i="71"/>
  <c r="Z117" i="71" s="1"/>
  <c r="AD117" i="71" s="1"/>
  <c r="W116" i="71"/>
  <c r="V116" i="71"/>
  <c r="Q116" i="71"/>
  <c r="Z116" i="71" s="1"/>
  <c r="AD116" i="71" s="1"/>
  <c r="W115" i="71"/>
  <c r="V115" i="71"/>
  <c r="Q115" i="71"/>
  <c r="Z115" i="71" s="1"/>
  <c r="AD115" i="71" s="1"/>
  <c r="W114" i="71"/>
  <c r="V114" i="71"/>
  <c r="Q114" i="71"/>
  <c r="Z114" i="71" s="1"/>
  <c r="AD114" i="71" s="1"/>
  <c r="W113" i="71"/>
  <c r="V113" i="71"/>
  <c r="Q113" i="71"/>
  <c r="Z113" i="71" s="1"/>
  <c r="AD113" i="71" s="1"/>
  <c r="W112" i="71"/>
  <c r="V112" i="71"/>
  <c r="Q112" i="71"/>
  <c r="Z112" i="71" s="1"/>
  <c r="AD112" i="71" s="1"/>
  <c r="W111" i="71"/>
  <c r="V111" i="71"/>
  <c r="Q111" i="71"/>
  <c r="Z111" i="71" s="1"/>
  <c r="AD111" i="71" s="1"/>
  <c r="W110" i="71"/>
  <c r="V110" i="71"/>
  <c r="Q110" i="71"/>
  <c r="Z110" i="71" s="1"/>
  <c r="AD110" i="71" s="1"/>
  <c r="W109" i="71"/>
  <c r="V109" i="71"/>
  <c r="Q109" i="71"/>
  <c r="Z109" i="71" s="1"/>
  <c r="AD109" i="71" s="1"/>
  <c r="W108" i="71"/>
  <c r="V108" i="71"/>
  <c r="Q108" i="71"/>
  <c r="Z108" i="71" s="1"/>
  <c r="AD108" i="71" s="1"/>
  <c r="W107" i="71"/>
  <c r="V107" i="71"/>
  <c r="Q107" i="71"/>
  <c r="Z107" i="71" s="1"/>
  <c r="AD107" i="71" s="1"/>
  <c r="W106" i="71"/>
  <c r="V106" i="71"/>
  <c r="Q106" i="71"/>
  <c r="Z106" i="71" s="1"/>
  <c r="AD106" i="71" s="1"/>
  <c r="W105" i="71"/>
  <c r="V105" i="71"/>
  <c r="Q105" i="71"/>
  <c r="Z105" i="71" s="1"/>
  <c r="AD105" i="71" s="1"/>
  <c r="W104" i="71"/>
  <c r="V104" i="71"/>
  <c r="Q104" i="71"/>
  <c r="Z104" i="71" s="1"/>
  <c r="AD104" i="71" s="1"/>
  <c r="W103" i="71"/>
  <c r="V103" i="71"/>
  <c r="Q103" i="71"/>
  <c r="Z103" i="71" s="1"/>
  <c r="AD103" i="71" s="1"/>
  <c r="W102" i="71"/>
  <c r="V102" i="71"/>
  <c r="Q102" i="71"/>
  <c r="Z102" i="71" s="1"/>
  <c r="AD102" i="71" s="1"/>
  <c r="W101" i="71"/>
  <c r="V101" i="71"/>
  <c r="Q101" i="71"/>
  <c r="Z101" i="71" s="1"/>
  <c r="AD101" i="71" s="1"/>
  <c r="W100" i="71"/>
  <c r="V100" i="71"/>
  <c r="Q100" i="71"/>
  <c r="Z100" i="71" s="1"/>
  <c r="AD100" i="71" s="1"/>
  <c r="W99" i="71"/>
  <c r="V99" i="71"/>
  <c r="Q99" i="71"/>
  <c r="Z99" i="71" s="1"/>
  <c r="AD99" i="71" s="1"/>
  <c r="W98" i="71"/>
  <c r="V98" i="71"/>
  <c r="Q98" i="71"/>
  <c r="Z98" i="71" s="1"/>
  <c r="AD98" i="71" s="1"/>
  <c r="W97" i="71"/>
  <c r="V97" i="71"/>
  <c r="Q97" i="71"/>
  <c r="Z97" i="71" s="1"/>
  <c r="AD97" i="71" s="1"/>
  <c r="W96" i="71"/>
  <c r="V96" i="71"/>
  <c r="Q96" i="71"/>
  <c r="Z96" i="71" s="1"/>
  <c r="AD96" i="71" s="1"/>
  <c r="W95" i="71"/>
  <c r="V95" i="71"/>
  <c r="Q95" i="71"/>
  <c r="Z95" i="71" s="1"/>
  <c r="AD95" i="71" s="1"/>
  <c r="W94" i="71"/>
  <c r="V94" i="71"/>
  <c r="Q94" i="71"/>
  <c r="Z94" i="71" s="1"/>
  <c r="AD94" i="71" s="1"/>
  <c r="W93" i="71"/>
  <c r="V93" i="71"/>
  <c r="Q93" i="71"/>
  <c r="Z93" i="71" s="1"/>
  <c r="AD93" i="71" s="1"/>
  <c r="W92" i="71"/>
  <c r="V92" i="71"/>
  <c r="Q92" i="71"/>
  <c r="Z92" i="71" s="1"/>
  <c r="AD92" i="71" s="1"/>
  <c r="W91" i="71"/>
  <c r="V91" i="71"/>
  <c r="Q91" i="71"/>
  <c r="Z91" i="71" s="1"/>
  <c r="AD91" i="71" s="1"/>
  <c r="W90" i="71"/>
  <c r="V90" i="71"/>
  <c r="Q90" i="71"/>
  <c r="Z90" i="71" s="1"/>
  <c r="AD90" i="71" s="1"/>
  <c r="W89" i="71"/>
  <c r="V89" i="71"/>
  <c r="Q89" i="71"/>
  <c r="Z89" i="71" s="1"/>
  <c r="AD89" i="71" s="1"/>
  <c r="W88" i="71"/>
  <c r="V88" i="71"/>
  <c r="Q88" i="71"/>
  <c r="Z88" i="71" s="1"/>
  <c r="AD88" i="71" s="1"/>
  <c r="W87" i="71"/>
  <c r="V87" i="71"/>
  <c r="Q87" i="71"/>
  <c r="Z87" i="71" s="1"/>
  <c r="AD87" i="71" s="1"/>
  <c r="W86" i="71"/>
  <c r="V86" i="71"/>
  <c r="Q86" i="71"/>
  <c r="Z86" i="71" s="1"/>
  <c r="AD86" i="71" s="1"/>
  <c r="W85" i="71"/>
  <c r="V85" i="71"/>
  <c r="Q85" i="71"/>
  <c r="Z85" i="71" s="1"/>
  <c r="AD85" i="71" s="1"/>
  <c r="W84" i="71"/>
  <c r="V84" i="71"/>
  <c r="Q84" i="71"/>
  <c r="Z84" i="71" s="1"/>
  <c r="AD84" i="71" s="1"/>
  <c r="W83" i="71"/>
  <c r="V83" i="71"/>
  <c r="Q83" i="71"/>
  <c r="Z83" i="71" s="1"/>
  <c r="AD83" i="71" s="1"/>
  <c r="W82" i="71"/>
  <c r="V82" i="71"/>
  <c r="Q82" i="71"/>
  <c r="Z82" i="71" s="1"/>
  <c r="AD82" i="71" s="1"/>
  <c r="W81" i="71"/>
  <c r="V81" i="71"/>
  <c r="Q81" i="71"/>
  <c r="Z81" i="71" s="1"/>
  <c r="AD81" i="71" s="1"/>
  <c r="W80" i="71"/>
  <c r="V80" i="71"/>
  <c r="Q80" i="71"/>
  <c r="Z80" i="71" s="1"/>
  <c r="AD80" i="71" s="1"/>
  <c r="W79" i="71"/>
  <c r="V79" i="71"/>
  <c r="Q79" i="71"/>
  <c r="Z79" i="71" s="1"/>
  <c r="AD79" i="71" s="1"/>
  <c r="W78" i="71"/>
  <c r="V78" i="71"/>
  <c r="Q78" i="71"/>
  <c r="Z78" i="71" s="1"/>
  <c r="AD78" i="71" s="1"/>
  <c r="W77" i="71"/>
  <c r="V77" i="71"/>
  <c r="Q77" i="71"/>
  <c r="Z77" i="71" s="1"/>
  <c r="AD77" i="71" s="1"/>
  <c r="W76" i="71"/>
  <c r="V76" i="71"/>
  <c r="Q76" i="71"/>
  <c r="Z76" i="71" s="1"/>
  <c r="AD76" i="71" s="1"/>
  <c r="W75" i="71"/>
  <c r="V75" i="71"/>
  <c r="Q75" i="71"/>
  <c r="Z75" i="71" s="1"/>
  <c r="AD75" i="71" s="1"/>
  <c r="W74" i="71"/>
  <c r="V74" i="71"/>
  <c r="Q74" i="71"/>
  <c r="Z74" i="71" s="1"/>
  <c r="AD74" i="71" s="1"/>
  <c r="W73" i="71"/>
  <c r="V73" i="71"/>
  <c r="Q73" i="71"/>
  <c r="Z73" i="71" s="1"/>
  <c r="AD73" i="71" s="1"/>
  <c r="W72" i="71"/>
  <c r="V72" i="71"/>
  <c r="Q72" i="71"/>
  <c r="Z72" i="71" s="1"/>
  <c r="AD72" i="71" s="1"/>
  <c r="W71" i="71"/>
  <c r="V71" i="71"/>
  <c r="Q71" i="71"/>
  <c r="Z71" i="71" s="1"/>
  <c r="AD71" i="71" s="1"/>
  <c r="W70" i="71"/>
  <c r="V70" i="71"/>
  <c r="Q70" i="71"/>
  <c r="Z70" i="71" s="1"/>
  <c r="AD70" i="71" s="1"/>
  <c r="W69" i="71"/>
  <c r="V69" i="71"/>
  <c r="Q69" i="71"/>
  <c r="Z69" i="71" s="1"/>
  <c r="AD69" i="71" s="1"/>
  <c r="W68" i="71"/>
  <c r="V68" i="71"/>
  <c r="Q68" i="71"/>
  <c r="Z68" i="71" s="1"/>
  <c r="AD68" i="71" s="1"/>
  <c r="W67" i="71"/>
  <c r="V67" i="71"/>
  <c r="Q67" i="71"/>
  <c r="Z67" i="71" s="1"/>
  <c r="AD67" i="71" s="1"/>
  <c r="W66" i="71"/>
  <c r="V66" i="71"/>
  <c r="Q66" i="71"/>
  <c r="Z66" i="71" s="1"/>
  <c r="AD66" i="71" s="1"/>
  <c r="W65" i="71"/>
  <c r="V65" i="71"/>
  <c r="Q65" i="71"/>
  <c r="Z65" i="71" s="1"/>
  <c r="AD65" i="71" s="1"/>
  <c r="W64" i="71"/>
  <c r="V64" i="71"/>
  <c r="Q64" i="71"/>
  <c r="Z64" i="71" s="1"/>
  <c r="AD64" i="71" s="1"/>
  <c r="W63" i="71"/>
  <c r="V63" i="71"/>
  <c r="Q63" i="71"/>
  <c r="Z63" i="71" s="1"/>
  <c r="AD63" i="71" s="1"/>
  <c r="Q62" i="71"/>
  <c r="Z62" i="71" s="1"/>
  <c r="AD62" i="71" s="1"/>
  <c r="W61" i="71"/>
  <c r="V61" i="71"/>
  <c r="Q61" i="71"/>
  <c r="Z61" i="71" s="1"/>
  <c r="AD61" i="71" s="1"/>
  <c r="W60" i="71"/>
  <c r="V60" i="71"/>
  <c r="Q60" i="71"/>
  <c r="Z60" i="71" s="1"/>
  <c r="AD60" i="71" s="1"/>
  <c r="W59" i="71"/>
  <c r="V59" i="71"/>
  <c r="Q59" i="71"/>
  <c r="Z59" i="71" s="1"/>
  <c r="AD59" i="71" s="1"/>
  <c r="W58" i="71"/>
  <c r="V58" i="71"/>
  <c r="Q58" i="71"/>
  <c r="Z58" i="71" s="1"/>
  <c r="W57" i="71"/>
  <c r="V57" i="71"/>
  <c r="Q57" i="71"/>
  <c r="Z57" i="71" s="1"/>
  <c r="W56" i="71"/>
  <c r="V56" i="71"/>
  <c r="Q56" i="71"/>
  <c r="Z56" i="71" s="1"/>
  <c r="W55" i="71"/>
  <c r="V55" i="71"/>
  <c r="Q55" i="71"/>
  <c r="Z55" i="71" s="1"/>
  <c r="W54" i="71"/>
  <c r="V54" i="71"/>
  <c r="Q54" i="71"/>
  <c r="Z54" i="71" s="1"/>
  <c r="W53" i="71"/>
  <c r="V53" i="71"/>
  <c r="Q53" i="71"/>
  <c r="Z53" i="71" s="1"/>
  <c r="W52" i="71"/>
  <c r="V52" i="71"/>
  <c r="Q52" i="71"/>
  <c r="Z52" i="71" s="1"/>
  <c r="W51" i="71"/>
  <c r="V51" i="71"/>
  <c r="Q51" i="71"/>
  <c r="Z51" i="71" s="1"/>
  <c r="W50" i="71"/>
  <c r="V50" i="71"/>
  <c r="Q50" i="71"/>
  <c r="Z50" i="71" s="1"/>
  <c r="W49" i="71"/>
  <c r="V49" i="71"/>
  <c r="Q49" i="71"/>
  <c r="Z49" i="71" s="1"/>
  <c r="W48" i="71"/>
  <c r="V48" i="71"/>
  <c r="Q48" i="71"/>
  <c r="Z48" i="71" s="1"/>
  <c r="W47" i="71"/>
  <c r="V47" i="71"/>
  <c r="Q47" i="71"/>
  <c r="Z47" i="71" s="1"/>
  <c r="W46" i="71"/>
  <c r="V46" i="71"/>
  <c r="Q46" i="71"/>
  <c r="Z46" i="71" s="1"/>
  <c r="W45" i="71"/>
  <c r="V45" i="71"/>
  <c r="Q45" i="71"/>
  <c r="Z45" i="71" s="1"/>
  <c r="W44" i="71"/>
  <c r="V44" i="71"/>
  <c r="Q44" i="71"/>
  <c r="Z44" i="71" s="1"/>
  <c r="W43" i="71"/>
  <c r="V43" i="71"/>
  <c r="Q43" i="71"/>
  <c r="Z43" i="71" s="1"/>
  <c r="W42" i="71"/>
  <c r="V42" i="71"/>
  <c r="Q42" i="71"/>
  <c r="Z42" i="71" s="1"/>
  <c r="W41" i="71"/>
  <c r="V41" i="71"/>
  <c r="Q41" i="71"/>
  <c r="Z41" i="71" s="1"/>
  <c r="W40" i="71"/>
  <c r="V40" i="71"/>
  <c r="Q40" i="71"/>
  <c r="Z40" i="71" s="1"/>
  <c r="W39" i="71"/>
  <c r="V39" i="71"/>
  <c r="Q39" i="71"/>
  <c r="Z39" i="71" s="1"/>
  <c r="W38" i="71"/>
  <c r="V38" i="71"/>
  <c r="Q38" i="71"/>
  <c r="Z38" i="71" s="1"/>
  <c r="W37" i="71"/>
  <c r="V37" i="71"/>
  <c r="Q37" i="71"/>
  <c r="Z37" i="71" s="1"/>
  <c r="W36" i="71"/>
  <c r="V36" i="71"/>
  <c r="Q36" i="71"/>
  <c r="Z36" i="71" s="1"/>
  <c r="AC35" i="71"/>
  <c r="AB35" i="71"/>
  <c r="AA35" i="71"/>
  <c r="W35" i="71"/>
  <c r="V35" i="71"/>
  <c r="Q35" i="71"/>
  <c r="Z35" i="71" s="1"/>
  <c r="W34" i="71"/>
  <c r="V34" i="71"/>
  <c r="Q34" i="71"/>
  <c r="W33" i="71"/>
  <c r="V33" i="71"/>
  <c r="Q33" i="71"/>
  <c r="W32" i="71"/>
  <c r="V32" i="71"/>
  <c r="Q32" i="71"/>
  <c r="W31" i="71"/>
  <c r="V31" i="71"/>
  <c r="Q31" i="71"/>
  <c r="W30" i="71"/>
  <c r="V30" i="71"/>
  <c r="Q30" i="71"/>
  <c r="W29" i="71"/>
  <c r="V29" i="71"/>
  <c r="Q29" i="71"/>
  <c r="W28" i="71"/>
  <c r="V28" i="71"/>
  <c r="Q28" i="71"/>
  <c r="W27" i="71"/>
  <c r="V27" i="71"/>
  <c r="Q27" i="71"/>
  <c r="W26" i="71"/>
  <c r="V26" i="71"/>
  <c r="Q26" i="71"/>
  <c r="W25" i="71"/>
  <c r="V25" i="71"/>
  <c r="Q25" i="71"/>
  <c r="W24" i="71"/>
  <c r="V24" i="71"/>
  <c r="Q24" i="71"/>
  <c r="W23" i="71"/>
  <c r="V23" i="71"/>
  <c r="Q23" i="71"/>
  <c r="W22" i="71"/>
  <c r="V22" i="71"/>
  <c r="Q22" i="71"/>
  <c r="W21" i="71"/>
  <c r="V21" i="71"/>
  <c r="Q21" i="71"/>
  <c r="W20" i="71"/>
  <c r="V20" i="71"/>
  <c r="Q20" i="71"/>
  <c r="W19" i="71"/>
  <c r="V19" i="71"/>
  <c r="Q19" i="71"/>
  <c r="W18" i="71"/>
  <c r="V18" i="71"/>
  <c r="Q18" i="71"/>
  <c r="W17" i="71"/>
  <c r="V17" i="71"/>
  <c r="Q17" i="71"/>
  <c r="W16" i="71"/>
  <c r="V16" i="71"/>
  <c r="Q16" i="71"/>
  <c r="W15" i="71"/>
  <c r="V15" i="71"/>
  <c r="Q15" i="71"/>
  <c r="W14" i="71"/>
  <c r="V14" i="71"/>
  <c r="Q14" i="71"/>
  <c r="W13" i="71"/>
  <c r="V13" i="71"/>
  <c r="Q13" i="71"/>
  <c r="W12" i="71"/>
  <c r="V12" i="71"/>
  <c r="Q12" i="71"/>
  <c r="W11" i="71"/>
  <c r="V11" i="71"/>
  <c r="Q11" i="71"/>
  <c r="W10" i="71"/>
  <c r="V10" i="71"/>
  <c r="Q10" i="71"/>
  <c r="W9" i="71"/>
  <c r="V9" i="71"/>
  <c r="Q9" i="71"/>
  <c r="W8" i="71"/>
  <c r="V8" i="71"/>
  <c r="Q8" i="71"/>
  <c r="W7" i="71"/>
  <c r="V7" i="71"/>
  <c r="Q7" i="71"/>
  <c r="N5" i="69" a="1"/>
  <c r="N5" i="69" s="1"/>
  <c r="T5" i="69" l="1"/>
  <c r="AP74" i="56" l="1"/>
  <c r="AO74" i="56"/>
  <c r="AN74" i="56"/>
  <c r="AM74" i="56"/>
  <c r="AL74" i="56"/>
  <c r="AK74" i="56"/>
  <c r="AJ74" i="56"/>
  <c r="AI74" i="56"/>
  <c r="AH74" i="56"/>
  <c r="AG74" i="56"/>
  <c r="AF74" i="56"/>
  <c r="AE74" i="56"/>
  <c r="AD74" i="56"/>
  <c r="AC74" i="56"/>
  <c r="AB74" i="56"/>
  <c r="AA74" i="56"/>
  <c r="Z74" i="56"/>
  <c r="Y74" i="56"/>
  <c r="X74" i="56"/>
  <c r="W74" i="56"/>
  <c r="V74" i="56"/>
  <c r="U74" i="56"/>
  <c r="T74" i="56"/>
  <c r="S74" i="56"/>
  <c r="R74" i="56"/>
  <c r="Q74" i="56"/>
  <c r="P74" i="56"/>
  <c r="O74" i="56"/>
  <c r="N74" i="56"/>
  <c r="M74" i="56"/>
  <c r="L74" i="56"/>
  <c r="K74" i="56"/>
  <c r="J74" i="56"/>
  <c r="I74" i="56"/>
  <c r="H74" i="56"/>
  <c r="G74" i="56"/>
  <c r="D73" i="56"/>
  <c r="F73" i="56" s="1"/>
  <c r="D72" i="56"/>
  <c r="F72" i="56" s="1"/>
  <c r="D71" i="56"/>
  <c r="F71" i="56" s="1"/>
  <c r="AP66" i="56"/>
  <c r="AO66" i="56"/>
  <c r="AN66" i="56"/>
  <c r="AM66" i="56"/>
  <c r="AL66" i="56"/>
  <c r="AK66" i="56"/>
  <c r="AJ66" i="56"/>
  <c r="AI66" i="56"/>
  <c r="AH66" i="56"/>
  <c r="AG66" i="56"/>
  <c r="AF66" i="56"/>
  <c r="AE66" i="56"/>
  <c r="AD66" i="56"/>
  <c r="AC66" i="56"/>
  <c r="AB66" i="56"/>
  <c r="AA66" i="56"/>
  <c r="Z66" i="56"/>
  <c r="Y66" i="56"/>
  <c r="X66" i="56"/>
  <c r="W66" i="56"/>
  <c r="V66" i="56"/>
  <c r="U66" i="56"/>
  <c r="T66" i="56"/>
  <c r="S66" i="56"/>
  <c r="R66" i="56"/>
  <c r="Q66" i="56"/>
  <c r="P66" i="56"/>
  <c r="O66" i="56"/>
  <c r="N66" i="56"/>
  <c r="M66" i="56"/>
  <c r="L66" i="56"/>
  <c r="K66" i="56"/>
  <c r="J66" i="56"/>
  <c r="I66" i="56"/>
  <c r="H66" i="56"/>
  <c r="G66" i="56"/>
  <c r="D65" i="56"/>
  <c r="F65" i="56" s="1"/>
  <c r="D64" i="56"/>
  <c r="F64" i="56" s="1"/>
  <c r="D63" i="56"/>
  <c r="F63" i="56" s="1"/>
  <c r="D62" i="56"/>
  <c r="C62" i="56" s="1"/>
  <c r="AP59" i="56"/>
  <c r="AO59" i="56"/>
  <c r="AN59" i="56"/>
  <c r="AM59" i="56"/>
  <c r="AL59" i="56"/>
  <c r="AK59" i="56"/>
  <c r="AJ59" i="56"/>
  <c r="AI59" i="56"/>
  <c r="AH59" i="56"/>
  <c r="AG59" i="56"/>
  <c r="AF59" i="56"/>
  <c r="AE59" i="56"/>
  <c r="AD59" i="56"/>
  <c r="AC59" i="56"/>
  <c r="AB59" i="56"/>
  <c r="AA59" i="56"/>
  <c r="Z59" i="56"/>
  <c r="Y59" i="56"/>
  <c r="X59" i="56"/>
  <c r="W59" i="56"/>
  <c r="V59" i="56"/>
  <c r="U59" i="56"/>
  <c r="T59" i="56"/>
  <c r="S59" i="56"/>
  <c r="R59" i="56"/>
  <c r="Q59" i="56"/>
  <c r="P59" i="56"/>
  <c r="O59" i="56"/>
  <c r="N59" i="56"/>
  <c r="M59" i="56"/>
  <c r="L59" i="56"/>
  <c r="K59" i="56"/>
  <c r="J59" i="56"/>
  <c r="I59" i="56"/>
  <c r="H59" i="56"/>
  <c r="G59" i="56"/>
  <c r="D58" i="56"/>
  <c r="F58" i="56" s="1"/>
  <c r="D57" i="56"/>
  <c r="F57" i="56" s="1"/>
  <c r="D56" i="56"/>
  <c r="F56" i="56" s="1"/>
  <c r="D55" i="56"/>
  <c r="C55" i="56" s="1"/>
  <c r="D54" i="56"/>
  <c r="F54" i="56" s="1"/>
  <c r="H51" i="56"/>
  <c r="C51" i="56"/>
  <c r="D51" i="56" s="1"/>
  <c r="E51" i="56" s="1"/>
  <c r="C50" i="56"/>
  <c r="D50" i="56" s="1"/>
  <c r="E50" i="56" s="1"/>
  <c r="C49" i="56"/>
  <c r="D49" i="56" s="1"/>
  <c r="E49" i="56" s="1"/>
  <c r="C48" i="56"/>
  <c r="D48" i="56" s="1"/>
  <c r="E48" i="56" s="1"/>
  <c r="D47" i="56"/>
  <c r="E47" i="56" s="1"/>
  <c r="H43" i="56"/>
  <c r="I43" i="56" s="1"/>
  <c r="J43" i="56" s="1"/>
  <c r="K43" i="56" s="1"/>
  <c r="L43" i="56" s="1"/>
  <c r="M43" i="56" s="1"/>
  <c r="N43" i="56" s="1"/>
  <c r="O43" i="56" s="1"/>
  <c r="P43" i="56" s="1"/>
  <c r="Q43" i="56" s="1"/>
  <c r="R43" i="56" s="1"/>
  <c r="S43" i="56" s="1"/>
  <c r="T43" i="56" s="1"/>
  <c r="U43" i="56" s="1"/>
  <c r="V43" i="56" s="1"/>
  <c r="W43" i="56" s="1"/>
  <c r="X43" i="56" s="1"/>
  <c r="Y43" i="56" s="1"/>
  <c r="Z43" i="56" s="1"/>
  <c r="AA43" i="56" s="1"/>
  <c r="AB43" i="56" s="1"/>
  <c r="AC43" i="56" s="1"/>
  <c r="AD43" i="56" s="1"/>
  <c r="AE43" i="56" s="1"/>
  <c r="AF43" i="56" s="1"/>
  <c r="AG43" i="56" s="1"/>
  <c r="AH43" i="56" s="1"/>
  <c r="AI43" i="56" s="1"/>
  <c r="AJ43" i="56" s="1"/>
  <c r="AK43" i="56" s="1"/>
  <c r="AL43" i="56" s="1"/>
  <c r="AM43" i="56" s="1"/>
  <c r="AN43" i="56" s="1"/>
  <c r="AO43" i="56" s="1"/>
  <c r="AP43" i="56" s="1"/>
  <c r="AQ43" i="56" s="1"/>
  <c r="AR43" i="56" s="1"/>
  <c r="AS43" i="56" s="1"/>
  <c r="AT43" i="56" s="1"/>
  <c r="AU43" i="56" s="1"/>
  <c r="AV43" i="56" s="1"/>
  <c r="AW43" i="56" s="1"/>
  <c r="AX43" i="56" s="1"/>
  <c r="AY43" i="56" s="1"/>
  <c r="AZ43" i="56" s="1"/>
  <c r="N39" i="56" a="1"/>
  <c r="N39" i="56" s="1"/>
  <c r="N38" i="56" a="1"/>
  <c r="N38" i="56" s="1"/>
  <c r="N37" i="56" a="1"/>
  <c r="N37" i="56" s="1"/>
  <c r="N36" i="56" a="1"/>
  <c r="N36" i="56" s="1"/>
  <c r="N35" i="56" a="1"/>
  <c r="N35" i="56" s="1"/>
  <c r="I22" i="56"/>
  <c r="H18" i="56"/>
  <c r="J18" i="56" s="1"/>
  <c r="H17" i="56"/>
  <c r="J17" i="56" s="1"/>
  <c r="H16" i="56"/>
  <c r="J16" i="56" s="1"/>
  <c r="B16" i="56"/>
  <c r="C16" i="56" s="1"/>
  <c r="D16" i="56" s="1"/>
  <c r="H15" i="56"/>
  <c r="J15" i="56" s="1"/>
  <c r="B15" i="56"/>
  <c r="C15" i="56" s="1"/>
  <c r="D15" i="56" s="1"/>
  <c r="H14" i="56"/>
  <c r="J14" i="56" s="1"/>
  <c r="B14" i="56"/>
  <c r="C14" i="56" s="1"/>
  <c r="D14" i="56" s="1"/>
  <c r="H13" i="56"/>
  <c r="J13" i="56" s="1"/>
  <c r="B13" i="56"/>
  <c r="C13" i="56" s="1"/>
  <c r="D13" i="56" s="1"/>
  <c r="H12" i="56"/>
  <c r="J12" i="56" s="1"/>
  <c r="C12" i="56"/>
  <c r="D12" i="56" s="1"/>
  <c r="L26" i="56"/>
  <c r="L28" i="56"/>
  <c r="L29" i="56"/>
  <c r="L27" i="56"/>
  <c r="L14" i="56" l="1"/>
  <c r="L18" i="56"/>
  <c r="C58" i="56"/>
  <c r="L13" i="56"/>
  <c r="C63" i="56"/>
  <c r="L15" i="56"/>
  <c r="C54" i="56"/>
  <c r="T37" i="56"/>
  <c r="L16" i="56"/>
  <c r="M22" i="56"/>
  <c r="C57" i="56"/>
  <c r="T39" i="56"/>
  <c r="T38" i="56"/>
  <c r="C52" i="56"/>
  <c r="D52" i="56" s="1"/>
  <c r="E52" i="56" s="1"/>
  <c r="F62" i="56"/>
  <c r="F66" i="56" s="1"/>
  <c r="C73" i="56"/>
  <c r="T36" i="56"/>
  <c r="G19" i="56"/>
  <c r="H19" i="56" s="1"/>
  <c r="L22" i="56"/>
  <c r="T35" i="56"/>
  <c r="L17" i="56"/>
  <c r="C64" i="56"/>
  <c r="C71" i="56"/>
  <c r="C65" i="56"/>
  <c r="C72" i="56"/>
  <c r="F74" i="56"/>
  <c r="J19" i="56"/>
  <c r="L12" i="56"/>
  <c r="B17" i="56"/>
  <c r="C17" i="56" s="1"/>
  <c r="D17" i="56" s="1"/>
  <c r="F55" i="56"/>
  <c r="F59" i="56" s="1"/>
  <c r="C56" i="56"/>
  <c r="D77" i="56"/>
  <c r="L25" i="56"/>
  <c r="L19" i="56" l="1"/>
  <c r="C77" i="56"/>
  <c r="C79" i="56" s="1"/>
  <c r="D80" i="56"/>
  <c r="F77" i="56"/>
  <c r="F80" i="56" l="1"/>
  <c r="L24" i="56" s="1"/>
  <c r="L30" i="56" s="1"/>
  <c r="M30" i="56" s="1"/>
  <c r="L32" i="56" l="1"/>
  <c r="M32" i="56" s="1"/>
  <c r="L31" i="56"/>
  <c r="M31"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tc={78B826D7-3084-3A4B-A19E-B3F39258496A}</author>
  </authors>
  <commentList>
    <comment ref="O31" authorId="0" shapeId="0" xr:uid="{78B826D7-3084-3A4B-A19E-B3F39258496A}">
      <text>
        <t>[线程批注]
你的Excel版本可读取此线程批注; 但如果在更新版本的Excel中打开文件，则对批注所作的任何改动都将被删除。了解详细信息: https://go.microsoft.com/fwlink/?linkid=870924
注释:
    Charlie‘s update is marked as blue font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tc={81E49BF6-6DCB-294F-98AE-CCA66E155A7A}</author>
  </authors>
  <commentList>
    <comment ref="O31" authorId="0" shapeId="0" xr:uid="{81E49BF6-6DCB-294F-98AE-CCA66E155A7A}">
      <text>
        <t>[线程批注]
你的Excel版本可读取此线程批注; 但如果在更新版本的Excel中打开文件，则对批注所作的任何改动都将被删除。了解详细信息: https://go.microsoft.com/fwlink/?linkid=870924
注释:
    Charlie‘s update is marked as blue font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<sst xmlns="http://schemas.openxmlformats.org/spreadsheetml/2006/main" count="8331" uniqueCount="2602">
  <si>
    <t xml:space="preserve">EPIC - Project Name </t>
  </si>
  <si>
    <t>点击返回说明页
Back to Instructions</t>
  </si>
  <si>
    <t>LOB VP Signature</t>
  </si>
  <si>
    <t>Tony Castillo/Steve Sulaski</t>
  </si>
  <si>
    <t xml:space="preserve">Date </t>
  </si>
  <si>
    <t>PM Diretctor Level Sigature</t>
  </si>
  <si>
    <t>Jimmy Lee</t>
  </si>
  <si>
    <t>DM Diretctor Level Sigature</t>
  </si>
  <si>
    <t>Peter Zhang</t>
  </si>
  <si>
    <t>BRD Priority</t>
  </si>
  <si>
    <t>0. BRD Overview</t>
  </si>
  <si>
    <t>0.0 BRD Detailed Requirement</t>
  </si>
  <si>
    <t>0.0.0 EPIC Title</t>
  </si>
  <si>
    <t>0.0.0.0 EPIC Story</t>
  </si>
  <si>
    <t>Description</t>
  </si>
  <si>
    <t>Dependencies</t>
  </si>
  <si>
    <t>EPIC Story(CN)</t>
  </si>
  <si>
    <t>Description(CN)</t>
  </si>
  <si>
    <t>Comment</t>
  </si>
  <si>
    <t>Follow-up Group</t>
  </si>
  <si>
    <t>Follow-up</t>
  </si>
  <si>
    <t>Follow-up with vendor</t>
  </si>
  <si>
    <t>Task Title</t>
  </si>
  <si>
    <t>Task Description</t>
    <phoneticPr fontId="27" type="noConversion"/>
  </si>
  <si>
    <t>system type</t>
    <phoneticPr fontId="27" type="noConversion"/>
  </si>
  <si>
    <t>follw up PM</t>
    <phoneticPr fontId="27" type="noConversion"/>
  </si>
  <si>
    <t>follow up</t>
    <phoneticPr fontId="27" type="noConversion"/>
  </si>
  <si>
    <t>Develop Labor(man/day)</t>
    <phoneticPr fontId="27" type="noConversion"/>
  </si>
  <si>
    <t>Real Develop Labor(Man/Hour)</t>
    <phoneticPr fontId="27" type="noConversion"/>
  </si>
  <si>
    <t>Real Develop Labor(Man/Day)</t>
    <phoneticPr fontId="27" type="noConversion"/>
  </si>
  <si>
    <t>表设计</t>
    <phoneticPr fontId="27" type="noConversion"/>
  </si>
  <si>
    <t>表个数</t>
    <phoneticPr fontId="27" type="noConversion"/>
  </si>
  <si>
    <t>task count</t>
    <phoneticPr fontId="27" type="noConversion"/>
  </si>
  <si>
    <t>Review Pass</t>
    <phoneticPr fontId="27" type="noConversion"/>
  </si>
  <si>
    <t>Lucky Comment</t>
    <phoneticPr fontId="27" type="noConversion"/>
  </si>
  <si>
    <t>check content change</t>
    <phoneticPr fontId="27" type="noConversion"/>
  </si>
  <si>
    <t>0. Project Foundation</t>
  </si>
  <si>
    <t xml:space="preserve">0.1 SE|Hosting </t>
  </si>
  <si>
    <t>0.1.1 SE|System deployment in Cloud</t>
  </si>
  <si>
    <t>0.1.1.1 Services/systems set up in cloud, Create new cloud accounts, New vendor system support in Cloud</t>
  </si>
  <si>
    <t>SE</t>
  </si>
  <si>
    <t>0.1.1.1 在云中设置的服务/系统，创建新的云账户，在云中支持新的供应商系统</t>
  </si>
  <si>
    <t>Y</t>
    <phoneticPr fontId="27" type="noConversion"/>
  </si>
  <si>
    <t>0.1.2 SE|System deployment on-premise</t>
  </si>
  <si>
    <t>0.1.2.1 Services/systems deployment/configurition/automation for new servers in on-premise datacenter</t>
  </si>
  <si>
    <t>0.1.2.1 本地数据中心新服务器部署/配置/自动化服务/系统</t>
  </si>
  <si>
    <t>0.1.3 SE|Database deployment in Cloud</t>
  </si>
  <si>
    <t>0.1.3.1 Database set up in cloud, dashboard requirements, database schema changes, data migration</t>
  </si>
  <si>
    <t>0.1.3.1 云端数据库设置，仪表板需求，数据库架构变更，数据迁移</t>
  </si>
  <si>
    <t>0.1.4 SE|Cloud Hosting</t>
  </si>
  <si>
    <t>0.1.4.1 Hosting fee in AliCloud, AWS</t>
  </si>
  <si>
    <t>0.1.4.1 阿里云、AWS 托管费用</t>
  </si>
  <si>
    <t>0.1.5 SE|Hardware purchase</t>
  </si>
  <si>
    <t>0.1.5.1 New servers/storage/devices in on-premise datacenter</t>
  </si>
  <si>
    <t>0.1.5.1 本地数据中心中的新服务器/存储设备</t>
  </si>
  <si>
    <t>0.1.6 SE|Vendor Service</t>
  </si>
  <si>
    <t>0.1.6.1 3rd party vendor services</t>
  </si>
  <si>
    <t>0.1.6.1 第三方供应商服务</t>
  </si>
  <si>
    <t>0.1.7 SE|License|Software</t>
  </si>
  <si>
    <t>0.1.7.1 License cost for hardware/software</t>
  </si>
  <si>
    <t>0.1.7.1 硬件/软件的许可费用</t>
  </si>
  <si>
    <t>0.2 QO|GQE</t>
  </si>
  <si>
    <t>0.2.1 GQE |Manual Testing</t>
  </si>
  <si>
    <t>0.2.1.1 Design test cases, execute test cases, analyze defects, write test reports for Manual Testing.</t>
  </si>
  <si>
    <t>QO</t>
  </si>
  <si>
    <t>0.2.1.1 设计测试用例，执行测试用例，分析缺陷，编写手动测试报告。</t>
  </si>
  <si>
    <t>0.2.2 GQE |Automation Testing</t>
  </si>
  <si>
    <t>0.2.2.1 Design test cases, encode test cases, execute automation scripts, analyze defects, write test reports for Automation Testing.</t>
  </si>
  <si>
    <t>0.2.2.1 设计测试用例，编码测试用例，执行自动化脚本，分析缺陷，编写自动化测试报告。</t>
  </si>
  <si>
    <t>0.2.3 GQE |Performance Testing</t>
  </si>
  <si>
    <t>0.2.3.1 Design test cases, encode test cases, execute performance test cases, analyze defects, write test reports for Performance Testing.</t>
  </si>
  <si>
    <t>0.2.3.1 设计测试用例，编码测试用例，执行性能测试用例，分析缺陷，编写性能测试报告。</t>
  </si>
  <si>
    <t>0.2.4 GQE |Command Center Support</t>
  </si>
  <si>
    <t>0.2.4.1 Support command centers during launch and hypercare period.</t>
  </si>
  <si>
    <t>0.2.4.1 在发布和超保支持期间支持指挥中心。</t>
  </si>
  <si>
    <t>0.3 QO|Release Management</t>
  </si>
  <si>
    <t>0.3.1 RM |Change and Release Support</t>
  </si>
  <si>
    <t xml:space="preserve">0.3.1.1 Plan, design, schedule, validate, deploy and control system changes and releases to support system launches. </t>
  </si>
  <si>
    <t>0.3.1.1 计划、设计、安排、验证、部署和控制系统变更与发布，以支持系统上线。</t>
  </si>
  <si>
    <t>0.3.2 RM |Command Center Support</t>
  </si>
  <si>
    <t>0.3.2.1 Support command centers during hypercare period.</t>
  </si>
  <si>
    <t>0.3.2.1 在超保期间支持指挥中心。</t>
  </si>
  <si>
    <t>0.4 QO|Incident Management</t>
  </si>
  <si>
    <t>0.4.1 L2 |Configuration Management</t>
  </si>
  <si>
    <t>0.4.1.1 Perform configuration changes on TYK, ACP, UAP, VDM.</t>
  </si>
  <si>
    <t>0.4.1.1 在 TYK、ACP、UAP、VDM 上执行配置更改。</t>
  </si>
  <si>
    <t>确认Onsite时间， L2需要规划成员支持 7天，7:~23</t>
  </si>
  <si>
    <t>0.4.2 L2 |Command Center Coordination and Support</t>
  </si>
  <si>
    <t>0.4.2.1 Plan and implement command centers to support launches.</t>
  </si>
  <si>
    <t>0.4.2.1 规划并实施支持发射的指挥中心。</t>
  </si>
  <si>
    <t>确认try run时间，住酒店40人/1000</t>
  </si>
  <si>
    <t>0.5 QO|Problem Management</t>
  </si>
  <si>
    <t>0.5.1 Problem Management |Proactive Problem Management</t>
  </si>
  <si>
    <t>0.5.1.1 Follow all opened defects that will move to production with the launch and drive the resolution of defects before they turn into incidents.</t>
  </si>
  <si>
    <t>0.5.1.1 跟踪所有将随发布移至生产环境的缺陷，并在其演变为事件前推动解决这些缺陷。</t>
  </si>
  <si>
    <t>需要确认我们自己是否介入测试</t>
  </si>
  <si>
    <t>0.6 InfoSec|Information Security</t>
  </si>
  <si>
    <t>0.6.1 InfoSec|Security Terms Review in the Contract</t>
  </si>
  <si>
    <t>0.6.1.1 Whenever the 3rd party provider would like to change the default information security terms and schedules, the project team needs to contact InfoSec for change review.</t>
  </si>
  <si>
    <t>Security</t>
  </si>
  <si>
    <t>0.6.1.1 当第三方提供商希望更改默认信息安全条款和时间表时，项目团队需要联系信息安全部门进行变更审核。</t>
  </si>
  <si>
    <t>0.6.2 InfoSec|Information Security Assessment (ISA)</t>
  </si>
  <si>
    <t>0.6.2.1 All the new applications and significant change to the existing applications need to complete the information security assessment.</t>
  </si>
  <si>
    <t>0.6.2.1 所有新应用及对现有应用的重大变更均需完成信息安全评估。</t>
  </si>
  <si>
    <t>0.6.3 InfoSec|RFP Security Questionnaire and/or Third Party Assessment (TPA)</t>
  </si>
  <si>
    <t>0.6.3.1 If a 3rd party provider is involved, RFP security questionnaire is mandatory to be filled, and if necessary the Third Party Assessment should be conducted.</t>
  </si>
  <si>
    <t>0.6.3.1 如果涉及第三方供应商，则必须填写 RFP 安全问卷，并在必要时进行第三方评估。</t>
  </si>
  <si>
    <t xml:space="preserve">0.6.4 InfoSec|Application Security Enrollment and Testing </t>
  </si>
  <si>
    <t>0.6.4.1 This includes the applicable enrollment and testing, such as SAST, DAST, Pen-Test, Privacy Scan, Mobile Shield and etc.</t>
  </si>
  <si>
    <t>0.6.4.1 这包括适用的注册和测试，例如 SAST、DAST、渗透测试、隐私扫描、移动防护等。</t>
  </si>
  <si>
    <t>0.6.5 InfoSec|Security Operation Monitoring and Verificiation</t>
  </si>
  <si>
    <t>0.6.5.1 This includes: Network Connection Review (Firewall); Endpoint Security Verification and Testing; Scripting for MyJira Sync; Review Application Hosting and Cloud Infrastructure SCS; Vulnerability Scanning.</t>
  </si>
  <si>
    <t>0.6.5.1 这包括：网络连接审查（防火墙）；终端安全验证和测试；MyJira Sync 的脚本编写；审查应用程序托管和云基础设施 SCS；漏洞扫描。</t>
  </si>
  <si>
    <t>0.6.6 InfoSec|Identity and Access Management</t>
  </si>
  <si>
    <t xml:space="preserve">0.6.6.1 Integration with central authentication and authorization platforms. </t>
  </si>
  <si>
    <t>0.6.6.1 与中央身份验证和授权平台的集成。</t>
  </si>
  <si>
    <t>0.6.7 InfoSec|Online Fraud Detection</t>
  </si>
  <si>
    <t>0.6.7.1 Online fraud rules review and integration with AOFD platform</t>
  </si>
  <si>
    <t>0.6.7.1 在线欺诈规则审查并与 AOFD 平台集成</t>
  </si>
  <si>
    <t>0.6.8 InfoSec|Disaster Recovery and Business Continuity Management</t>
  </si>
  <si>
    <t>0.6.8.1 Conduct a Business Impact Analysis (BIA) to identify critical IT services and determine the IT service continuity strategy. Develop and test comprehensive IT Service Continuity Plans to maintain business operations in the event of security incidents or system downtime</t>
  </si>
  <si>
    <t>0.6.8.1 进行业务影响分析（BIA）以识别关键 IT 服务并确定 IT 服务连续性策略。制定并测试全面的 IT 服务连续性计划，以在发生安全事件或系统停机时维持业务运营。</t>
  </si>
  <si>
    <t>0.7 EA|Enterprise Architecture</t>
  </si>
  <si>
    <t>0.7.1 EA|Solution Architecture Review</t>
  </si>
  <si>
    <t>0.7.1.1 Collaborative work for appropriate design of availability, resilience, integrations and ensure all EA standards are aligned and complied</t>
  </si>
  <si>
    <t>EA</t>
  </si>
  <si>
    <t>0.7.1.1 协同工作，确保可用性、弹性、集成设计的合理性，并确保所有企业架构标准保持一致并得到遵守</t>
  </si>
  <si>
    <t>0.8 F&amp;IT|Data Technology</t>
  </si>
  <si>
    <t>0.8.1 Data|Database deployment on-premises</t>
  </si>
  <si>
    <t>0.8.1.1 Database deploy on-premises, database schema changes, data migration and database optimization</t>
  </si>
  <si>
    <t>FIT</t>
  </si>
  <si>
    <t>0.8.1.1 本地数据库部署、数据库架构变更、数据迁移和数据库优化</t>
  </si>
  <si>
    <t>0.8.2 Data|Database deployment in cloud</t>
  </si>
  <si>
    <t>0.8.2.1 Database deploy in cloud database schema changes, data migration and database optimization</t>
  </si>
  <si>
    <t>0.8.2.1 数据库部署在云数据库模式变更、数据迁移和数据库优化</t>
  </si>
  <si>
    <t>0.8.3 Data|Data migration &amp; synchronization</t>
  </si>
  <si>
    <t>0.8.3.1 During the transition between the old POS and the new POS, the old POS data needs to be migrated to the New POS.
Historical data from the past six months will be migrated in one batch.
Incremental data will be synchronized in near real-time (within 15 minutes).
Currently, there are three proposed solutions (choose one):
Directly connect to the old POS database in the cloud or migrate the old POS sales data tables as-is into the New POS database, with the New POS handling the old tables’ data for interface display.
Based on option 1, transform the data into the New POS format and write it into the New POS sales tables.
Directly use Javis APIs to query old POS sales data to support order data inquiries, refunds, and exchange/return operations.
0.8.3.1 新老POS切换期间，需要将老POS数据迁移至New POS里，历史近半年数据一次性迁移，增量数据近实时同步（15分钟内）。目前有三种方案（选其一）：
1. 云上直连老POS数据库或将老POS的销售数据表原样迁移至New POS的库中，由New POS处理老表数据用于界面展示
2. 在1的基础上，将数据转换成New POS的数据，写入到New POS的销售表里
3. 直接使用Javis的接口查询老POS销售数据，完成订单数据查询、退款、退换货操作</t>
  </si>
  <si>
    <t>Data &amp; Jarvis</t>
  </si>
  <si>
    <t>0.8.3.1 在旧 POS 系统和新 POS 系统过渡期间，旧 POS 数据需要迁移到新 POS 系统。
过去六个月的历史数据将一次性迁移。
增量数据将进行近实时同步（15 分钟内）。
目前，提出了三种解决方案（选择其一）：
直接连接到云端的旧 POS 数据库，或将旧 POS 销售数据表原样迁移到新 POS 数据库中，由新 POS 处理这些旧表的数据以进行界面显示。
根据选项 1，将数据转换为新的 POS 格式并写入新的 POS 销售表中。
直接使用 Javis API 查询旧的 POS 销售数据，以支持订单数据查询、退款以及换货/退货操作。</t>
    <phoneticPr fontId="27" type="noConversion"/>
  </si>
  <si>
    <t>Jarvis</t>
  </si>
  <si>
    <t>1(Minimum scope)</t>
  </si>
  <si>
    <t>2. Foundation operational functions 基础运营功能</t>
  </si>
  <si>
    <t>2.1 Merch &amp; FnB product ordering 商品&amp;餐饮点单</t>
  </si>
  <si>
    <t>2.1.1 [Merch] Add/delete product|Add product to shopping list 添加商品</t>
  </si>
  <si>
    <t>2.1.1.1 As Merch cashier, I need New POS will be able to add product to shopping list by barcode scanning or tap button, as to process shopping in store ordering.</t>
  </si>
  <si>
    <t>Items in one transaction may more than one thousand lines.</t>
  </si>
  <si>
    <t>2.1.1.1 作为收银员，我需要新 POS 系统能够通过条形码扫描或点击按钮将商品添加到购物清单，以便处理店内购物订单。</t>
    <phoneticPr fontId="27" type="noConversion"/>
  </si>
  <si>
    <t>一个交易中的商品可能超过一千行。</t>
  </si>
  <si>
    <t>购物清单-添加+清单联动</t>
    <phoneticPr fontId="27" type="noConversion"/>
  </si>
  <si>
    <t>不包含优惠券等促销计算逻辑（需其他EPIC计算工时间）</t>
    <phoneticPr fontId="27" type="noConversion"/>
  </si>
  <si>
    <t>N</t>
    <phoneticPr fontId="27" type="noConversion"/>
  </si>
  <si>
    <t>建议5人天，估的工时过少可能，点击按钮添加购物清单如何实现，这里需要找到商品这一步</t>
    <phoneticPr fontId="27" type="noConversion"/>
  </si>
  <si>
    <t>2.1.1 [Merch] Add/delete product|Delete product in shopping list 删除商品</t>
  </si>
  <si>
    <t>2.1.1.2 As Merch cashier, I need New POS will be able to delete product in shopping list by slide w/ tap button, as to process shopping in store ordering.</t>
  </si>
  <si>
    <t>2.1.1.2 作为收银员，我需要新 POS 系统能够通过滑动并点击按钮来删除购物清单中的商品，以便处理店内订单购物。</t>
  </si>
  <si>
    <t>购物清单-删除</t>
    <phoneticPr fontId="27" type="noConversion"/>
  </si>
  <si>
    <t>(删除（0.5天）</t>
    <phoneticPr fontId="27" type="noConversion"/>
  </si>
  <si>
    <t>2.1.1 [Merch] Add/delete product|Modify product quantity/price in shopping list 修改商品数量或价格</t>
  </si>
  <si>
    <t>2.1.1.3 As Merch cashier, I need New POS will be able to modify product quantity/price in shopping list by tap button , as to process shopping in store ordering.</t>
  </si>
  <si>
    <t>1. Press “+, -” or entering number to adjust item quantity
2. Repeated scanning same item or continuous scanning in X seconds will accumulate quantity(X is configurable)
3. Pricing change can only be process by GSM/Lead authorized, and not impact its price in foundation data. GSM/Lead authorized needed.</t>
  </si>
  <si>
    <t>2.1.1.3 作为收银员，我需要新 POS 系统能够通过点击按钮修改购物清单中的产品数量/价格，以便处理店内订单购物。</t>
    <phoneticPr fontId="27" type="noConversion"/>
  </si>
  <si>
    <t>1. 按“+、-”或输入数字调整商品数量
2. 在X秒内重复扫描同一商品或连续扫描将累积数量（X可配置）
3. 价格更改只能由GSM/主管授权处理，且不影响基础数据中的价格。需要GSM/主管授权。</t>
  </si>
  <si>
    <t>购物清单-修改-产品数量/价格</t>
    <phoneticPr fontId="27" type="noConversion"/>
  </si>
  <si>
    <r>
      <t>1.权限校验
2.修改发起授权</t>
    </r>
    <r>
      <rPr>
        <u/>
        <sz val="14"/>
        <color theme="1"/>
        <rFont val="宋体"/>
        <family val="3"/>
        <charset val="134"/>
      </rPr>
      <t>（弹窗输入主管工号/密码？这个功能应该是有单独工时跟进）</t>
    </r>
    <phoneticPr fontId="27" type="noConversion"/>
  </si>
  <si>
    <t>Android &amp; Back-End</t>
    <phoneticPr fontId="27" type="noConversion"/>
  </si>
  <si>
    <t>2.1.1 [Merch] Add/delete product|Save/get product in shopping list 暂存与提取购物清单</t>
  </si>
  <si>
    <t>2.1.1.4 As Merch cashier, I need New POS will be able to save/get product list as draft when guest would like to order pending, as to process shopping in store ordering.</t>
  </si>
  <si>
    <t>1. Modify draft shopping list: item/discount/coupon, and search
2. Delete shopping list</t>
  </si>
  <si>
    <t>2.1.1.4 作为收银员，我需要新 POS 系统能够在客人想要暂存订单时保存/获取产品清单草稿，以便处理店内购物订单。</t>
  </si>
  <si>
    <t>1. 修改草稿购物车：商品/折扣/优惠券，以及搜索
2. 删除购物车</t>
  </si>
  <si>
    <t>购物清单-修改</t>
    <phoneticPr fontId="27" type="noConversion"/>
  </si>
  <si>
    <t>1.Android本地修改 
2.销售信息联动，存在系统对接。实时试算。主要耗时在联调上(2)。</t>
  </si>
  <si>
    <t>2.1.1 [Merch] Add/delete product|Check product saleable in shopping list 检查商品售卖状态</t>
  </si>
  <si>
    <t>2.1.1.5 As Merch cashier, I need New POS will be able to check product saleable when add into shopping list, display message when its unsaleable , as to make sure non-saleable product in shopping list.</t>
  </si>
  <si>
    <t>Finance</t>
  </si>
  <si>
    <t>2.1.1.5 作为收银员，我需要新 POS 系统能够在商品添加到购物清单时检查其是否可销售，并在不可销售时显示提示信息，以确保购物清单中不会包含不可销售的商品。</t>
    <phoneticPr fontId="27" type="noConversion"/>
  </si>
  <si>
    <t>财务</t>
    <phoneticPr fontId="27" type="noConversion"/>
  </si>
  <si>
    <t>购物清单-添加时校验商品可用状态</t>
    <phoneticPr fontId="27" type="noConversion"/>
  </si>
  <si>
    <t>商品售卖状态在初始化时售卖状态应该拿到，直接校验（0.5）</t>
    <phoneticPr fontId="27" type="noConversion"/>
  </si>
  <si>
    <t>2.1.2 [FnB] QSR ordering|Ordering with add/delete meal on QSR 开单与添加删除商品</t>
  </si>
  <si>
    <t>2.1.2.1 As FnB cashier, I need New POS will be able to add/delete meal to shopping list by barcode scanning or tap button, as to process shopping in restaurant ordering.</t>
  </si>
  <si>
    <t>1. Add single item/meal/service to list.
2. Delete product in shopping list.</t>
  </si>
  <si>
    <t>2.1.2.1 作为餐饮收银员，我需要新 POS 系统能够通过条形码扫描或点击按钮来添加/删除购物清单中的餐品，以便处理餐厅订单。</t>
  </si>
  <si>
    <t>1. 将单个商品/餐点/服务添加到列表。
2. 删除购物车中的产品。</t>
  </si>
  <si>
    <t>扫码触发逻辑、增删查同步、本地缓存
不包含硬件集成</t>
    <phoneticPr fontId="27" type="noConversion"/>
  </si>
  <si>
    <t>推荐5人天, 见2.1.1.1</t>
    <phoneticPr fontId="27" type="noConversion"/>
  </si>
  <si>
    <t>2.1.2 [FnB] QSR ordering|Modify meal/set/Condiments configuration 调整单品、套餐与调料</t>
  </si>
  <si>
    <t>2.1.2.2 As FnB cashier, I need New POS will be able to modify meal/set/condiments configuration in shopping list, as to process shopping in restaurant ordering.</t>
  </si>
  <si>
    <t>Sync to kitchen printer for order detail.
Condiments may deduct inventory or not deduct(depending on the case)</t>
  </si>
  <si>
    <t>2.1.2.2 作为餐饮收银员，我需要新 POS 系统能够在购物清单中修改餐食/套餐/调味品配置，以便处理餐厅订单的购物流程。</t>
    <phoneticPr fontId="27" type="noConversion"/>
  </si>
  <si>
    <t>同步到厨房打印机以获取订单详情。
调味品可能会扣除库存，也可能不扣除（视情况而定）</t>
    <phoneticPr fontId="27" type="noConversion"/>
  </si>
  <si>
    <t>购物清单-获取厨房订单信息</t>
    <phoneticPr fontId="27" type="noConversion"/>
  </si>
  <si>
    <t xml:space="preserve">
配置的增删改查开发（2）
可视库存检查（1）
【无库存概念，部分餐饮有可售库存（不在这里估），打印同步不在这里估】</t>
    <phoneticPr fontId="27" type="noConversion"/>
  </si>
  <si>
    <t>2.1.2 [FnB] QSR ordering|Add remark for kitchen 增加厨房备注</t>
  </si>
  <si>
    <t>2.1.2.3 As FnB cashier, I need New POS will be able to add kitchen remark or special information on order/items level, as to process shopping in restaurant ordering.</t>
  </si>
  <si>
    <t>Sync to kitchen printer for order detail</t>
  </si>
  <si>
    <t>2.1.2.3 作为餐饮收银员，我需要新 POS 系统能够在订单/项目级别添加厨房备注或特殊信息，以便处理餐厅购物订单。</t>
    <phoneticPr fontId="27" type="noConversion"/>
  </si>
  <si>
    <t>同步到厨房打印机以获取订单详情</t>
  </si>
  <si>
    <t>订单中菜品的备注信息</t>
    <phoneticPr fontId="27" type="noConversion"/>
  </si>
  <si>
    <t xml:space="preserve">
厨房备注修改</t>
    <phoneticPr fontId="27" type="noConversion"/>
  </si>
  <si>
    <t>2.1.2 [FnB] QSR ordering|Modify meal quantity/price in shopping list 调整数量与复制，修改价格</t>
  </si>
  <si>
    <t>2.1.2.4 As FnB cashier, I need New POS will be able to modify meal quantity or price in shopping list, as to process shopping in restaurant ordering.</t>
    <phoneticPr fontId="27" type="noConversion"/>
  </si>
  <si>
    <t>1. Press “+, -” or entering number to adjust item qty
2. Able to duplicate added product
3. Pricing change can only be process by GSM/Lead authorized, and not impact its price in foundation data. GSM/Lead authorized needed.</t>
  </si>
  <si>
    <t>2.1.2.4 作为餐饮收银员，我需要新 POS 系统能够修改购物清单中的餐品数量或价格，以便处理餐厅订单的购物流程。</t>
    <phoneticPr fontId="27" type="noConversion"/>
  </si>
  <si>
    <t>1. 按“+、-”或输入数字调整商品数量
2. 能够复制添加的产品
3. 价格更改只能由GSM/主管授权处理，且不影响基础数据中的价格。需要GSM/主管授权。</t>
  </si>
  <si>
    <t>购物清单-餐厅订单</t>
    <phoneticPr fontId="27" type="noConversion"/>
  </si>
  <si>
    <r>
      <t>1.调整数量，2.复制商品（1）
3.权限校验</t>
    </r>
    <r>
      <rPr>
        <u/>
        <sz val="14"/>
        <color theme="1"/>
        <rFont val="宋体"/>
        <family val="3"/>
        <charset val="134"/>
      </rPr>
      <t>（弹窗输入主管工号/密码？这个功能应该是有单独工时跟进）</t>
    </r>
    <r>
      <rPr>
        <sz val="14"/>
        <color theme="1"/>
        <rFont val="宋体"/>
        <family val="2"/>
        <scheme val="minor"/>
      </rPr>
      <t>（1）</t>
    </r>
    <phoneticPr fontId="27" type="noConversion"/>
  </si>
  <si>
    <t>2.1.2 [FnB] QSR ordering|Display inventory and prompt sold out 显示库存并提示即将售罄</t>
  </si>
  <si>
    <t>2.1.2.5 As FnB cashier, I need New POS will be able to display inventory and prompt sell out when remaining qty is below a certain threshold by meal, as to prevent over sales in restaurant ordering.</t>
    <phoneticPr fontId="27" type="noConversion"/>
  </si>
  <si>
    <t>Inventory prompt threshold is configurable.</t>
  </si>
  <si>
    <t>2.1.2.5 作为餐饮收银员，我需要新 POS 系统能够按餐次显示库存并在剩余数量低于特定阈值时提示售罄，以防止餐厅订单中的超量销售。</t>
    <phoneticPr fontId="27" type="noConversion"/>
  </si>
  <si>
    <t>库存提示阈值可配置。</t>
  </si>
  <si>
    <t>购物清单-库存</t>
    <phoneticPr fontId="27" type="noConversion"/>
  </si>
  <si>
    <t>1.Android购物清单需要校验提示售罄
2.服务端取库存信息，正常来说是个查询</t>
    <phoneticPr fontId="27" type="noConversion"/>
  </si>
  <si>
    <t>2.1.3 [FnB] TSR ordering|Add/delete meal to table order w/service fee on TSR TSR桌台点单（部分点位含服务费）</t>
  </si>
  <si>
    <t>2.1.3.1 As FnB cashier, I need New POS will be able to add/delete meal/set/service (w/ service fee) to order after open table, as to process shopping in dinning .</t>
  </si>
  <si>
    <r>
      <t xml:space="preserve">1. Input number of guests to open table, and guest type is optional(walk-in/hotel/reserved)
2. Enable to add/delete meal, seat, change quantity/service fee, change table, merge tables, pending to draft/get from draft, re-purchase 
3.Condiments may deduct inventory or not deduct(depending on the case)
4. Customize product and kitchen remark to item/order level
</t>
    </r>
    <r>
      <rPr>
        <sz val="14"/>
        <color theme="5"/>
        <rFont val="宋体"/>
        <family val="3"/>
        <charset val="134"/>
      </rPr>
      <t>5. Inventory deduction or not when editing saved check</t>
    </r>
    <phoneticPr fontId="27" type="noConversion"/>
  </si>
  <si>
    <t>2.1.3.1 作为餐饮收银员，我需要新 POS 系统能够在开台后向订单中添加/删除餐品/套餐/服务（含服务费），以便处理餐饮消费。</t>
    <phoneticPr fontId="27" type="noConversion"/>
  </si>
  <si>
    <r>
      <t xml:space="preserve">1. 输入客人人数以打开餐桌，客人类型可选（散客/酒店/预订）
2. 能够添加/删除餐点、座位，更改数量/服务费，更改餐桌，合并餐桌，挂起到草稿/从草稿中获取，重新购买
3. 调味品可能会扣除库存，也可能不扣除（视情况而定）
4. 自定义产品和厨房备注到商品/订单级别
</t>
    </r>
    <r>
      <rPr>
        <sz val="14"/>
        <color rgb="FFFF0000"/>
        <rFont val="宋体"/>
        <family val="3"/>
        <charset val="134"/>
      </rPr>
      <t>5. 编辑已保存的账单时是否扣除库存</t>
    </r>
    <phoneticPr fontId="27" type="noConversion"/>
  </si>
  <si>
    <t>开台-订单</t>
    <phoneticPr fontId="27" type="noConversion"/>
  </si>
  <si>
    <t>TSR业务
1.客数修改，类型调整（1）
2.（3）
3.（1）
4.（1）
5.（1）</t>
    <phoneticPr fontId="27" type="noConversion"/>
  </si>
  <si>
    <t>按商品属性去控制是否扣库存
有库存管理的就扣</t>
  </si>
  <si>
    <t>2.1.3 [FnB] TSR ordering|Buffet order(Cast-serve and guest-self service) 自助餐点单(CM上菜/客人自助)</t>
  </si>
  <si>
    <t>2.1.3.2 As FnB cashier, I need New POS will be able to add/delete buffet order after open table by cast, as to process shopping in dinning.</t>
  </si>
  <si>
    <t>1. Enable to order buffet products and items
2. Enable to order a-la-carte item</t>
  </si>
  <si>
    <t>2.1.3.2 作为餐饮收银员，我需要新 POS 系统能够按班次在开台后添加/删除自助餐订单，以便处理餐饮消费。</t>
  </si>
  <si>
    <t>1. 能够订购自助餐产品和商品
2. 能够点菜</t>
  </si>
  <si>
    <t>开台-订单-添加商品</t>
    <phoneticPr fontId="27" type="noConversion"/>
  </si>
  <si>
    <t>TSR业务
继续增加在原有订单上（2）</t>
    <phoneticPr fontId="27" type="noConversion"/>
  </si>
  <si>
    <t>2.1.3 [FnB] TSR ordering|Banquet order 宴会点单</t>
  </si>
  <si>
    <t>2.1.3.4 As FnB cashier, I need New POS will be able to add/delete banquet order to after open tables, as to process shopping in dinning.</t>
  </si>
  <si>
    <t>1. Input number of tables, guest count, order comments to open tables
2. Enable to add sales package/F&amp;B/Misc/Merc/Ticketing /Rental to order</t>
  </si>
  <si>
    <t>2.1.3.4 作为餐饮收银员，我需要新 POS 系统能够在开台后添加/删除宴会订单，以便处理餐饮消费。</t>
  </si>
  <si>
    <t>1. 输入餐桌数量、客人人数、订单备注以打开餐桌
2. 能够将销售套餐/餐饮/杂项/商品/票务/租赁添加到订单</t>
    <phoneticPr fontId="27" type="noConversion"/>
  </si>
  <si>
    <t>开台-订单-宴会订单</t>
    <phoneticPr fontId="27" type="noConversion"/>
  </si>
  <si>
    <r>
      <t>宴会订单
1.（1）
2.将各类信息添加到订单中（2）</t>
    </r>
    <r>
      <rPr>
        <u/>
        <sz val="14"/>
        <color theme="1"/>
        <rFont val="宋体"/>
        <family val="3"/>
        <charset val="134"/>
      </rPr>
      <t>（这些信息来源需要工时单独计算）</t>
    </r>
    <phoneticPr fontId="27" type="noConversion"/>
  </si>
  <si>
    <t>2.1.3 [FnB] TSR ordering|Hotel room order(charge to room) 酒店客房点餐(挂房账)</t>
  </si>
  <si>
    <t>2.1.3.5 As FnB cashier, I need New POS will be able to add/delete hotel order to room service, as to process shopping in hotel room dinning.</t>
  </si>
  <si>
    <r>
      <t xml:space="preserve">[Similar as TSR ordering]
1. Number of guests needed to open table
2. Enable to add/delete meal, change quantity/service fee, pending to draft/get from draft, re-purchase 
3. Customize product and kitchen remark to item/order level
</t>
    </r>
    <r>
      <rPr>
        <b/>
        <sz val="14"/>
        <rFont val="宋体"/>
        <family val="2"/>
        <scheme val="minor"/>
      </rPr>
      <t>4. Display the room charges status if refunded or not</t>
    </r>
  </si>
  <si>
    <t>PMS-Opera</t>
  </si>
  <si>
    <t>2.1.3.5 作为餐饮收银员，我需要新 POS 系统能够添加/删除酒店订单到客房服务，以便处理酒店客房内的餐饮消费。</t>
    <phoneticPr fontId="27" type="noConversion"/>
  </si>
  <si>
    <t>【类似于TSR订购】
1. 打开餐桌所需的客人人数
2. 能够添加/删除餐点，更改数量/服务费，挂起到草稿/从草稿中获取，重新购买
3. 自定义产品和厨房备注到商品/订单级别
4. 如果已退款，则显示房间费用状态</t>
    <phoneticPr fontId="27" type="noConversion"/>
  </si>
  <si>
    <t>酒店订单到客房服务</t>
    <phoneticPr fontId="27" type="noConversion"/>
  </si>
  <si>
    <t xml:space="preserve">1.落座人数update（0.5）
2.（1）
3.（1）
4.（0.5）
</t>
    <phoneticPr fontId="27" type="noConversion"/>
  </si>
  <si>
    <t>2.1.3 [FnB] TSR ordering|Change/cancel table order on TSR 合并桌台/变更桌台/取消桌台</t>
    <phoneticPr fontId="27" type="noConversion"/>
  </si>
  <si>
    <t>2.1.3.6 As FnB cashier, I need New POS will be able to change table or cancel meal/set/service to order after open table, as to fulfill guest request in dinning.</t>
    <phoneticPr fontId="27" type="noConversion"/>
  </si>
  <si>
    <t>2.1.3.6 作为餐饮收银员，我需要新 POS 系统能够在开台后更改餐桌或取消餐点/套餐/服务，以满足客人在用餐过程中的需求。</t>
    <phoneticPr fontId="27" type="noConversion"/>
  </si>
  <si>
    <t>TSR 合并桌台/变更桌台/取消桌台</t>
    <phoneticPr fontId="27" type="noConversion"/>
  </si>
  <si>
    <t xml:space="preserve">餐桌状态流转，伴随着订单状态流转
</t>
    <phoneticPr fontId="27" type="noConversion"/>
  </si>
  <si>
    <t>2.10 Operational reports 运营报表</t>
  </si>
  <si>
    <t>2.10.1 Sales report|Location sales report 门店销售报表</t>
  </si>
  <si>
    <t>2.10.1.1 As Ops admin &amp; cashier, I need New POS will be able to customized reports output format and result fields, as to fulfill operations reporting requirements.</t>
  </si>
  <si>
    <t>Including custom report formats, custom data sources and fields, binding fields to the compound, designing report styles, adding custom events and publishing reports.</t>
    <phoneticPr fontId="27" type="noConversion"/>
  </si>
  <si>
    <t>report</t>
  </si>
  <si>
    <t>2.10.1.1 作为运营管理员和收银员，我需要新 POS 系统能够自定义报表输出格式和结果字段，以满足运营报告需求。</t>
  </si>
  <si>
    <t>包括自定义报表格式、自定义数据源和字段、将字段绑定到复合项、设计报表样式、添加自定义事件和发布报表。</t>
    <phoneticPr fontId="27" type="noConversion"/>
  </si>
  <si>
    <t>在POS后台展示报表需求</t>
    <phoneticPr fontId="27" type="noConversion"/>
  </si>
  <si>
    <t>报表筛选，数据准确性</t>
    <phoneticPr fontId="27" type="noConversion"/>
  </si>
  <si>
    <t>Front-End &amp; Back-End</t>
    <phoneticPr fontId="27" type="noConversion"/>
  </si>
  <si>
    <t>待确定</t>
    <phoneticPr fontId="27" type="noConversion"/>
  </si>
  <si>
    <t>PM: 涉及系统端有争议，报表理论无收银员无关</t>
    <phoneticPr fontId="27" type="noConversion"/>
  </si>
  <si>
    <t>2.10.1 Sales report|Merch sales/management reports 商品销售报表</t>
  </si>
  <si>
    <t>2.10.1.2 As Merch admin &amp; cashier, I need New POS will be able to summary sales record as Merch current operations report with 9 categories (40 reports), as to fulfill operations reporting requirements.</t>
  </si>
  <si>
    <t>包含9类共40张报表
1. Account info include: PERNER, name, phone, email, store, business type, joining time, title, button group, is ND.
2. Each account has a identifier field(e.g. PERNER/Email address) for identity.
3. Account creation require corresponding Line Manager approval. GSM/Lead/Administrator authorized needed</t>
    <phoneticPr fontId="27" type="noConversion"/>
  </si>
  <si>
    <t>2.10.1.2 作为商户管理员和收银员，我需要新 POS 系统能够将销售记录汇总为商户当前运营报告，包含 9 个类别（40 份报告），以满足运营报告需求。</t>
  </si>
  <si>
    <t>包含9类共40张报表
1. 帐户信息包括：PERNER、姓名、电话、电子邮件、商店、业务类型、加入时间、职称、按钮组、是否为ND。
2. 每个帐户都有一个标识符字段（例如PERNER/电子邮件地址）用于身份验证。
3. 帐户创建需要相应的直线经理批准。需要GSM/主管/管理员授权</t>
    <phoneticPr fontId="27" type="noConversion"/>
  </si>
  <si>
    <t>按照不同类型划分过滤出不同的结果集合，才生40份reports</t>
    <phoneticPr fontId="27" type="noConversion"/>
  </si>
  <si>
    <t>1.  UI（1） +  数据组合（1）
3.授权（1）</t>
    <phoneticPr fontId="27" type="noConversion"/>
  </si>
  <si>
    <t>2.10.1 Sales report|FnB location sales report 餐饮销售报表</t>
  </si>
  <si>
    <t>2.10.1.3 As FnB admin &amp; cashier, I need New POS will be able to summary sales record as FnB current operations report for location closed, as to fulfill operations reporting requirements.</t>
    <phoneticPr fontId="27" type="noConversion"/>
  </si>
  <si>
    <r>
      <t xml:space="preserve">1. Field including: sales report/transaction report(by payment method)/cash drawer report/coupon and discount report, and actual receipt statements for payment methods, and the accounts receivable statements for sales categories. 
</t>
    </r>
    <r>
      <rPr>
        <sz val="14"/>
        <color theme="1"/>
        <rFont val="宋体"/>
        <family val="3"/>
        <charset val="134"/>
      </rPr>
      <t>2. Display daily report, but POS frontend stores 3 days of report data)</t>
    </r>
    <phoneticPr fontId="27" type="noConversion"/>
  </si>
  <si>
    <t>2.10.1.3 作为餐饮部管理员和收银员，我需要新 POS 系统能够为已关闭的门店汇总销售记录作为餐饮部当前运营报告，以满足运营报告要求。</t>
  </si>
  <si>
    <t>1. 字段包括：销售报告/交易报告（按支付方式）/收银机报告/优惠券和折扣报告，以及支付方式的实际收据报表，以及销售类别的应收账款报表。
2. 显示每日报告，但POS前端存储3天的报告数据）</t>
    <phoneticPr fontId="27" type="noConversion"/>
  </si>
  <si>
    <t>基础报表+POS端报告数据</t>
    <phoneticPr fontId="27" type="noConversion"/>
  </si>
  <si>
    <t xml:space="preserve">1.基础报表
2.Android本地缓存数据 </t>
    <phoneticPr fontId="27" type="noConversion"/>
  </si>
  <si>
    <t>PM: 这报表也涉及收银端么？</t>
    <phoneticPr fontId="27" type="noConversion"/>
  </si>
  <si>
    <t>2.11 Finance Processing  and Configuration 财务处理和配置</t>
  </si>
  <si>
    <t>2.11.1 Refund Finance Processing| Auto refund of single payment 由退货触发自动退款（单一支付方式）</t>
  </si>
  <si>
    <t>2.11.1.1 As Finance admin, I want to accept auto refund of products paid through single payment method so that I can refund through original payment method.</t>
  </si>
  <si>
    <t>1. Preconditions as Merch/FnB operations requirements, need to input return reason
2. If auto refund fails, should pop up system message to prompt manual refund, 
3. Refund transaction should link back to original transaction.
4. Backend scenarios include: 1) Same store refund, 2) Different store same company refund (store ID should be captured), 3) Different store different company refund (store ID should be captured)</t>
  </si>
  <si>
    <t>2.11.1.1 作为财务管理员，我希望接受通过单一支付方式支付的产品自动退款，以便能够通过原始支付方式进行退款。</t>
  </si>
  <si>
    <t>1. 作为Merch/FnB运营要求的前提条件，需要输入退货原因
2. 如果自动退款失败，应弹出系统消息提示手动退款，
3. 退款交易应链接回原始交易。
4. 后端场景包括：1) 同店退款，2) 不同店同公司退款（应捕获商店ID），3) 不同店不同公司退款（应捕获商店ID）</t>
  </si>
  <si>
    <t>同上</t>
  </si>
  <si>
    <t>Lucky &amp; Vetas</t>
  </si>
  <si>
    <t>退款操作-单一支付方式</t>
    <phoneticPr fontId="27" type="noConversion"/>
  </si>
  <si>
    <t>1.输入退款原因（1）
2.自动退款调用+手动退款调用（2）
3.关联交易（1）
4.不同场景（1）
退款链路完善，只是对接情况（5）</t>
    <phoneticPr fontId="27" type="noConversion"/>
  </si>
  <si>
    <t xml:space="preserve">Front-End &amp; Back-End </t>
  </si>
  <si>
    <t>2.11.1 Refund Finance Processing| Auto refund of combined payment 由退货触发自动退款（混合支付方式）</t>
  </si>
  <si>
    <t>2.11.1.2 As Finance admin, I want to accept auto refund of products paid through combined payment so that I can select refund method to guest.</t>
  </si>
  <si>
    <t>1. Preconditions as Merch/FnB operations requirements, need to input return reason
2. Cashier can select the refund payment from original combined payment methods.
3. If auto refund fails, should pop up system message to prompt manual refund.
4. Refund transaction should link back to original transaction.
5. Backend scenarios: 1) Same store refund, 2) Different store same company refund (store ID should be captured), 3) Different store different company refund (store ID should be captured)</t>
  </si>
  <si>
    <t>2.11.1.2 作为财务管理员，我希望接受通过组合支付方式购买的产品自动退款，以便我可以选择退款方式给客人。</t>
  </si>
  <si>
    <t>1. 作为Merch/FnB运营要求的前提条件，需要输入退货原因
2. 收银员可以从原始组合支付方式中选择退款支付。
3. 如果自动退款失败，应弹出系统消息提示手动退款。
4. 退款交易应链接回原始交易。
5. 后端场景：1) 同店退款，2) 不同店同公司退款（应捕获商店ID），3) 不同店不同公司退款（应捕获商店ID）</t>
  </si>
  <si>
    <t>POS发起自动退款，调Payment Service退款
Payment Service需要提供自动退款接口</t>
  </si>
  <si>
    <t>退款操作-组合支付方式</t>
    <phoneticPr fontId="27" type="noConversion"/>
  </si>
  <si>
    <t>1.输入退款原因（1）
2.原始支付方式退款（2）
3.自动退款调用+手动退款调用（2+1）
4.链接回原始交易（1）
5.不同场景（1）
退款链路完善，仅对接情况（5）</t>
    <phoneticPr fontId="27" type="noConversion"/>
  </si>
  <si>
    <t>2.11.1 Refund Finance Processing| Manual refund after auto refund failure 自动触发退款失败后手工发起退款</t>
  </si>
  <si>
    <t>2.11.1.3 As Finance admin, I want New POS to prompt alert  with popup when payment refund is unsuccessful and provide selection of NonCash Code for manual refund methods, so that I can process guest refund accordingly.</t>
  </si>
  <si>
    <t>2.11.1.3 作为财务管理员，我希望新 POS 在支付退款失败时弹出提示警报，并提供非现金代码选项用于手动退款方法，以便我能够相应地为客人处理退款。</t>
  </si>
  <si>
    <t>退款操作-失败报警-手动退款</t>
    <phoneticPr fontId="27" type="noConversion"/>
  </si>
  <si>
    <t>对接退款 （2）
手动退款方式（1）
退款链路完善，仅对接情况（5）</t>
    <phoneticPr fontId="27" type="noConversion"/>
  </si>
  <si>
    <t>2.11.1 Refund Finance Processing| Manual refund 手工执行退款</t>
  </si>
  <si>
    <t>2.11.1.4 As Finance admin, I want to conduct manual refund for products so that I can successfully refund payment to guest.</t>
  </si>
  <si>
    <t>1. Preconditions as Merch/FnB operations requirements. 
2. Select refund method from available configured buttons.
3. Backend scenarios: 1) Same store refund, 2) Different store same company refund, 3) Different store different company refund</t>
    <phoneticPr fontId="27" type="noConversion"/>
  </si>
  <si>
    <t>2.11.1.4 作为财务管理员，我希望能够手动为产品退款，以便成功向客人退还付款。</t>
  </si>
  <si>
    <t>1. 作为Merch/FnB运营要求的前提条件。
2. 从可用的已配置按钮中选择退款方式。
3. 后端场景：1) 同店退款，2) 不同店同公司退款，3) 不同店不同公司退款</t>
    <phoneticPr fontId="27" type="noConversion"/>
  </si>
  <si>
    <t>退款操作-手动退款</t>
    <phoneticPr fontId="27" type="noConversion"/>
  </si>
  <si>
    <t>从后台触发退款操作（5）
退款链路完善，仅对接情况（5）</t>
    <phoneticPr fontId="27" type="noConversion"/>
  </si>
  <si>
    <t>2.11.1 Refund Finance Processing| NonCashCode manual refund 手工执行Noncash Code退款</t>
  </si>
  <si>
    <t>2.11.1.5 As Finance admin, I want to select NonCashCode as a refund method, so that I can refund order or products that were paid through NonCashCodes.</t>
  </si>
  <si>
    <t>2.11.1.5 作为财务管理员，我希望选择 NonCashCode 作为退款方式，以便能够退还通过 NonCashCode 支付的订单或产品。</t>
    <phoneticPr fontId="27" type="noConversion"/>
  </si>
  <si>
    <t>退款操作-NonCashCode</t>
    <phoneticPr fontId="27" type="noConversion"/>
  </si>
  <si>
    <t>NonCashCode 方式退款（2）
退款链路完善，仅对接情况（5）</t>
    <phoneticPr fontId="27" type="noConversion"/>
  </si>
  <si>
    <t>2.11.2 Payment Finance Configuration| Enable rounding off/up 配置金额舍入规则</t>
  </si>
  <si>
    <t>2.11.2.1 As Finance admin, I need New POS will be able to configure rounding for each payment item by store and payment method</t>
    <phoneticPr fontId="27" type="noConversion"/>
  </si>
  <si>
    <t>1) Rounding in cash as: Decimal places, Round up, Round down, Round off, Round before/after calculation.
2) Round by priority, and apply to check amount, refund amount, payment/refund method, discount/coupon/other benefit, services fee, item amount.</t>
  </si>
  <si>
    <t>2.11.2.1 作为财务管理员，我需要新 POS 能够按商店和支付方式为每个payment 项 配置舍入规则</t>
    <phoneticPr fontId="27" type="noConversion"/>
  </si>
  <si>
    <t>1) 现金舍入方式：小数位数、向上舍入、向下舍入、四舍五入、计算前/后舍入。
2) 按优先级舍入，并应用于检查金额、退款金额、支付/退款方式、折扣/优惠券/其他优惠、服务费、项目金额。</t>
    <phoneticPr fontId="27" type="noConversion"/>
  </si>
  <si>
    <t>PIP上也需要配置，金额不一致？</t>
  </si>
  <si>
    <t>Lucky</t>
  </si>
  <si>
    <t>配置-payment item-配置舍入规则</t>
    <phoneticPr fontId="27" type="noConversion"/>
  </si>
  <si>
    <t>admin配置规则，计算金额的舍入规则配置（2）
按照优先级舍入（1）
带上具体执行逻辑（7）</t>
    <phoneticPr fontId="27" type="noConversion"/>
  </si>
  <si>
    <t>Android &amp; Front-End &amp; Back-End</t>
    <phoneticPr fontId="27" type="noConversion"/>
  </si>
  <si>
    <t>2.11.2 Payment Finance Configuration| Configuration of NonCash Codes 配置NonCash Code</t>
  </si>
  <si>
    <t>2.11.2.2 As Finance admin, I want to configure NonCash Code payment methods from NewPOS backend, so that Ops Cashier can select appropriate NonCash Code payment method to process guest payment.</t>
  </si>
  <si>
    <t>2.11.2.2 作为财务管理员，我希望从 NewPOS 后端配置非现金代码支付方式，以便运营收银员能够选择合适的非现金代码支付方式来处理客人付款。</t>
  </si>
  <si>
    <t>POS配置code，调Payment Service拿到支付方式配置的Mapping关系</t>
  </si>
  <si>
    <t>配置-NonCashCode-付款</t>
    <phoneticPr fontId="27" type="noConversion"/>
  </si>
  <si>
    <t>admin配置规则（1）
规则生效至PIS（1）</t>
    <phoneticPr fontId="27" type="noConversion"/>
  </si>
  <si>
    <t>2.11.2 Payment Finance Configuration| NonCash Code payment 配置NonCash Code支付</t>
  </si>
  <si>
    <t>2.11.2.3 As Ops Cashier, I want New POS to support manual selection of Non CashCode as a payment method, so that I can complete payment process for guest</t>
  </si>
  <si>
    <t>2.11.2.3 作为收银员，我希望新 POS 系统能支持手动选择 Non CashCode 作为支付方式，以便我能为客人完成支付流程</t>
  </si>
  <si>
    <t>admin生效配置，（1）
Android端去支持NonCashCode-付款（1）
PIS调试（2）</t>
    <phoneticPr fontId="27" type="noConversion"/>
  </si>
  <si>
    <t xml:space="preserve">Android &amp; Front-End &amp; Back-End </t>
  </si>
  <si>
    <t>2.11.2 Payment Finance Configuration| Enable promotion in payment method 支付渠道促销</t>
  </si>
  <si>
    <t>2.11.2.4 As Finance admin, I need New POS will be able to configure payment promotions as SHDR self-operated activities, 3rd payment codes and specific channel promotions</t>
  </si>
  <si>
    <t>Transactions revenue on payment promotions should have a spitted amount for Financial accounting.
By order by using specific payment method or by products by using specific payment method.</t>
  </si>
  <si>
    <t>2.11.2.4 作为财务管理员，我需要新 POS 能够将支付促销配置为 SHDR 自营活动、第三方支付代码和特定渠道促销</t>
  </si>
  <si>
    <t>支付促销的交易收入应为财务会计分配金额。
通过使用特定支付方式的订单或通过使用特定支付方式的产品。</t>
  </si>
  <si>
    <t>这个配置应该在对应支付渠道里配置</t>
  </si>
  <si>
    <t>配置-支付促销-配置特定支付方式或产品</t>
    <phoneticPr fontId="27" type="noConversion"/>
  </si>
  <si>
    <t>admin配置工作（2）
Android端 集成并生效（3）
PIS对接（5）</t>
    <phoneticPr fontId="27" type="noConversion"/>
  </si>
  <si>
    <t>2.11.3 Finance Posting| Financial Master Data configuration 配置财务主数据</t>
  </si>
  <si>
    <t>2.11.3.1 As Finance operator,  I want to configure financial master data(e.g company code, GL account, CC, PC.ect) corresponding to Merch/FnB products, transactions, location/terminal, revenue type etc. by single-item or batch upload, so that NewPOS sale &amp; payment data can be correctly posted to SAP.</t>
  </si>
  <si>
    <t>FS-4
产品、产品分类、支付方式、渠道、门店、收银终端、订单、促销活动等相关功能下可以灵活的配置一些财务需要的相关数据属性，比如公司代码、财务科目、利润中心、收入类型、税率、财务物料号码、财务支付方式、零售客户代码、零售业务模式、财务接口标识、Bank out标识等等</t>
  </si>
  <si>
    <t>2.11.3.1 作为财务操作员，我希望通过单项或批量上传配置与商户/餐饮产品、交易、地点/终端、收入类型等对应的财务主数据（如公司代码、总账科目、成本中心、利润中心等），以便 NewPOS 销售和支付数据能够正确过账到 SAP。</t>
    <phoneticPr fontId="27" type="noConversion"/>
  </si>
  <si>
    <t>FS-4
产品、产品分类、支付方式、渠道、门店、收银终端、订单、促销活动等相关功能下可以灵活的配置一些财务需要的相关数据属性，比如公司代码、财务科目、利润中心、收入类型、税率、财务物料号码、财务支付方式、零售客户代码、零售业务模式、财务接口标识、Bank out标识等等</t>
    <phoneticPr fontId="27" type="noConversion"/>
  </si>
  <si>
    <t>Vetas</t>
  </si>
  <si>
    <t>配置-灵活配置属性</t>
    <phoneticPr fontId="27" type="noConversion"/>
  </si>
  <si>
    <t>admin相关功能下配置字段（5）</t>
    <phoneticPr fontId="27" type="noConversion"/>
  </si>
  <si>
    <t>2.11.3 Finance Posting| Financial Master Data attributes configuration 配置财务附加主数据</t>
  </si>
  <si>
    <t>2.11.3.2 As Finance Operator, 
I want to add, edit, or delete additional financial attributes to Merch and FnB product master data so that I can conduct Financial analysis and not affect operational processes.</t>
  </si>
  <si>
    <t>FS-4
TBC - 配置权限</t>
  </si>
  <si>
    <t>2.11.3.2 作为财务操作员，我想添加、编辑或删除 Merch 和 FnB 产品主数据的额外财务属性，以便我可以进行财务分析，同时不影响运营流程。</t>
    <phoneticPr fontId="27" type="noConversion"/>
  </si>
  <si>
    <t>财务主数据需要带到FMP</t>
  </si>
  <si>
    <t>配置- Merch 和 FnB 产品主数据的额外财务属性</t>
    <phoneticPr fontId="27" type="noConversion"/>
  </si>
  <si>
    <t>admin配置工作</t>
    <phoneticPr fontId="27" type="noConversion"/>
  </si>
  <si>
    <t>2.11.4 Finance Reports and Logs| Search, View, and Download Financial Reports and logs 查询，查看和下载财务报表和日志</t>
  </si>
  <si>
    <t>2.11.4.1 As a Finance admin, I want to search, and filter Financial Reports and Logs via different criteria, and view and download these Reports and Logs from New POS, so that I can conduct Financial Reconciliation and Finance Posting</t>
  </si>
  <si>
    <t>FS-8
Search Criteria: Order info, Payment info, Location info, Transaction date, Coupon redemption, Payment Promotions, Inventory deduction, Payment methods, Product Type, etc
Eg of Financial Reports: Payments reports, Sales reports, Store Open / Close reports
PCM-6
SA-5</t>
  </si>
  <si>
    <t>Finance &amp; Report</t>
  </si>
  <si>
    <t>2.11.4.1 作为财务管理员，我希望能够通过不同条件搜索和筛选财务报表与日志，并在新 POS 系统中查看和下载这些报表与日志，以便进行财务对账和财务过账。</t>
    <phoneticPr fontId="27" type="noConversion"/>
  </si>
  <si>
    <t>FS-8
搜索条件：订单信息、支付信息、位置信息、交易日期、优惠券兑换、支付促销、库存扣除、支付方式、产品类型等
财务报告示例：支付报告、销售报告、商店开/关报告
PCM-6
SA-5</t>
  </si>
  <si>
    <t>需要大概多少张表？大概表的内容</t>
  </si>
  <si>
    <t>Lucky</t>
    <phoneticPr fontId="27" type="noConversion"/>
  </si>
  <si>
    <t>10/24 18:00之前可以确认
本周五再拉会过需求</t>
  </si>
  <si>
    <t>报表与日志</t>
    <phoneticPr fontId="27" type="noConversion"/>
  </si>
  <si>
    <t>搜索筛选，下载</t>
    <phoneticPr fontId="27" type="noConversion"/>
  </si>
  <si>
    <t>2.11.4 Finance Reports and Logs| Create customized Financial Reports and Logs 创建财务报表和日志</t>
  </si>
  <si>
    <t>2.11.4.2 As a Finance Operator, I want to be able to create customized Financial Reports and Logs via different filtering criteria and download them from the NewPOS Backend system, so that I can conduct Financial Reconciliation and Finance Posting.</t>
  </si>
  <si>
    <t>FS-8</t>
  </si>
  <si>
    <t>2.11.4.2 作为财务操作员，我希望能够通过不同的筛选条件创建自定义财务报表和日志，并从 NewPOS 后端系统下载它们，以便进行财务对账和财务过账。</t>
  </si>
  <si>
    <t>只是条件筛选，字段过滤，并非汇总型报表</t>
  </si>
  <si>
    <t>找供应商确认，提供哪些定制化的报表</t>
  </si>
  <si>
    <t>2.11.4 Finance Reports and Logs| Finance Reports and Logs access permissions 配置财务报表和日志的权限</t>
  </si>
  <si>
    <t>2.11.4.3 As a Finance Operator, I want NewPOS system to support role and access permissions specific to Finance users,
so that only Finance users can have access to Finance-related data and Finance-related reports.</t>
  </si>
  <si>
    <t>FS-10</t>
  </si>
  <si>
    <t>2.11.4.3 作为财务操作员，我希望 NewPOS 系统能支持财务用户特定的角色和访问权限，以便只有财务用户才能访问财务相关数据和财务相关报告。"</t>
    <phoneticPr fontId="27" type="noConversion"/>
  </si>
  <si>
    <t>支持财务用户特定的角色和访问权限</t>
    <phoneticPr fontId="27" type="noConversion"/>
  </si>
  <si>
    <t>用户展示特定功能数据</t>
    <phoneticPr fontId="27" type="noConversion"/>
  </si>
  <si>
    <t>2.11.4 Finance Reports and Logs| Longview Integration 集成Longview</t>
  </si>
  <si>
    <t>2.11.4.4 As a Finance operator, I want NewPOS transactions to be sent to Longview (financial forcast &amp; planning) system according to longview interface specifications, so that I can conduct financial forcast &amp; planning for Merch and  Fnb.</t>
  </si>
  <si>
    <t>2.11.4.4 作为财务操作员，我希望根据 Longview 接口规范将 NewPOS 交易发送到 Longview（财务预测与规划）系统，以便我可以对商户和餐饮业务进行财务预测与规划。</t>
    <phoneticPr fontId="27" type="noConversion"/>
  </si>
  <si>
    <t>发送交易数据到 Longview</t>
    <phoneticPr fontId="27" type="noConversion"/>
  </si>
  <si>
    <t>后端对接联调</t>
    <phoneticPr fontId="27" type="noConversion"/>
  </si>
  <si>
    <t>Back-End</t>
    <phoneticPr fontId="27" type="noConversion"/>
  </si>
  <si>
    <t>2.11.4 Finance Reports and Logs| Store Inventory report 门店库存报表</t>
  </si>
  <si>
    <t>2.11.4.5 As a Finance operator, I want to have inventory information in NEW POS report, so that I can conduct Merch item revenue and cost.</t>
  </si>
  <si>
    <t>2.11.4.5 作为财务操作员，我希望 NEW POS 报告中包含库存信息，以便我能进行商品项目的收入和成本核算。</t>
    <phoneticPr fontId="27" type="noConversion"/>
  </si>
  <si>
    <t>报表与日志-包含库存信息</t>
    <phoneticPr fontId="27" type="noConversion"/>
  </si>
  <si>
    <t>库存数据同步单独工时</t>
    <phoneticPr fontId="27" type="noConversion"/>
  </si>
  <si>
    <t>2.2 Non-coupon promotion and discount(POS promotion) (非优惠券类)促销与折扣</t>
  </si>
  <si>
    <t>2.2.1 Non-coupon promotion configuration|Setup POS promotion type 定义促销类型</t>
  </si>
  <si>
    <t>2.2.1.1 As Ops admin, I need New POS will be able to configure POS promotion type which available in the store, and publish promotion after approval, as to define promotion in ordering.</t>
  </si>
  <si>
    <r>
      <t xml:space="preserve">1. Include: GWP (Gift with Purchase), PWP (Purchase with Purchase), Bundle, Discount, Tier Discount, and coupon availability. Promotion from SIMBA include：
</t>
    </r>
    <r>
      <rPr>
        <b/>
        <sz val="14"/>
        <rFont val="宋体"/>
        <family val="2"/>
        <scheme val="minor"/>
      </rPr>
      <t>A. Item Level Offers (PWP/Purchase with purchase, GWP/Gift with Purchase)</t>
    </r>
    <r>
      <rPr>
        <sz val="14"/>
        <rFont val="宋体"/>
        <family val="2"/>
        <scheme val="minor"/>
      </rPr>
      <t xml:space="preserve">
Simple Discount - Get Y for Discount - 25% off all summer products</t>
    </r>
    <r>
      <rPr>
        <b/>
        <sz val="14"/>
        <rFont val="宋体"/>
        <family val="2"/>
        <scheme val="minor"/>
      </rPr>
      <t xml:space="preserve">
</t>
    </r>
    <r>
      <rPr>
        <sz val="14"/>
        <rFont val="宋体"/>
        <family val="2"/>
        <scheme val="minor"/>
      </rPr>
      <t xml:space="preserve">Purchase with purchase - Buy X, Get Discount - Buy any 3 kids’ T-shirts, get CNY 10 off
Purchase with purchase - Spend X, Get Discount - Spend CNY 50 in Toys, get CNY 5 off
Purchase with purchase - Buy X, Get Y for Discount -Buy 2 T-shirts; get a toy for 50% off
Purchase with purchase - Spend X, Get Y for Discount - Spend CNY 100 on jewelry, get 25% off any 2 toys
Purchase with purchase - Buy X of Single Item for Discount -Buy 2 bags for CNY 50
Purchase with purchase - Buy X and Y, Get Discount -Buy a plush, keychain, and backpack for CNY 20.00
Purchase with purchase - Buy X and Y, Get Z for Discount - Buy a scarf and hat, get 50% off gloves
Gift with Purchase - Buy X, Get Gift with Purchase -Buy any 2 Duffy items, get a free beach towel
</t>
    </r>
    <r>
      <rPr>
        <b/>
        <sz val="14"/>
        <rFont val="宋体"/>
        <family val="2"/>
        <scheme val="minor"/>
      </rPr>
      <t>B. Transaction Level Offers</t>
    </r>
    <r>
      <rPr>
        <sz val="14"/>
        <rFont val="宋体"/>
        <family val="2"/>
        <scheme val="minor"/>
      </rPr>
      <t xml:space="preserve">
Simple Discount - Get Discount -10% off your purchase today only
Buy/Get -Buy X, Get Discount -Buy 3 t-shirts, get CNY 10 off on your purchase
Buy/Get -Spend X, Get Discount - Spend CNY 100 on Toy’s sets, get 5% off your purchase
</t>
    </r>
    <r>
      <rPr>
        <b/>
        <sz val="14"/>
        <rFont val="宋体"/>
        <family val="2"/>
        <scheme val="minor"/>
      </rPr>
      <t>C. Conflicts – Controlled via POS option</t>
    </r>
    <r>
      <rPr>
        <sz val="14"/>
        <rFont val="宋体"/>
        <family val="2"/>
        <scheme val="minor"/>
      </rPr>
      <t xml:space="preserve">
Promotion on an item that is on clearance
Overlapping promotions
When there are overlapping promotions, POS dictates what takes priority.
2. Enable to define by batch upload/modify, administrator authorized approval.
</t>
    </r>
  </si>
  <si>
    <t>New Simba</t>
  </si>
  <si>
    <t>2.2.1.1 作为运营管理员，我需要新的POS系统能够配置门店可用的促销类型，并在审批通过后发布促销活动，以便在订单处理过程中实现促销规则的定义。</t>
    <phoneticPr fontId="27" type="noConversion"/>
  </si>
  <si>
    <r>
      <t xml:space="preserve">1.  包含以下类型：赠品促销、加价购、捆绑销售、折扣、阶梯折扣以及优惠券可用性。来自SIMBA系统的促销包括：
A.  商品层级促销
</t>
    </r>
    <r>
      <rPr>
        <sz val="14"/>
        <rFont val="Apple Color Emoji"/>
        <family val="2"/>
      </rPr>
      <t>▪</t>
    </r>
    <r>
      <rPr>
        <sz val="14"/>
        <rFont val="宋体"/>
        <family val="2"/>
        <scheme val="minor"/>
      </rPr>
      <t xml:space="preserve">简单折扣 - 指定商品享受折扣 - 夏季商品全场25% off
</t>
    </r>
    <r>
      <rPr>
        <sz val="14"/>
        <rFont val="Apple Color Emoji"/>
        <family val="2"/>
      </rPr>
      <t>▪</t>
    </r>
    <r>
      <rPr>
        <sz val="14"/>
        <rFont val="宋体"/>
        <family val="2"/>
        <scheme val="minor"/>
      </rPr>
      <t xml:space="preserve">购买条件折扣 - 买X，享折扣 - 任意购买3件儿童T恤，立减10元
</t>
    </r>
    <r>
      <rPr>
        <sz val="14"/>
        <rFont val="Apple Color Emoji"/>
        <family val="2"/>
      </rPr>
      <t>▪</t>
    </r>
    <r>
      <rPr>
        <sz val="14"/>
        <rFont val="宋体"/>
        <family val="2"/>
        <scheme val="minor"/>
      </rPr>
      <t xml:space="preserve">购买条件折扣 - 消费满X，享折扣 - 玩具类消费满50元，立减5元
</t>
    </r>
    <r>
      <rPr>
        <sz val="14"/>
        <rFont val="Apple Color Emoji"/>
        <family val="2"/>
      </rPr>
      <t>▪</t>
    </r>
    <r>
      <rPr>
        <sz val="14"/>
        <rFont val="宋体"/>
        <family val="2"/>
        <scheme val="minor"/>
      </rPr>
      <t xml:space="preserve">购买条件折扣 - 买X，Y商品享折扣 - 购买2件T恤，一件玩具享受5折
</t>
    </r>
    <r>
      <rPr>
        <sz val="14"/>
        <rFont val="Apple Color Emoji"/>
        <family val="2"/>
      </rPr>
      <t>▪</t>
    </r>
    <r>
      <rPr>
        <sz val="14"/>
        <rFont val="宋体"/>
        <family val="2"/>
        <scheme val="minor"/>
      </rPr>
      <t xml:space="preserve">购买条件折扣 - 消费满X，Y商品享折扣 - 珠宝消费满100元，任意2件玩具享受75折
</t>
    </r>
    <r>
      <rPr>
        <sz val="14"/>
        <rFont val="Apple Color Emoji"/>
        <family val="2"/>
      </rPr>
      <t>▪</t>
    </r>
    <r>
      <rPr>
        <sz val="14"/>
        <rFont val="宋体"/>
        <family val="2"/>
        <scheme val="minor"/>
      </rPr>
      <t xml:space="preserve">购买条件折扣 - 单商品买X件享折扣 - 2个包包售价50元
</t>
    </r>
    <r>
      <rPr>
        <sz val="14"/>
        <rFont val="Apple Color Emoji"/>
        <family val="2"/>
      </rPr>
      <t>▪</t>
    </r>
    <r>
      <rPr>
        <sz val="14"/>
        <rFont val="宋体"/>
        <family val="2"/>
        <scheme val="minor"/>
      </rPr>
      <t xml:space="preserve">购买条件折扣 - 买X和Y，享折扣 - 购买一个毛绒玩具、一个钥匙扣和一个背包，售价20元
</t>
    </r>
    <r>
      <rPr>
        <sz val="14"/>
        <rFont val="Apple Color Emoji"/>
        <family val="2"/>
      </rPr>
      <t>▪</t>
    </r>
    <r>
      <rPr>
        <sz val="14"/>
        <rFont val="宋体"/>
        <family val="2"/>
        <scheme val="minor"/>
      </rPr>
      <t xml:space="preserve">购买条件折扣 - 买X和Y，Z商品享折扣 - 购买一条围巾和一顶帽子，手套享受5折
</t>
    </r>
    <r>
      <rPr>
        <sz val="14"/>
        <rFont val="Apple Color Emoji"/>
        <family val="2"/>
      </rPr>
      <t>▪</t>
    </r>
    <r>
      <rPr>
        <sz val="14"/>
        <rFont val="宋体"/>
        <family val="2"/>
        <scheme val="minor"/>
      </rPr>
      <t xml:space="preserve">赠品促销 - 买X，获赠品 - 任意购买2件达菲商品，免费获赠一条沙滩毛巾
B.  交易层级促销
</t>
    </r>
    <r>
      <rPr>
        <sz val="14"/>
        <rFont val="Apple Color Emoji"/>
        <family val="2"/>
      </rPr>
      <t>▪</t>
    </r>
    <r>
      <rPr>
        <sz val="14"/>
        <rFont val="宋体"/>
        <family val="2"/>
        <scheme val="minor"/>
      </rPr>
      <t xml:space="preserve">简单折扣 - 享折扣 - 仅限今日，全场9折
</t>
    </r>
    <r>
      <rPr>
        <sz val="14"/>
        <rFont val="Apple Color Emoji"/>
        <family val="2"/>
      </rPr>
      <t>▪</t>
    </r>
    <r>
      <rPr>
        <sz val="14"/>
        <rFont val="宋体"/>
        <family val="2"/>
        <scheme val="minor"/>
      </rPr>
      <t xml:space="preserve">买/获 - 买X，享折扣 - 购买3件T恤，整单立减10元
</t>
    </r>
    <r>
      <rPr>
        <sz val="14"/>
        <rFont val="Apple Color Emoji"/>
        <family val="2"/>
      </rPr>
      <t>▪</t>
    </r>
    <r>
      <rPr>
        <sz val="14"/>
        <rFont val="宋体"/>
        <family val="2"/>
        <scheme val="minor"/>
      </rPr>
      <t xml:space="preserve">买/获 - 消费满X，享折扣 - 玩具套装消费满100元，整单享受95折
C.  冲突 – 通过POS选项控制
</t>
    </r>
    <r>
      <rPr>
        <sz val="14"/>
        <rFont val="Apple Color Emoji"/>
        <family val="2"/>
      </rPr>
      <t>▪</t>
    </r>
    <r>
      <rPr>
        <sz val="14"/>
        <rFont val="宋体"/>
        <family val="2"/>
        <scheme val="minor"/>
      </rPr>
      <t xml:space="preserve">清仓商品参与促销
</t>
    </r>
    <r>
      <rPr>
        <sz val="14"/>
        <rFont val="Apple Color Emoji"/>
        <family val="2"/>
      </rPr>
      <t>▪</t>
    </r>
    <r>
      <rPr>
        <sz val="14"/>
        <rFont val="宋体"/>
        <family val="2"/>
        <scheme val="minor"/>
      </rPr>
      <t xml:space="preserve">重叠促销
</t>
    </r>
    <r>
      <rPr>
        <sz val="14"/>
        <rFont val="Apple Color Emoji"/>
        <family val="2"/>
      </rPr>
      <t>▪</t>
    </r>
    <r>
      <rPr>
        <sz val="14"/>
        <rFont val="宋体"/>
        <family val="2"/>
        <scheme val="minor"/>
      </rPr>
      <t>当出现重叠促销时，由POS系统决定优先级。
2.  支持通过批量上传/修改进行定义，并需经管理员授权批准。</t>
    </r>
    <phoneticPr fontId="27" type="noConversion"/>
  </si>
  <si>
    <t>从Simba同步门店促销类型
B里的折扣包含coupon和促销</t>
  </si>
  <si>
    <t>F&amp;B</t>
  </si>
  <si>
    <t>MO需要了解供应商关于促销的solution</t>
  </si>
  <si>
    <t>配置-促销类型-配置商店中</t>
    <phoneticPr fontId="27" type="noConversion"/>
  </si>
  <si>
    <t xml:space="preserve">
1.同步SIMBA的促销信息,并发布促销活动
A商品层级促销
B交易层级促销
C重叠的促销活动，POS决定优先级
D发布促销。
2能够通过批量上传/修改定义，管理员授权。</t>
    <phoneticPr fontId="27" type="noConversion"/>
  </si>
  <si>
    <t>2.2.1 Non-coupon promotion configuration|Configure POS promotion rules 配置促销规则</t>
  </si>
  <si>
    <t>2.2.1.2 As Ops admin, I need New POS will be able to configure POS promotion detail as effective/priority/repeat for each type, as to define promotion in ordering.</t>
  </si>
  <si>
    <t>A store will be able to support multiple promotions, and these promotions could be batch upload in file or sync from SIMBA.
Include: 1)effective time/store/identity, 2) priority, overlay, exclusion rules</t>
  </si>
  <si>
    <t>2.2.1.2 作为运维管理员，我需要新 POS 能够为每种类型配置 POS 促销详情，包括有效/优先级/重复设置，以便在订单中定义促销。</t>
  </si>
  <si>
    <t>一家商店将能够支持多个促销活动，并且这些促销活动可以通过文件批量上传或从SIMBA同步。
包括：1) 有效时间/商店/身份，2) 优先级、叠加、排除规则</t>
    <phoneticPr fontId="27" type="noConversion"/>
  </si>
  <si>
    <t xml:space="preserve">可从Simba同步门店促销规则
New POS设置好促销规则与Simba一一对应
促销的优级级冲突怎么配置--3.4.5.1 </t>
  </si>
  <si>
    <t>配置-促销详情</t>
    <phoneticPr fontId="27" type="noConversion"/>
  </si>
  <si>
    <t xml:space="preserve">1配置+文件上传(2)
</t>
    <phoneticPr fontId="27" type="noConversion"/>
  </si>
  <si>
    <t>2.2.1 Non-coupon promotion configuration|Configure POS promotion available period 配置促销生效时间</t>
  </si>
  <si>
    <t>2.2.1.3 As Ops admin, I need New POS will be able to configure POS promotion available period, as to define promotion in ordering.</t>
  </si>
  <si>
    <t>The period can be define by start &amp; end date timestamp with repeat cycle(monthly, weekly, daily), enable a reminder for ending/extension.</t>
  </si>
  <si>
    <t>2.2.1.3 作为运维管理员，我需要新 POS 系统能够配置 POS 促销活动可用期限，以便在订单中定义促销。</t>
  </si>
  <si>
    <t>该期间可以通过开始和结束日期时间戳定义，并具有重复周期（每月、每周、每天），并为结束/延期启用提醒。</t>
  </si>
  <si>
    <t>配置-促销活动-可用期限</t>
    <phoneticPr fontId="27" type="noConversion"/>
  </si>
  <si>
    <t>admin配置（2）</t>
    <phoneticPr fontId="27" type="noConversion"/>
  </si>
  <si>
    <t>2.2.2 Non-coupon promotion execution|Auto-apply POS promotion 自动添加促销折扣</t>
  </si>
  <si>
    <t>2.2.2.1 As Ops cashier, I need New POS will be able to auto-apply available POS promotion when conditions are met in ordering in priority, as to process promotion benefit/discount in ordering.</t>
  </si>
  <si>
    <t>POS is not applicable to calculate the max discount as "best offer” in multiple promotions/discounts applied, but it can only calculate the amount by promotion/ discount pre-defined priority, no matter the sequence of these promotions applied.</t>
  </si>
  <si>
    <t>2.2.2.1 作为收银员，我需要新 POS 系统能够在满足条件时按优先级自动应用可用的 POS 促销，以便在订单处理中应用促销优惠/折扣。</t>
    <phoneticPr fontId="27" type="noConversion"/>
  </si>
  <si>
    <t>POS不适用于计算应用多个促销/折扣时的“最佳优惠”最大折扣，但它只能按促销/折扣预定义的优先级计算金额，无论这些促销的应用顺序如何。</t>
  </si>
  <si>
    <t>配置-促销活动-优先级设定</t>
    <phoneticPr fontId="27" type="noConversion"/>
  </si>
  <si>
    <t>2.2.2 Non-coupon promotion execution|Manual apply POS promotion 手动添加促销</t>
  </si>
  <si>
    <t>2.2.2.2 As Ops cashier, I need New POS will be able to manual apply POS promotion by cast selection, as to process promotion benefit/discount in ordering.</t>
  </si>
  <si>
    <t>Show a list of available promotions in this store, then cashiers can select to apply</t>
  </si>
  <si>
    <t>2.2.2.2 作为收银员，我需要新 POS 系统能够通过选择商品手动应用 POS 促销，以便在订单处理中应用促销优惠/折扣。</t>
    <phoneticPr fontId="27" type="noConversion"/>
  </si>
  <si>
    <t>显示此商店中可用促销活动的列表，然后收银员可以选择应用</t>
    <phoneticPr fontId="27" type="noConversion"/>
  </si>
  <si>
    <t>配置-促销活动-选择商品应用促销</t>
    <phoneticPr fontId="27" type="noConversion"/>
  </si>
  <si>
    <t>2.2.2 Non-coupon promotion execution|Add remark on POS promotion 填写促销附加信息</t>
  </si>
  <si>
    <t>2.2.2.3 As Ops cashier, I need New POS will be able to input promotion information as additional fields by cashier as supporting. E.g. CEA discount, as to fulfill promotion benefit/discount info in ordering.</t>
  </si>
  <si>
    <t>Cashier may need to enter guest identity code(E.g. ETKT code for CEA discount) into additional fields by verify and scan guest identification document.</t>
  </si>
  <si>
    <t>2.2.2.3 作为收银员，我需要新 POS 系统能够让收银员通过附加字段输入促销信息作为支持。例如 CEA 折扣，以便在订单中实现促销优惠/折扣信息。</t>
    <phoneticPr fontId="27" type="noConversion"/>
  </si>
  <si>
    <t>收银员可能需要通过验证和扫描客人身份证明文件，将客人身份代码（例如，CEA折扣的ETKT代码）输入到附加字段中。</t>
    <phoneticPr fontId="27" type="noConversion"/>
  </si>
  <si>
    <t>促销活动-收银员操作</t>
    <phoneticPr fontId="27" type="noConversion"/>
  </si>
  <si>
    <t>POS Android端附加字段，能够实现订单优惠信息</t>
    <phoneticPr fontId="27" type="noConversion"/>
  </si>
  <si>
    <t>2.2.2 Non-coupon promotion execution|Cancel applied POS promotion 取消已添加的促销</t>
  </si>
  <si>
    <t>2.2.2.4 As Ops cashier, I need New POS will be able to remove a selected promotion when guest would like to pay without promotion, as to process promotion benefit/discount in ordering.</t>
  </si>
  <si>
    <t>2.2.2.4 作为收银员，我需要新 POS 系统能够在客人选择不使用促销时移除所选促销，以便在点单过程中处理促销优惠/折扣。</t>
  </si>
  <si>
    <t>促销活动-移除促销</t>
    <phoneticPr fontId="27" type="noConversion"/>
  </si>
  <si>
    <t>POS Android端 移除所选促销信息</t>
    <phoneticPr fontId="27" type="noConversion"/>
  </si>
  <si>
    <t>2.3 Checkout and payment 支付与结账</t>
  </si>
  <si>
    <t>2.3.1 Payment method Configuration|Configure payment method 设置支付方式</t>
  </si>
  <si>
    <t>2.3.1.1 As Ops admin, I need New POS will be able to configure payment method in store/stores group level on payment screen, as to define payment in ordering.</t>
  </si>
  <si>
    <t>Include: payment method name, payment method ranking, enable/disable</t>
  </si>
  <si>
    <t>2.3.1.1 作为运维管理员，我需要新 POS 能够在支付屏幕上配置门店/门店组级别的支付方式，以便在订单中定义支付方式。</t>
    <phoneticPr fontId="27" type="noConversion"/>
  </si>
  <si>
    <t>包括：支付方式名称、支付方式排名、启用/禁用</t>
  </si>
  <si>
    <t>配置-支付屏幕-配置门店级别支付方式</t>
    <phoneticPr fontId="27" type="noConversion"/>
  </si>
  <si>
    <t xml:space="preserve">POS Android端 支付方式展示 （1）
后台 配置（1） </t>
    <phoneticPr fontId="27" type="noConversion"/>
  </si>
  <si>
    <t>2.3.1 Payment method Configuration|Identify scan payment 配置扫码支付</t>
  </si>
  <si>
    <r>
      <t xml:space="preserve">2.3.1.2 </t>
    </r>
    <r>
      <rPr>
        <sz val="14"/>
        <color rgb="FFFF0000"/>
        <rFont val="宋体"/>
        <family val="3"/>
        <charset val="134"/>
      </rPr>
      <t>As Ops cashier,</t>
    </r>
    <r>
      <rPr>
        <sz val="14"/>
        <rFont val="宋体"/>
        <family val="2"/>
        <scheme val="minor"/>
      </rPr>
      <t xml:space="preserve"> I need New POS will be able to identify scan payment channel by QR code, as to define payment in ordering.</t>
    </r>
    <phoneticPr fontId="27" type="noConversion"/>
  </si>
  <si>
    <t>Include: 1)WeChat Pay, 2) Alipay, 3) Gift card-will be retired after 2026 Aug., 4) e - CNY, 5) Union Pay</t>
  </si>
  <si>
    <t>2.3.1.2 作为运营管理员，我需要新的POS系统能够通过二维码识别扫码支付渠道，以便在订单处理中定义支付方式。</t>
    <phoneticPr fontId="27" type="noConversion"/>
  </si>
  <si>
    <t>支持的支付渠道包括：
1. 微信支付
2. 支付宝
3. 礼品卡（将于2026年8月后停用）
4. 数字人民币
5. 云闪付</t>
    <phoneticPr fontId="27" type="noConversion"/>
  </si>
  <si>
    <t>POS Android 扫码识别支付方式</t>
    <phoneticPr fontId="27" type="noConversion"/>
  </si>
  <si>
    <t>Android</t>
    <phoneticPr fontId="27" type="noConversion"/>
  </si>
  <si>
    <t>Ops Admin扫QR Code，再去定义支付方式，无法理解这个场景
扫码之后才能确认支付方式吗？
不是OPS，是Cashier，扫多种码可以识别出微信或支付宝</t>
  </si>
  <si>
    <t>2.3.1 Payment method Configuration|Configure cash payment and change 配置现金支付与找零</t>
  </si>
  <si>
    <t>2.3.1.3 As Ops admin, I need New POS will be able to configure RMB cash payment and change with cash drawer, as to define payment in ordering.</t>
  </si>
  <si>
    <t>1. Set RMB cash payment as quick access button, and also able to manual input in 元角分(current practice will round down to 元, not need to input 角 and 分)
2. Link to drawer and calculate/prompt change, log all cash payment actions.</t>
  </si>
  <si>
    <t>2.3.1.3 作为运维管理员，我需要新 POS 系统能够配置人民币现金支付和现金找零，以便在订单中定义支付方式。</t>
  </si>
  <si>
    <t>1. 将人民币现金支付设置为快速访问按钮，并能够以元角分手动输入（目前的做法将向下舍入到元，不需要输入角和分）
2. 连接到钱箱并计算/提示找零，记录所有现金支付操作。</t>
    <phoneticPr fontId="27" type="noConversion"/>
  </si>
  <si>
    <t>配置-现金/现金找零-付款方式</t>
    <phoneticPr fontId="27" type="noConversion"/>
  </si>
  <si>
    <t xml:space="preserve">POS Android 支付方式展示 （1）
后台 配置（1） </t>
    <phoneticPr fontId="27" type="noConversion"/>
  </si>
  <si>
    <t>2.3.1 Payment method Configuration|Configure bankcard payment 配置银行卡支付</t>
  </si>
  <si>
    <t>2.3.1.4 As Ops admin, I need New POS will be able to configure bankcard payment, as to define payment in ordering.</t>
  </si>
  <si>
    <t>Include: domestic bankcard and foreign bankcard on BOT</t>
  </si>
  <si>
    <t>2.3.1.4 作为运维管理员，我需要新 POS 系统能够配置银行卡支付，以便在订单中定义支付方式。</t>
  </si>
  <si>
    <t>包括：BOT上的国内银行卡和国外银行卡</t>
  </si>
  <si>
    <t>配置-银行卡-付款方式</t>
    <phoneticPr fontId="27" type="noConversion"/>
  </si>
  <si>
    <t>2.3.1 Payment method Configuration|Configure voucher payment 配置兑换券支付</t>
  </si>
  <si>
    <t>2.3.1.5 As Ops admin, I need New POS will be able to configure voucher as a non-cash payment by pre-defined code, as to define payment in ordering.</t>
  </si>
  <si>
    <t>1. Configure existing non-cash payment codes into buttons, like 181, 182, 183, 184, 1828, 1829, also able to customize non-cash code.
2. Configure non-cash voucher payment as create, edit, enable/disable.</t>
  </si>
  <si>
    <t>2.3.1.5 作为运维管理员，我需要新 POS 系统能够通过预定义代码将优惠券配置为非现金支付方式，以便在订单中定义支付。</t>
  </si>
  <si>
    <t>1. 将现有的非现金支付代码配置为按钮，如181、182、183、184、1828、1829，也能够自定义非现金代码。
2. 将非现金代金券支付配置为创建、编辑、启用/禁用。</t>
  </si>
  <si>
    <t>配置-预定义代码-非现金支付方式</t>
    <phoneticPr fontId="27" type="noConversion"/>
  </si>
  <si>
    <t>2.3.2 Payment process Configuration|Process order payment 执行订单支付</t>
  </si>
  <si>
    <t>2.3.2.1 As Ops cashier, I need New POS will be able to process payment with multiple payment methods combination, and print receipt after payment is completed, as to process payment in ordering.</t>
  </si>
  <si>
    <t>Include: scan to pay, RMB Cash, bank card, non-cash(voucher), contingency payment, etc.</t>
  </si>
  <si>
    <t>2.3.2.1 作为收银员，我需要新 POS 系统能够处理多种支付方式的组合支付，并在支付完成后打印收据，以便在点单过程中完成支付。</t>
  </si>
  <si>
    <t>包括：扫码支付、人民币现金、银行卡、非现金（代金券）、应急支付等。</t>
  </si>
  <si>
    <t>执行订单支付-多种组合支付方式</t>
    <phoneticPr fontId="27" type="noConversion"/>
  </si>
  <si>
    <t>POS Android 组合支付调起（1）
服务端接收参数信息和PIS对接（2）</t>
    <phoneticPr fontId="27" type="noConversion"/>
  </si>
  <si>
    <t>2.3.2 Payment process Configuration|Modify payment method in checkout 修改支付方式</t>
  </si>
  <si>
    <t>2.3.2.2 As Ops cashier, I need New POS will be able to modify the payment among configured methods, as to process payment in ordering.</t>
  </si>
  <si>
    <t>Payment method can be modified or cancelled before paid</t>
  </si>
  <si>
    <t>2.3.2.2 作为运营收银员，我需要新 POS 系统能够在配置的支付方式之间修改支付，以便在订单处理过程中完成支付。</t>
  </si>
  <si>
    <t>支付方式可以在支付前修改或取消</t>
  </si>
  <si>
    <t>执行订单支付-切换支付方式</t>
    <phoneticPr fontId="27" type="noConversion"/>
  </si>
  <si>
    <t>POS Android 切换支付方式</t>
    <phoneticPr fontId="27" type="noConversion"/>
  </si>
  <si>
    <t>2.3.2 Payment process Configuration|Enable combine payment 合并付款</t>
  </si>
  <si>
    <t>2.3.2.3 As Ops cashier, I need New POS will be able to process a payment with multiple products in a order, as to process payment in ordering.</t>
  </si>
  <si>
    <t>2.3.2.3 作为收银员，我需要新 POS 系统能够处理订单中包含多个产品的支付，以便在订购过程中完成支付。</t>
  </si>
  <si>
    <t>执行订单支付-多商品支付</t>
    <phoneticPr fontId="27" type="noConversion"/>
  </si>
  <si>
    <t>POS Android 多个商品结算支付</t>
    <phoneticPr fontId="27" type="noConversion"/>
  </si>
  <si>
    <t>2.3.2 Payment process Configuration|Charge to hotel room 挂房账支付</t>
  </si>
  <si>
    <t>2.3.2.4 As Ops cashier, I need New POS will be able to charge transaction to hotel room, as to fulfill guest payment request in hotel shopping or dinning.</t>
  </si>
  <si>
    <t>1. The charging to room need to be checked-in and have enough deposit.
2. Store/Restaurant cast should be able to easily check if there is deposit or not via system.
3. Room charging is able to refund via guest original payment method in hotel payment.</t>
  </si>
  <si>
    <t>2.3.2.4 作为收银员，我需要新 POS 系统能够将交易费用计入酒店房间，以满足客人在酒店购物或用餐时的付款需求。</t>
    <phoneticPr fontId="27" type="noConversion"/>
  </si>
  <si>
    <t>1. 记入房费需要客人已办理入住且有足够的押金。
2. 商店/餐厅收银员应该能够通过系统轻松查看是否有押金。
3. 房费记账可以通过客人在酒店支付时使用的原始支付方式进行退款。</t>
    <phoneticPr fontId="27" type="noConversion"/>
  </si>
  <si>
    <t>同一个接口处理挂房帐付款和退款</t>
  </si>
  <si>
    <t>执行订单支付-挂房支付</t>
    <phoneticPr fontId="27" type="noConversion"/>
  </si>
  <si>
    <t>2.3.2 Payment process Configuration|Record tape number 输入防伪胶带数字</t>
    <phoneticPr fontId="27" type="noConversion"/>
  </si>
  <si>
    <t>2.3.2.5 As Merch cashier, I need New POS will be able to record tape number by transaction to verify if item are belong to given transaction in return, as to mitigate refund abuse.</t>
  </si>
  <si>
    <t>Tape number is max to 6 digits. May not needed after RFID launch.</t>
  </si>
  <si>
    <t>2.3.2.5 作为收银员，我需要新 POS 系统能够按交易记录防伪胶带数字，以验证退货商品是否属于指定交易，从而减少退款滥用。</t>
    <phoneticPr fontId="27" type="noConversion"/>
  </si>
  <si>
    <t>磁条卡号最多6位数字。RFID启动后可能不需要。</t>
    <phoneticPr fontId="27" type="noConversion"/>
  </si>
  <si>
    <t>记录防伪胶带数字</t>
    <phoneticPr fontId="27" type="noConversion"/>
  </si>
  <si>
    <t>POS 校验防伪胶带数字</t>
    <phoneticPr fontId="27" type="noConversion"/>
  </si>
  <si>
    <t>2.3.2 Payment process Configuration|Enable amount allocation(AA) after payment 支付分摊(AA)</t>
  </si>
  <si>
    <t>2.3.2.6 As FnB cashier, I need New POS will be able to split check amount for AA payment, as to fulfill guest payment request in ordering.</t>
    <phoneticPr fontId="27" type="noConversion"/>
  </si>
  <si>
    <t>Enable to split check amount to AA by guest number</t>
  </si>
  <si>
    <t>2.3.2.6 作为餐饮收银员，我需要新的POS系统能够按用餐人数均分账单金额，以满足顾客在点餐时提出的AA制支付需求</t>
    <phoneticPr fontId="27" type="noConversion"/>
  </si>
  <si>
    <t>功能要求：
支持按顾客人数自动均分账单金额，实现AA制支付。</t>
    <phoneticPr fontId="27" type="noConversion"/>
  </si>
  <si>
    <t>执行订单支付-账单金额拆分</t>
    <phoneticPr fontId="27" type="noConversion"/>
  </si>
  <si>
    <t xml:space="preserve">子账单支付，子账单各自状态（10）
</t>
    <phoneticPr fontId="27" type="noConversion"/>
  </si>
  <si>
    <t xml:space="preserve">
1.需要确认1笔订单多个子订单情况，例如分摊规则需要提供。
2.子账单支付失败处理情况？
要求确认主流程做法。
</t>
  </si>
  <si>
    <t>Align with finance tech</t>
  </si>
  <si>
    <t>2.3.3 Pay by contingency code|Apply contingency payment 切换应急支付</t>
    <phoneticPr fontId="27" type="noConversion"/>
  </si>
  <si>
    <t>2.3.3.1 As Ops cashier, I need New POS will be able to use contingency payment on different payment method, as to process payment in contingency ordering.</t>
  </si>
  <si>
    <t xml:space="preserve">1. Contingency payment is to cover all sales transaction scenarios.
2. Enable contingency code’s name configuration(e.g. Alipay non-cash payment).
3. Enable payment complete information as additional fields in contingency mode to record supporting information for accounting. </t>
  </si>
  <si>
    <t>2.3.3.1 作为运营收银员，我需要新 POS 系统能够在不同支付方式上使用应急支付，以便处理应急订单的支付。</t>
    <phoneticPr fontId="27" type="noConversion"/>
  </si>
  <si>
    <t>1. 应急支付是为了覆盖所有销售交易场景。
2. 启用应急代码的名称配置（例如支付宝非现金支付）。
3. 启用支付完成信息作为应急模式下的附加字段，以记录支持会计核算的信息。</t>
    <phoneticPr fontId="27" type="noConversion"/>
  </si>
  <si>
    <t>执行订单支付-切换应急支付</t>
    <phoneticPr fontId="27" type="noConversion"/>
  </si>
  <si>
    <t>1.应急代码配置（4）覆盖所有销售交易场景（3）
2.支持核算信息（3）</t>
    <phoneticPr fontId="27" type="noConversion"/>
  </si>
  <si>
    <t>2.3.3 Pay by contingency code|Authorize contingency payment 授权应急支付</t>
  </si>
  <si>
    <t>2.3.3.2 As Ops cashier, I need New POS will be able to have authorization code to switch to contingency payment, as to process payment in contingency ordering.</t>
  </si>
  <si>
    <t>Not needed special authorization as current practice, only code needed.</t>
  </si>
  <si>
    <t>2.3.3.2 作为收银员，我需要新 POS 系统能够有授权代码切换到应急支付，以便处理应急订单的支付。</t>
  </si>
  <si>
    <t>不需要像目前做法那样的特殊授权，只需要代码。</t>
    <phoneticPr fontId="27" type="noConversion"/>
  </si>
  <si>
    <t>应急支付-移除原有的应急处理方式</t>
    <phoneticPr fontId="27" type="noConversion"/>
  </si>
  <si>
    <t>2.3.3 Pay by contingency code|Process contingency payment 操作应急支付</t>
  </si>
  <si>
    <t>2.3.3.3 As Ops cashier, I need New POS will be able to tap button or input contingency code to switch to contingency payment mode manually, as to process payment in contingency ordering.</t>
  </si>
  <si>
    <t>Frequent used contingency payment by quick access button.</t>
  </si>
  <si>
    <t>2.3.3.3 作为收银员，我需要新 POS 系统能够通过点击按钮或输入应急代码手动切换到应急支付模式，以便处理应急订单的支付。</t>
  </si>
  <si>
    <t>通过快速访问按钮频繁使用的应急支付。</t>
  </si>
  <si>
    <t>应急支付-输入授权码，切换对应应急支付</t>
    <phoneticPr fontId="27" type="noConversion"/>
  </si>
  <si>
    <t>POS Android 输入授权code</t>
    <phoneticPr fontId="27" type="noConversion"/>
  </si>
  <si>
    <t>2.3.3 Pay by contingency code|Contingency code payment situation 配置应急支付场景</t>
  </si>
  <si>
    <t>2.3.3.4 As Ops cashier, I need New POS will be able to auto-trigger switch to contingency payment/refund when POS is offline or payment function broken, as to process payment in contingency ordering.</t>
  </si>
  <si>
    <t>Contingency mode triggers BOT network mode switch from leased line to 5G mode.</t>
  </si>
  <si>
    <t>2.3.3.4 作为收银员，我需要新 POS 系统能够在 POS 离线或支付功能故障时自动触发切换到应急支付/退款模式，以便在应急订单处理中完成支付。</t>
    <phoneticPr fontId="27" type="noConversion"/>
  </si>
  <si>
    <t>应急模式触发BOT网络模式从专线切换到5G模式。</t>
  </si>
  <si>
    <t>应急支付-故障自动触发应急支付</t>
    <phoneticPr fontId="27" type="noConversion"/>
  </si>
  <si>
    <r>
      <t>POS Android 触发专线切换（网络）</t>
    </r>
    <r>
      <rPr>
        <sz val="14"/>
        <color rgb="FFFF0000"/>
        <rFont val="宋体"/>
        <family val="3"/>
        <charset val="134"/>
      </rPr>
      <t>判断场景的不确定性</t>
    </r>
    <phoneticPr fontId="27" type="noConversion"/>
  </si>
  <si>
    <t>这里建议10人天， 自动切换是如何判断，如何保证准确性需要不断优化</t>
    <phoneticPr fontId="27" type="noConversion"/>
  </si>
  <si>
    <t>2.3.4 [FnB] Service fee|Calculate service fee 计算服务费</t>
    <phoneticPr fontId="27" type="noConversion"/>
  </si>
  <si>
    <t>2.3.4.1 As FnB cashier, I need New POS will be able to calculate service fee by order/product level, as to process service fee payment in dinning.</t>
  </si>
  <si>
    <t xml:space="preserve">1. Service fee is calculated upon product original price (w/o discount).
2. Service charge do not participate in any discounts. </t>
  </si>
  <si>
    <t>2.3.4.1 作为餐饮收银员，我需要新 POS 系统能够按订单/产品级别计算服务费，以便在用餐过程中处理服务费支付。</t>
  </si>
  <si>
    <t>1. 服务费按产品原价（不含折扣）计算。
2. 服务费不参与任何折扣。</t>
    <phoneticPr fontId="27" type="noConversion"/>
  </si>
  <si>
    <t>服务费-订单/产品</t>
    <phoneticPr fontId="27" type="noConversion"/>
  </si>
  <si>
    <t xml:space="preserve">
考虑商品/订单上独立计算，最终需要 加在总账单上结算</t>
    <phoneticPr fontId="27" type="noConversion"/>
  </si>
  <si>
    <t>2. Foundation operational functions 基础运营功能</t>
    <phoneticPr fontId="27" type="noConversion"/>
  </si>
  <si>
    <t>2.3.4 [FnB] Service fee|Modify service fee 调整服务费</t>
  </si>
  <si>
    <t>2.3.4.2 As FnB cashier, I need New POS will be able to modify service fee with specific permission, as to process service fee payment in dinning.</t>
  </si>
  <si>
    <t>Adjust/exempt service fee by GSM/Lead authorized for exceptional cases, GSM/Lead authorized needed.</t>
  </si>
  <si>
    <t>2.3.4.2 作为餐饮收银员，我需要新 POS 系统能够在特定权限下修改服务费，以便处理餐饮中的服务费支付。</t>
    <phoneticPr fontId="27" type="noConversion"/>
  </si>
  <si>
    <t>由GSM/主管授权调整/免除特殊情况下的服务费，需要GSM/主管授权。</t>
    <phoneticPr fontId="27" type="noConversion"/>
  </si>
  <si>
    <t>服务费-授权服务费修改</t>
    <phoneticPr fontId="27" type="noConversion"/>
  </si>
  <si>
    <t>1.服务费修改（3）联动金额计算
2.授权操作（1）</t>
    <phoneticPr fontId="27" type="noConversion"/>
  </si>
  <si>
    <t>2.3.4 [FnB] Service fee|Configure service fee 配置服务费</t>
  </si>
  <si>
    <t>2.3.4.3 As FnB admin, I need New POS will be able to configure service fee onto order/product level with fix amount or percentage, as to process service fee payment in dinning.</t>
  </si>
  <si>
    <t>Store service fee can be configured at menu level or configured at product level</t>
    <phoneticPr fontId="27" type="noConversion"/>
  </si>
  <si>
    <t>2.3.4.3 作为餐饮管理员，我需要新 POS 系统能够在订单/产品级别配置服务费，支持固定金额或百分比形式，以便在用餐过程中处理服务费支付。</t>
    <phoneticPr fontId="27" type="noConversion"/>
  </si>
  <si>
    <t>商店服务费可以在菜单级别配置，也可以在产品级别配置</t>
    <phoneticPr fontId="27" type="noConversion"/>
  </si>
  <si>
    <t>服务费-菜单层级/产品层级</t>
    <phoneticPr fontId="27" type="noConversion"/>
  </si>
  <si>
    <t xml:space="preserve">服务配参与配置菜单级别和产品级别
</t>
    <phoneticPr fontId="27" type="noConversion"/>
  </si>
  <si>
    <t>2.4 Order &amp; transaction 交易订单</t>
    <phoneticPr fontId="27" type="noConversion"/>
  </si>
  <si>
    <t>2.4.1 Order foundation|Record sales order as SOR (System of Record) 记录订单-Sales SOR</t>
  </si>
  <si>
    <t>2.4.1.1 As Ops admin, I need New POS will be able to record sales order as SOR which align to existing Merch and FnB transaction fields and logic, as to record all settled order as sales SOR.</t>
  </si>
  <si>
    <t xml:space="preserve">1. Record the transaction data by business, store and channel -- include online (e.g. Tmall) and offline FnB &amp; Merch stores. 
2. Follow existing POS logic to upload transaction data (1, 12, 95 etc.) on T+1 and synchronize to SAP as sales SOR. Upload transaction data method define in Finance part. </t>
    <phoneticPr fontId="27" type="noConversion"/>
  </si>
  <si>
    <t>2.4.1.1 作为运营管理员，我需要新的POS系统能够按照与现有商场及餐饮业务交易字段和逻辑一致的方式，将销售订单记录为销售订单凭证（SOR），以便将所有已结算的订单记录为销售SOR</t>
    <phoneticPr fontId="27" type="noConversion"/>
  </si>
  <si>
    <t>按业务、门店和渠道记录交易数据——包括线上（如天猫）和线下的餐饮与商场门店。
遵循现有POS逻辑，在T+1日上传交易数据（如1、12、95等类型），并同步至SAP系统作为销售SOR。交易数据上传方法在财务部分定义。</t>
    <phoneticPr fontId="27" type="noConversion"/>
  </si>
  <si>
    <t>交易订单- 记录销售订单凭证（SOR）</t>
    <phoneticPr fontId="27" type="noConversion"/>
  </si>
  <si>
    <t xml:space="preserve">1.销售订单记录为销售订单凭证（3）
2渠道上传交易数据（5）
3.同步交易数据到FM（5）
</t>
    <phoneticPr fontId="27" type="noConversion"/>
  </si>
  <si>
    <t>2.4 Order &amp; transaction 交易订单</t>
  </si>
  <si>
    <t>2.4.1 Order foundation|Record order detail in an unified format 维护统一的订单明细</t>
    <phoneticPr fontId="27" type="noConversion"/>
  </si>
  <si>
    <t>2.4.1.2 As Ops admin, I need New POS will be able to record order detail with a unified order information structure, as to record unified settled order detail as sales SOR.</t>
    <phoneticPr fontId="27" type="noConversion"/>
  </si>
  <si>
    <t>Includes: 
1. business date and timestamp, store ID, POS ID, order transaction number, order status, product SKU, quantity, unit price, total price, payment method and type, cashier ID, associated order(order correction or refund), discount, and revenue type, etc. 
2. Business customized fields like guest type: Walkin/hotel guest; Reservation type.
3. Discounts from POS, coupon and channel(e.g. coupon VID, coupon redemption status, redemption cancellation, coupon redeemed product information) and its promotion/discount codes.</t>
  </si>
  <si>
    <t>2.4.1.2 作为运营管理员，我需要新的POS系统能够采用统一的订单信息结构来记录订单详情，以便将统一格式的已结算订单详细信息记录为销售凭证。</t>
    <phoneticPr fontId="27" type="noConversion"/>
  </si>
  <si>
    <t>1.业务日期与时间戳、门店ID、POS终端ID、订单交易编号、订单状态、商品SKU、数量、单价、总价、支付方式与类型、收银员ID、关联订单（订单更正或退款）、折扣信息及收入类型等。
2.业务定制字段，如宾客类型：散客/酒店住客；预订类型。
3.来自POS系统、优惠券及渠道的折扣信息（例如：优惠券虚拟ID、优惠券核销状态、核销取消、优惠券对应商品信息）及其促销/折扣代码。</t>
    <phoneticPr fontId="27" type="noConversion"/>
  </si>
  <si>
    <t>交易订单- 维护统一的订单明细</t>
    <phoneticPr fontId="27" type="noConversion"/>
  </si>
  <si>
    <t>订单的业务字段数据格式定义</t>
    <phoneticPr fontId="27" type="noConversion"/>
  </si>
  <si>
    <t>2.4.1 Order foundation|View/search order 查看/查询订单</t>
  </si>
  <si>
    <t>2.4.1.3 As Ops admin &amp; cashier, I need New POS will be able to search order and its detail by specify field in order/receipt level, as to execute order audit and customer service after order settled.</t>
  </si>
  <si>
    <t>1. Enable search by order fields as condition by criteria or range, and export search result to excel or PDF file.
2. All order fields can be configured as searching condition.</t>
  </si>
  <si>
    <t>2.4.1.3 作为运营管理员和收银员，我需要新 POS 系统能够通过指定订单/收据级别的字段来搜索订单及其详情，以便在订单结算后执行订单审核和客户服务。</t>
  </si>
  <si>
    <t>1. 支持按订单字段作为条件按条件或范围进行搜索，并将搜索结果导出到Excel或PDF文件。
2. 所有订单字段都可以配置为搜索条件。</t>
    <phoneticPr fontId="27" type="noConversion"/>
  </si>
  <si>
    <t>交易订单-筛选订单及详情</t>
    <phoneticPr fontId="27" type="noConversion"/>
  </si>
  <si>
    <t>1.搜索功能界面，导出Excel/PDF。(5)
2.所有订单字段配置为搜索条件。(2)</t>
    <phoneticPr fontId="27" type="noConversion"/>
  </si>
  <si>
    <t>2.4.1 Order foundation|Modify/cancel order 修改/取消订单</t>
  </si>
  <si>
    <t>2.4.1.4 As Ops admin &amp; cashier, I need New POS will be able to modify settled orders for return &amp; refund, exchange item, or apply discount, as to audit and customer service after order settled.</t>
  </si>
  <si>
    <t>1. Return &amp; refund on order or item level, and change refund method for guest recovery cases who may leave park
2. Apply discount by coupon or promotion</t>
  </si>
  <si>
    <t>2.4.1.4 作为运营管理员及收银员，我需要新的POS系统能够在订单结算后，支持对已结算订单进行退货退款、商品换货或折扣补录等操作，以满足审计及客户服务需求。</t>
    <phoneticPr fontId="27" type="noConversion"/>
  </si>
  <si>
    <t>1.支持按订单或商品层级办理退货退款，并可根据客户关怀需要（如游客可能已离园）调整退款方式
2.支持通过优惠券或促销活动补录折扣</t>
    <phoneticPr fontId="27" type="noConversion"/>
  </si>
  <si>
    <t>交易订单-修改已结算的订单</t>
    <phoneticPr fontId="27" type="noConversion"/>
  </si>
  <si>
    <t>1.订单或商品级别进行退货和退款，退款调用（2）
2.通过优惠券或促销活动补录折扣，订单重新计算优惠（5）</t>
    <phoneticPr fontId="27" type="noConversion"/>
  </si>
  <si>
    <t>2.4.1 Order foundation|Void FnB order 作废餐饮订单</t>
  </si>
  <si>
    <t>2.4.1.5 As FnB admin &amp; cashier, I need New POS will be able to void orders without inventory depletion, as to execute customer service after order settled.</t>
  </si>
  <si>
    <t>F&amp;B voided transactions do not deduct supply chain inventory</t>
  </si>
  <si>
    <t>2.4.1.5 作为餐饮部管理员和收银员，我需要新 POS 系统能够在不减少库存的情况下取消订单，以便在订单结算后执行客户服务。</t>
    <phoneticPr fontId="27" type="noConversion"/>
  </si>
  <si>
    <t>餐饮作废交易不扣除供应链库存</t>
    <phoneticPr fontId="27" type="noConversion"/>
  </si>
  <si>
    <t>交易订单-取消订单</t>
    <phoneticPr fontId="27" type="noConversion"/>
  </si>
  <si>
    <t>餐饮作废交易不扣除供应链库存（3）
PIS联调（2）</t>
    <phoneticPr fontId="27" type="noConversion"/>
  </si>
  <si>
    <t>2.4.2 [Merch] Exchange|Configure exchange rules 配置换货规则</t>
  </si>
  <si>
    <t>2.4.2.1 As Merch admin, I need New POS will be able to configure exchange rules, as to execute customer service after order settled.</t>
  </si>
  <si>
    <t>1. Configure cross store exchange policy by original store ID and SKU
2. Configure exchange limitation on one transaction
3. AP holder/CM identification not needed for exchange.</t>
  </si>
  <si>
    <t>2.4.2.1 作为商场管理员，我需要新的POS系统能够配置换货规则，以便在订单结算后执行客户服务。</t>
    <phoneticPr fontId="27" type="noConversion"/>
  </si>
  <si>
    <t>1.支持根据原始门店ID和SKU配置跨店换货政策
2.支持配置单次交易的换货数量限制
3.换货操作无需验证年票持有者/员工身份信息</t>
    <phoneticPr fontId="27" type="noConversion"/>
  </si>
  <si>
    <t>交易订单-商场管理员-配置换货规则</t>
    <phoneticPr fontId="27" type="noConversion"/>
  </si>
  <si>
    <t>1.门店ID和SKU配置跨店换货政策（5）
2.单次交易的换货数量（3）
3.换货操作不验证部分（1）</t>
    <phoneticPr fontId="27" type="noConversion"/>
  </si>
  <si>
    <t>sku配置自己的换货规则，这个2天？我该为5</t>
    <phoneticPr fontId="27" type="noConversion"/>
  </si>
  <si>
    <t>这里的人天过多，建议为2人天，这里是换货配置，不是换货功能</t>
    <phoneticPr fontId="27" type="noConversion"/>
  </si>
  <si>
    <t>2.4.2 [Merch] Exchange|Exchange with payment 换货与补差价</t>
  </si>
  <si>
    <t>2.4.2.2 As Merch cashier, I need New POS will be able to exchange Merch product in item level with partial refund/additional payment, as to execute customer service after order settled.</t>
  </si>
  <si>
    <t>1. Scan original receipt to identify original order
2. Print exchange receipt when finished
3. May need GSM/Lead authorized for exceed-limit exchanges or no receipt - GSM/Lead authorized needed</t>
  </si>
  <si>
    <t>2.4.2.2 作为 Merch 收银员，我需要新 POS 系统能够在商品级别进行 Merch 产品兑换，并支持部分退款/额外支付，以便在订单完成后执行客户服务。</t>
    <phoneticPr fontId="27" type="noConversion"/>
  </si>
  <si>
    <t>1. 扫描原始收据以识别原始订单
2. 完成后打印换货收据
3. 超出限制或没有收据可能需要GSM/主管授权 - 需要GSM/主管授权</t>
    <phoneticPr fontId="27" type="noConversion"/>
  </si>
  <si>
    <t>执行-Merch 产品兑换</t>
    <phoneticPr fontId="27" type="noConversion"/>
  </si>
  <si>
    <t>1. 扫描原始收据以识别原始订单（2）
2. 打印换货收据（2）
3. 授权（1）</t>
    <phoneticPr fontId="27" type="noConversion"/>
  </si>
  <si>
    <t>建议25人天，这里是换货的具体实施</t>
    <phoneticPr fontId="27" type="noConversion"/>
  </si>
  <si>
    <t>2.4.3 Return and refund|Configure return and refund rules 配置退货规则和残次状态/原因</t>
  </si>
  <si>
    <t>2.4.3.1 As Ops admin, I need New POS will be able to configure return/refund rules and defective status/return reason selection , as to execute customer service after order settled.</t>
  </si>
  <si>
    <t>1. Configure cross store return policy by original company code, LoB, store ID and SKU
2. Configure defective status/return reason in order and in item level
3. Define amount threshold for GSM/Lead authorized by Merch and FnB location</t>
  </si>
  <si>
    <t>2.4.3.1 作为运营管理员，我需要新的POS系统能够配置退货/退款规则及瑕疵状态/退货原因选项，以便在订单结算后执行客户服务。</t>
    <phoneticPr fontId="27" type="noConversion"/>
  </si>
  <si>
    <t>1. 按原始公司代码、LoB、商店ID和SKU配置跨店退货策略
2. 在订单和项目级别配置缺陷状态/退货原因
3. 定义商品和餐饮场所GSM/主管授权的金额阈值</t>
    <phoneticPr fontId="27" type="noConversion"/>
  </si>
  <si>
    <t>配置退货/退款规则及
        瑕疵状态/退货原因选项</t>
    <phoneticPr fontId="27" type="noConversion"/>
  </si>
  <si>
    <t>1. 配置跨店退货策略(5)
2. 在订单和项目级别配置缺陷状态/退货原因(4)
3.1定义金额阈值(2)
3.2授权功能(1)</t>
    <phoneticPr fontId="27" type="noConversion"/>
  </si>
  <si>
    <t>这里建议5人天，仅规则配置及原因录入</t>
    <phoneticPr fontId="27" type="noConversion"/>
  </si>
  <si>
    <t>2.4.3 Return and refund|Merch return and refund 商品退货(记录退货商品数量)</t>
    <phoneticPr fontId="27" type="noConversion"/>
  </si>
  <si>
    <t>2.4.3.2 As Merch cashier, I need New POS will be able to refund Merch product and record returned items in quality check, as to process refund and identify returned item.</t>
  </si>
  <si>
    <t>1. Scan original receipt to identify original order, then print return receipt after refund
2. Mark these returned items status as "in quality check" which excludes from saleable inventory sync
3. May need GSM/Lead authorized for exceed-limit returns - GSM/Lead authorized needed</t>
  </si>
  <si>
    <t>2.4.3.2 作为 Merch 收银员，我需要新 POS 系统能够退还 Merch 产品并在质量检查中记录退货项目，以便处理退款和识别退货物品。</t>
  </si>
  <si>
    <t>1. 扫描原始收据以识别原始订单，然后在退款后打印退货收据
2. 将这些退货商品的状态标记为“质检中”，这会将它们从可销售库存同步中排除
3. 超出限制的退货可能需要 GSM/主管授权 - 需要 GSM/主管授权</t>
    <phoneticPr fontId="27" type="noConversion"/>
  </si>
  <si>
    <t>商品退货(记录退货商品数量)</t>
    <phoneticPr fontId="27" type="noConversion"/>
  </si>
  <si>
    <t>1. (3)
2. 退货商品的状态标记为 质检中(2)可销售库存同步中排除（2）
3. 超出限制的退货需要 GSM/主管授权(1)</t>
    <phoneticPr fontId="27" type="noConversion"/>
  </si>
  <si>
    <t>2.4.3 Return and refund|FnB refund 餐饮退货(选择退货原因)</t>
  </si>
  <si>
    <t>2.4.3.3 As FnB cashier, I need New POS will be able to refund FnB with pre-defined reason selection, as to execute customer service after order settled.</t>
  </si>
  <si>
    <t>1. Scan original receipt, void sales and refund on single meal/beverage/set, then print refund receipt after refund
2. Support resumption of inventory upon successful returns
3. May need GSM/Lead authorized for exceed-limit returns - GSM/Lead authorized needed</t>
  </si>
  <si>
    <t>2.4.3.3 作为餐饮收银员，我需要新 POS 系统能够提供预定义的原因选择来进行餐饮退款，以便在订单结算后执行客户服务。</t>
    <phoneticPr fontId="27" type="noConversion"/>
  </si>
  <si>
    <t>1. 扫描原始收据，作废销售并退还单份餐点/饮料/套餐，然后在退款后打印退款收据
2. 支持成功退货后恢复库存
3. 超出限制的退货可能需要GSM/主管授权 - 需要GSM/主管授权</t>
    <phoneticPr fontId="27" type="noConversion"/>
  </si>
  <si>
    <t>交易订单-提供供预定义的原因</t>
    <phoneticPr fontId="27" type="noConversion"/>
  </si>
  <si>
    <t>1. 退款后打印退款收据(3)
2. 成功退货后恢复库存(3)
3. 超出限制的退货需要GSM/主管授权(2)</t>
    <phoneticPr fontId="27" type="noConversion"/>
  </si>
  <si>
    <t>建议2人天，这里只是退货退款原因选择</t>
    <phoneticPr fontId="27" type="noConversion"/>
  </si>
  <si>
    <t>2.4.3 Return and refund|Refund w/ contingency payment 应急支付退款</t>
  </si>
  <si>
    <t>2.4.3.4 As Ops cashier, I need New POS will be able to refund contingency payment by manual refund, as to execute customer service after order settled.</t>
  </si>
  <si>
    <t>Manual select refund payment method to process contingency payment refund.</t>
  </si>
  <si>
    <t>2.4.3.4 作为运营收银员，我需要新 POS 系统能够通过手动退款方式退还应急付款，以便在订单结算后执行客户服务。</t>
    <phoneticPr fontId="27" type="noConversion"/>
  </si>
  <si>
    <t>手动选择退款支付方式以处理应急支付退款。</t>
    <phoneticPr fontId="27" type="noConversion"/>
  </si>
  <si>
    <t>交易订单-手动退款方式 退还 应急付款</t>
    <phoneticPr fontId="27" type="noConversion"/>
  </si>
  <si>
    <t>2.4.3 Return and refund|Return w/o receipt 无小票退货</t>
    <phoneticPr fontId="27" type="noConversion"/>
  </si>
  <si>
    <t>2.4.3.5 As Ops admin &amp; cashier, I need New POS will be able to tracing original order by guest payment information when unable to show receipt, as to execute customer service after order settled.</t>
  </si>
  <si>
    <t>1. Fetch transaction by TIN code in order history
2. May need GSM/Lead authorized for no-receipt return - GSM/Lead authorized needed</t>
  </si>
  <si>
    <t>2.4.3.5 作为运营管理员和收银员，我需要新 POS 系统能够在无法显示收据时，根据客人支付信息追踪原始订单，以便在订单结算后执行客户服务。</t>
    <phoneticPr fontId="27" type="noConversion"/>
  </si>
  <si>
    <t>1. 在订单历史记录中按 TIN 代码获取交易
2. 无收据退货可能需要 GSM/主管授权 - 需要 GSM/主管授权</t>
    <phoneticPr fontId="27" type="noConversion"/>
  </si>
  <si>
    <t>交易订单-无小票退货
根据客人支付信息追踪原始订单</t>
    <phoneticPr fontId="27" type="noConversion"/>
  </si>
  <si>
    <t xml:space="preserve">1（2）
2.(1) </t>
    <phoneticPr fontId="27" type="noConversion"/>
  </si>
  <si>
    <t>2.4.3 Return and refund|Refund by sales order 退款执行</t>
    <phoneticPr fontId="27" type="noConversion"/>
  </si>
  <si>
    <t>2.4.3.6 As Ops admin &amp; cashier, I need New POS will be able to refund by original transaction payment method and amount once order/item returned, as to execute customer service after order settled.</t>
  </si>
  <si>
    <t>1. All refunds will pay back via original payment source in original order.
2. Configure refund method for combined payment order by guest request.
3. If refund failed, prompt cashier on manual refund.</t>
  </si>
  <si>
    <t>2.4.3.6 作为运营管理员和收银员，我需要新 POS 系统能够在订单/商品退货后，按照原始交易支付方式和金额进行退款，以便在订单结算后执行客户服务。</t>
  </si>
  <si>
    <t>1. 所有退款将通过原始订单中的原始付款来源退回。
2. 通过访客请求配置组合支付订单的退款方式。
3. 如果退款失败，提示收银员进行手动退款。</t>
  </si>
  <si>
    <t>交易订单-退款执行</t>
    <phoneticPr fontId="27" type="noConversion"/>
  </si>
  <si>
    <t xml:space="preserve">1.(2)
2.(2)
3.(2)
</t>
    <phoneticPr fontId="27" type="noConversion"/>
  </si>
  <si>
    <t>2.4.3 Return and refund|Refund with manual input 手动退款-无销售记录</t>
  </si>
  <si>
    <t>2.4.3.7 As Ops admin &amp; cashier, I need New POS will be able to refund by manual selection in order/item list with payment method when order fund failure , as to execute customer service after order settled.</t>
  </si>
  <si>
    <t>Select return item from order list, and select payment method</t>
  </si>
  <si>
    <t>2.4.3.7 作为运营管理员及收银员，我需要新的POS系统能够在订单支付失败时，通过手动选择订单/商品列表及支付方式完成退款操作，以便在订单结算后执行客户服务。</t>
    <phoneticPr fontId="27" type="noConversion"/>
  </si>
  <si>
    <t>从订单列表中选择需退货的商品，并指定退款支付方式。</t>
    <phoneticPr fontId="27" type="noConversion"/>
  </si>
  <si>
    <t>交易订单-订单支付失败-手动执行退款</t>
    <phoneticPr fontId="27" type="noConversion"/>
  </si>
  <si>
    <t>管理员和收银员都可以</t>
    <phoneticPr fontId="27" type="noConversion"/>
  </si>
  <si>
    <t>2.5 Receipt Print小票打印</t>
    <phoneticPr fontId="27" type="noConversion"/>
  </si>
  <si>
    <t>2.5.1 [Merch] Guest Receipt|Configure Merch receipt template 配置商品小票模板</t>
    <phoneticPr fontId="27" type="noConversion"/>
  </si>
  <si>
    <t>2.5.1.1 As Merch admin, I need New POS will be able to configure Merch receipt template with layout and contents by store and transaction type, as to deliver Merch sales receipt to guest.</t>
  </si>
  <si>
    <t>Including: 1)header, logo, fields, text descriptions, payment method, QR codes, font spacing, Airport QR code, etc. 2)by store receipt and customer receipt, 3) by sales, exchange and refund 4) language (CN, EN, or both) 5) with EAN 69 code and tape number max to 6 digits, and Fapiao QR code 6) product type (Merch, FnB, Rental)</t>
  </si>
  <si>
    <t>2.5.1.1 作为商户管理员，我需要新 POS 系统能够按店铺和交易类型配置商户收据模板的布局和内容，以便向客人提供商户销售收据。</t>
    <phoneticPr fontId="27" type="noConversion"/>
  </si>
  <si>
    <t>包括：1) 抬头、徽标、字段、文本描述、支付方式、二维码、字体间距、机场二维码等；2) 按商店收据和客户收据；3) 按销售、换货和退款；4) 语言（中文、英文或两者兼有）；5) 带有 EAN 69 代码和磁带编号（最多 6 位数字）以及发票二维码；6) 产品类型（商品、餐饮、租赁）</t>
    <phoneticPr fontId="27" type="noConversion"/>
  </si>
  <si>
    <t>小票打印-商户管理员-配置商品小票模板</t>
    <phoneticPr fontId="27" type="noConversion"/>
  </si>
  <si>
    <t xml:space="preserve"> 
1）5 
2）5 
3）4）6） 5
5）5</t>
    <phoneticPr fontId="27" type="noConversion"/>
  </si>
  <si>
    <t>2.5.1 [Merch] Guest Receipt|Configure Merch receipt detail 定制商品小票内容</t>
    <phoneticPr fontId="27" type="noConversion"/>
  </si>
  <si>
    <t>2.5.1.2 As Merch admin, I need New POS will be able to configure Merch product information which will be printed on receipt, as to deliver Merch sales receipt to guest.</t>
  </si>
  <si>
    <t>Include: business type (e.g.: Goods\Food\Service\rent), products/items attribute</t>
  </si>
  <si>
    <t>2.5.1.2 作为商户管理员，我需要新 POS 系统能够配置将打印在收据上的商户产品信息，以便向客人提供商户销售收据。</t>
    <phoneticPr fontId="27" type="noConversion"/>
  </si>
  <si>
    <t>包括：业务类型（例如：商品\食品\服务\租赁），产品/商品属性</t>
    <phoneticPr fontId="27" type="noConversion"/>
  </si>
  <si>
    <t>小票打印-商户管理员-配置商品小票模板-产品信息</t>
    <phoneticPr fontId="27" type="noConversion"/>
  </si>
  <si>
    <t>建议10人天，涉及属性在小票上布局</t>
    <phoneticPr fontId="27" type="noConversion"/>
  </si>
  <si>
    <t>2.5 Receipt Print小票打印</t>
  </si>
  <si>
    <t>2.5.1 [Merch] Guest Receipt|Print Merch receipt in CN/EN 打印商品小票(可选择语言)</t>
  </si>
  <si>
    <t>2.5.1.3 As Merch cashier, I need New POS will be able to print Merch receipt after payment by store and transaction type, as to deliver Merch sales receipt to guest.</t>
  </si>
  <si>
    <t>Include: printing copy # for each receipt template, reprinting count, sales/exchange/return, if need login</t>
  </si>
  <si>
    <t>2.5.1.3 作为商场收银员，我需要新的POS系统能够根据门店和交易类型在支付后打印商场购物小票，以便向顾客提供销售凭证。</t>
    <phoneticPr fontId="27" type="noConversion"/>
  </si>
  <si>
    <t>1为每个小票模板设置打印联数
2重印次数记录
3销售/换货/退货交易类型区分
4需登录验证的操作权限控制</t>
    <phoneticPr fontId="27" type="noConversion"/>
  </si>
  <si>
    <t>小票打印-商场收银员-门店和交易类型</t>
    <phoneticPr fontId="27" type="noConversion"/>
  </si>
  <si>
    <t>1.(2)2.(2)3.(2)4.(2)</t>
    <phoneticPr fontId="27" type="noConversion"/>
  </si>
  <si>
    <t>2.5.1 [Merch] Guest Receipt|Record Merch receipt 记录商品小票数据</t>
  </si>
  <si>
    <t>2.5.1.4 As Merch admin &amp; cashier, I need New POS will be able to fetch order detail by printed transaction# or barcode on receipt , as to deliver Merch sales receipt to guest.</t>
  </si>
  <si>
    <t>2.5.1.4 作为商户管理员和收银员，我需要新 POS 系统能够通过打印的交易编号或收据上的条形码获取订单详情，以便向客人提供商户销售收据。</t>
    <phoneticPr fontId="27" type="noConversion"/>
  </si>
  <si>
    <t>小票打印-商户管理员和收银员-交易编号/小票上条形码获取订单详情</t>
    <phoneticPr fontId="27" type="noConversion"/>
  </si>
  <si>
    <t>双端打印</t>
    <phoneticPr fontId="27" type="noConversion"/>
  </si>
  <si>
    <t>2.5.2 [FnB] Guest Receipt|Configure FnB receipt template 配置餐饮结账小票模板
(内含可扫码开票的二维码)</t>
  </si>
  <si>
    <t>2.5.2.1 As FnB admin, I need New POS will be able to configure FnB receipt template with layout and contents by restaurant and transaction type, as to deliver FnB sales receipt to guest.</t>
  </si>
  <si>
    <t>Including: 1)header, logo, fields, text descriptions, payment method, QR codes, font spacing, etc. 2)by restaurant receipt and customer receipt, 3) by sales and refund 4) language (CN, EN, or both) 5) with Fapiao QR code 6) product type (Merch, FnB, Rental)</t>
  </si>
  <si>
    <t>2.5.2.1 作为餐饮管理员，我需要新 POS 系统能够按餐厅和交易类型配置餐饮收据模板的布局和内容，以便向客人提供餐饮销售收据。</t>
    <phoneticPr fontId="27" type="noConversion"/>
  </si>
  <si>
    <t>包括：1) 抬头、徽标、字段、文本描述、支付方式、二维码、字体间距等；2) 按餐厅收据和客户收据；3) 按销售和退款；4) 语言（中文、英文或两者兼有）；5) 带有发票二维码；6) 产品类型（商品、餐饮、租赁）</t>
  </si>
  <si>
    <t>小票打印-餐饮管理员-按餐厅和交易类型配置</t>
    <phoneticPr fontId="27" type="noConversion"/>
  </si>
  <si>
    <t xml:space="preserve">1. admin 模版CRUD 基础操作 （2）
2.1 字段间距调试（3）
2.2 语言（4）
3.  
5.发票二维码（3）
6.  
</t>
    <phoneticPr fontId="27" type="noConversion"/>
  </si>
  <si>
    <t>2.5.2 [FnB] Guest Receipt|Configure FnB receipt detail 定制餐饮结账小票内容</t>
  </si>
  <si>
    <t>2.5.2.2 As FnB admin, I need New POS will be able to configure FnB product information which will be printed on receipt, as to deliver FnB sales receipt to guest.</t>
  </si>
  <si>
    <t>Include: business type (e.g.: Goods\Food\Service\rent), products/items attribute in banquet; products/items print or not.
kitchen remark could config to be printed or not</t>
  </si>
  <si>
    <t>2.5.2.2 作为餐饮管理员，我需要新 POS 系统能够配置餐饮产品信息，这些信息将打印在收据上，以便向客人提供餐饮销售收据。</t>
    <phoneticPr fontId="27" type="noConversion"/>
  </si>
  <si>
    <t>1.业务类型（例如：商品/食品/服务/租赁）
2.宴会相关的产品/物品属性
3.产品/物品的是否打印设置
4.厨房备注的可配置打印选项</t>
    <phoneticPr fontId="27" type="noConversion"/>
  </si>
  <si>
    <t>小票打印-餐饮管理员-餐饮产品信息</t>
    <phoneticPr fontId="27" type="noConversion"/>
  </si>
  <si>
    <t xml:space="preserve"> 定制</t>
    <phoneticPr fontId="27" type="noConversion"/>
  </si>
  <si>
    <t>2.5.2 [FnB] Guest Receipt|Print FnB receipt in CN/EN 打印餐饮结账小票(可选择语言)</t>
    <phoneticPr fontId="27" type="noConversion"/>
  </si>
  <si>
    <t>2.5.2.3 As FnB cashier, I need New POS will be able to print receipt with pre-defined restaurant and transaction type, as to deliver FnB sales receipt to guest.</t>
  </si>
  <si>
    <t>Include: printing copy # for each receipt template, reprinting count, sales/return, if need login</t>
  </si>
  <si>
    <t>2.5.2.3 作为餐饮收银员，我需要新的POS系统能够根据预设的餐厅和交易类型打印小票，以便向顾客提供餐饮销售凭证。</t>
    <phoneticPr fontId="27" type="noConversion"/>
  </si>
  <si>
    <t>包括：每个收据模板的打印份数、重印次数、销售/退货，是否需要登录</t>
    <phoneticPr fontId="27" type="noConversion"/>
  </si>
  <si>
    <t>小票打印-餐饮收银员-预设的餐厅和交易类型</t>
    <phoneticPr fontId="27" type="noConversion"/>
  </si>
  <si>
    <t>读取配置触发打印，
餐厅和交易类型，登入态(4)
可能需要调整样式buffer(2)</t>
    <phoneticPr fontId="27" type="noConversion"/>
  </si>
  <si>
    <t>2.5.2 [FnB] Guest Receipt|Record FnB receipt 记录餐饮小票数据</t>
  </si>
  <si>
    <t>2.5.2.4 As FnB admin &amp; cashier, I need New POS will be able to fetch order detail by transaction# or barcode on receipt , as to deliver FnB sales receipt to guest.</t>
  </si>
  <si>
    <t>2.5.2.4 作为餐饮管理员及收银员，我需要新的POS系统能够通过交易编号或收据条码查询订单详情，以便向顾客提供餐饮销售凭证。</t>
    <phoneticPr fontId="27" type="noConversion"/>
  </si>
  <si>
    <t>小票打印-餐饮收银员-交易编号/小票上条形码获取订单详情</t>
    <phoneticPr fontId="27" type="noConversion"/>
  </si>
  <si>
    <t>是个查询</t>
    <phoneticPr fontId="27" type="noConversion"/>
  </si>
  <si>
    <t>2.5.3 [FnB] Kitchen Receipt|Configure kitchen receipt template for TSR and QSR 配置厨房备餐小票模版(QSR/TSR)</t>
  </si>
  <si>
    <t>2.5.3.1 As FnB admin &amp; cashier, I need New POS will be able to configure kitchen receipt template for different meal types in QSR and TSR, as to deliver FnB kitchen receipt to chef.</t>
  </si>
  <si>
    <t>Different receipt template for different meals type on for QSR and TSR</t>
  </si>
  <si>
    <t>2.5.3.1 作为餐饮管理员及收银员，我需要新的POS系统能够为快餐店和TSR餐厅的不同餐型配置厨房小票模板，以便向厨师传递餐饮厨房制作单。</t>
    <phoneticPr fontId="27" type="noConversion"/>
  </si>
  <si>
    <t>需针对快餐店和全服务餐厅的不同餐型设置差异化的小票模板。</t>
    <phoneticPr fontId="27" type="noConversion"/>
  </si>
  <si>
    <t>不同餐型收据模板</t>
    <phoneticPr fontId="27" type="noConversion"/>
  </si>
  <si>
    <t>区别类型配置模版 QSR（5）TSR (5)</t>
    <phoneticPr fontId="27" type="noConversion"/>
  </si>
  <si>
    <t>2.5.3 [FnB] Kitchen Receipt|Print kitchen receipt after QSR payment (支付订单后)打印QSR厨房备餐小票</t>
  </si>
  <si>
    <t>2.5.3.2 As FnB cashier, I need New POS will be able to print kitchen receipt with designated printer and template after QSR payment, as to deliver FnB kitchen receipt to chef.</t>
  </si>
  <si>
    <t>Enable to select product and reprint for unpaid orders.
kitchen remark needs to be printed as well.</t>
  </si>
  <si>
    <t>2.5.3.2 作为餐饮收银员，我需要新的POS系统能够在快餐店支付后，通过指定打印机和模板打印厨房小票，以便向厨师传递餐饮厨房制作单。</t>
    <phoneticPr fontId="27" type="noConversion"/>
  </si>
  <si>
    <t>1.支持选择商品并对未支付订单进行重印
2.厨房备注信息需同步打印</t>
    <phoneticPr fontId="27" type="noConversion"/>
  </si>
  <si>
    <t>QSR订单-打印机和模板打印厨房小票</t>
    <phoneticPr fontId="27" type="noConversion"/>
  </si>
  <si>
    <t>1.支持选择商品并对未支付订单进行重印(2)
2.厨房备注信息需同步打印(2)</t>
    <phoneticPr fontId="27" type="noConversion"/>
  </si>
  <si>
    <t>2.5.3 [FnB] Kitchen Receipt|Print kitchen receipt after TSR order saved (保存订单后)打印TSR厨房备餐小票</t>
  </si>
  <si>
    <t>2.5.3.3 As FnB cashier, I need New POS will be able to print kitchen receipt with designated printer and template after TSR order saved, as to deliver FnB kitchen receipt to chef.</t>
    <phoneticPr fontId="27" type="noConversion"/>
  </si>
  <si>
    <t>2.5.3.3 作为餐饮收银员，我需要新的POS系统能够在TSR餐厅订单保存后，通过指定打印机和模板打印厨房小票，以便向厨师传递餐饮厨房制作单。</t>
    <phoneticPr fontId="27" type="noConversion"/>
  </si>
  <si>
    <t>TSR订单-打印机和模板打印厨房小票</t>
    <phoneticPr fontId="27" type="noConversion"/>
  </si>
  <si>
    <t>2.6 Store/restaurant management 商店/餐厅管理</t>
  </si>
  <si>
    <t>2.6.1 Location management|Open/close location 开关门店</t>
  </si>
  <si>
    <t>2.6.1.1 As Ops admin &amp; cashier, I need New POS will be able to open/close location for business start/end day-to-day, as to process daily sales operations.</t>
  </si>
  <si>
    <t>Auto update operating hours, business days, cash and daily reports after closing, or manual update if needed</t>
  </si>
  <si>
    <t>2.6.1.1 作为运营管理员及收银员，我需要新的POS系统支持日常营业开始/结束时的门店开关店操作，以处理日常销售业务。</t>
    <phoneticPr fontId="27" type="noConversion"/>
  </si>
  <si>
    <t>在关闭后自动更新运营时间、工作日、现金及每日报表，如有需要也可进行手动更新。</t>
    <phoneticPr fontId="27" type="noConversion"/>
  </si>
  <si>
    <t>门店开关店操作</t>
    <phoneticPr fontId="27" type="noConversion"/>
  </si>
  <si>
    <t xml:space="preserve"> 
涉及每日报表量应该不少。每日大量数据需要处理</t>
    <phoneticPr fontId="27" type="noConversion"/>
  </si>
  <si>
    <t>考虑关闭后的操作，只考虑开关校验改为5（会不会有当天未完成订单的校验，例如退款未完成等）</t>
    <phoneticPr fontId="27" type="noConversion"/>
  </si>
  <si>
    <t>不太理解这里为何估如些高的人天</t>
    <phoneticPr fontId="27" type="noConversion"/>
  </si>
  <si>
    <t>2.6.1 Location management|Setup business day 管理营业日期</t>
  </si>
  <si>
    <t>2.6.1.2 As Ops admin &amp; cashier, I need New POS will be able to auto and manual update business date, as to process daily sales operations.</t>
  </si>
  <si>
    <t>Auto update business date according to calendar or manual overwrite business date if needed</t>
  </si>
  <si>
    <t>2.6.1.2 作为运营管理员及收银员，我需要新的POS系统支持自动和手动更新营业日期，以处理日常销售业务。</t>
    <phoneticPr fontId="27" type="noConversion"/>
  </si>
  <si>
    <t>营业日期可根据日历自动更新，必要时支持手动覆盖指定</t>
    <phoneticPr fontId="27" type="noConversion"/>
  </si>
  <si>
    <t xml:space="preserve">1.营业日期可根据日历自动更新（1）
2.支持手动覆盖指定(1)
双端可以操作 *2
</t>
    <phoneticPr fontId="27" type="noConversion"/>
  </si>
  <si>
    <t>2.6.1 Location management|Daily settlement 每日结算</t>
  </si>
  <si>
    <t>2.6.1.3 As Ops admin &amp; cashier, I need New POS will be able to process EOD closing after operation closed with receipt printing, as to process daily sales operations.</t>
  </si>
  <si>
    <t>Closing steps align with current POS, while receipt need print all transactions on POS, include cash, bankcard and scan payment</t>
  </si>
  <si>
    <t>2.6.1.3 作为运营管理员及收银员，我需要新的POS系统能够在营业结束后执行日结操作并打印日结单据，以完成日常销售业务处理。</t>
    <phoneticPr fontId="27" type="noConversion"/>
  </si>
  <si>
    <t>日结流程需与现有POS系统保持一致，且日结单据必须打印POS终端上的所有交易记录，包括现金、银行卡及扫码支付方式。</t>
    <phoneticPr fontId="27" type="noConversion"/>
  </si>
  <si>
    <t>打印日结单据</t>
    <phoneticPr fontId="27" type="noConversion"/>
  </si>
  <si>
    <t xml:space="preserve">日结现有流程开发（10）
打印数据预处理（2）
</t>
    <phoneticPr fontId="27" type="noConversion"/>
  </si>
  <si>
    <t>【现有POS系统保持一致】
日结现有流程是什么？如果新复刻一套的话需要日结的开发工时</t>
    <phoneticPr fontId="27" type="noConversion"/>
  </si>
  <si>
    <t>2.6.1 Location management|Upload daily settlement 上传检查日结信息</t>
  </si>
  <si>
    <t>2.6.1.4 As Ops admin &amp; cashier, I need New POS will be able to check data uploading in EOD closing after operation closed, as to process daily sales operations.</t>
  </si>
  <si>
    <t>Check transaction sync to make sure sales data is aligned on server</t>
    <phoneticPr fontId="27" type="noConversion"/>
  </si>
  <si>
    <t>2.6.1.4 作为运营管理员及收银员，我需要新的POS系统能够在营业结束后的日结过程中检查数据上传状态，以完成日常销售业务处理。</t>
    <phoneticPr fontId="27" type="noConversion"/>
  </si>
  <si>
    <t>校验交易数据同步状态，确保服务器端销售数据的一致性。</t>
    <phoneticPr fontId="27" type="noConversion"/>
  </si>
  <si>
    <t>检查数据上传状态核对每条数据一致性</t>
    <phoneticPr fontId="27" type="noConversion"/>
  </si>
  <si>
    <t>是否仅限销售数据？</t>
    <phoneticPr fontId="27" type="noConversion"/>
  </si>
  <si>
    <t>2.6.1 Location management|Configure user interface/ information structure 配置交易界面配置</t>
  </si>
  <si>
    <t>2.6.1.5 As Ops cashier, I need New POS will be able to configure transaction UI/UX layout by Merch and FnB in different business mode - QSR/TSR/SMED/Game, as to process daily sales operations efficiently.</t>
  </si>
  <si>
    <t>Apply to all terminals in the location, and may customize payment method ranking at store level.
Include: button and names, item sales, group, item shortcut key, item\sales group\combination products info.</t>
  </si>
  <si>
    <t>2.6.1.5 作为运营收银员，我需要新的POS系统能够针对商场和餐饮的不同业务模式（QSR/TSR/SMED/Game）配置交易界面布局，以高效处理日常销售业务</t>
    <phoneticPr fontId="27" type="noConversion"/>
  </si>
  <si>
    <t>配置需应用于该门店所有终端设备
支持门店层级的支付方式排序自定义
配置内容包括：按钮名称、商品销售分组、商品快捷键、商品/销售组/组合商品信息</t>
    <phoneticPr fontId="27" type="noConversion"/>
  </si>
  <si>
    <t>配置交易界面布局</t>
    <phoneticPr fontId="27" type="noConversion"/>
  </si>
  <si>
    <t xml:space="preserve">
支付方式排序自定义
POS APP联动 UI (2)
admin crud (2)
</t>
    <phoneticPr fontId="27" type="noConversion"/>
  </si>
  <si>
    <t>推荐工时30人天，整个可定制化布局销售页面是及其复杂的，需要不断打磨以满足运营要求</t>
    <phoneticPr fontId="27" type="noConversion"/>
  </si>
  <si>
    <t>2.6.1 Location management|Configure TSR table w/o layout 配置TSR桌台编号和状态</t>
  </si>
  <si>
    <t>2.6.1.6 As FnB admin &amp; cashier, I need New POS will be able to configure restaurant table number and status(without layout) , as to process daily sales operations.</t>
  </si>
  <si>
    <t>Enable display and search by table number, status(empty, reserved, in use, closed), number of guest, open time
floor planning management is out of Apple-2-Apple scope
桌台layout,预订和取消预订在Table Check维护</t>
  </si>
  <si>
    <t>2.6.1.6 作为餐饮管理员及收银员，我需要新的POS系统能够配置餐厅桌台编号及状态（无需布局图），以支持日常销售业务。</t>
    <phoneticPr fontId="27" type="noConversion"/>
  </si>
  <si>
    <t>能够按桌号、状态（空闲、预订、使用中、已关闭）、客人人数、开放时间显示和搜索
楼层规划管理超出 Apple-2-Apple 范围
桌台layout,预订和取消预订在Table Check维护</t>
    <phoneticPr fontId="27" type="noConversion"/>
  </si>
  <si>
    <t>POS系统能够配置餐厅桌台编号及状态</t>
    <phoneticPr fontId="27" type="noConversion"/>
  </si>
  <si>
    <t>admin配置CRUD
预订和取消预订在Table Check维护(10)</t>
    <phoneticPr fontId="27" type="noConversion"/>
  </si>
  <si>
    <t>2.6.1 Location management|Configure FnB operation information 配置餐饮运营信息</t>
  </si>
  <si>
    <t>2.6.1.7 As FnB admin, I need New POS will be able to configure FnB menu with available inventory, period, and location setup, as to process daily sales operations.</t>
  </si>
  <si>
    <t xml:space="preserve">1. (Configure by FnB admin) Menu, price/service fee, order void reason/ scenario, guest type, and inventory control -- enable search product by ID, name, product type.
2. (Configure by location admin) Meal period, available inventory, kitchen printer setting and template -- period can be auto changed or manual change among breakfast/lunch/dinner. </t>
  </si>
  <si>
    <t>2.6.1.7 作为餐饮管理员，我需要新的POS系统能够根据可用库存、时段和点位设置配置餐饮菜单，以处理日常销售业务。</t>
    <phoneticPr fontId="27" type="noConversion"/>
  </si>
  <si>
    <t>1. （由餐饮管理员配置）菜单、价格/服务费、订单取消原因/场景、客人类型和库存控制 -- 能够按 ID、名称、产品类型搜索产品。
2. （由地点管理员配置）用餐时段、可用库存、厨房打印机设置和模板 -- 时段可以在早餐/午餐/晚餐之间自动更改或手动更改。</t>
    <phoneticPr fontId="27" type="noConversion"/>
  </si>
  <si>
    <t>POS系统能够根据可用库存、时段和点位设置配置餐饮菜单</t>
    <phoneticPr fontId="27" type="noConversion"/>
  </si>
  <si>
    <t>基础菜单管理（5）
时段管理（5）
库存联动（5）
打印机集成（5）</t>
    <phoneticPr fontId="27" type="noConversion"/>
  </si>
  <si>
    <t>2.6.2 Cashier management|On duty w/ petty cash 上岗与备用金</t>
    <phoneticPr fontId="27" type="noConversion"/>
  </si>
  <si>
    <t>2.6.2.1 As Ops cashier, I need New POS will be able to input petty cash amount when cashier on duty, as to process daily cash operations.</t>
  </si>
  <si>
    <t>May be skipped for non-cash position</t>
  </si>
  <si>
    <t>2.6.2.1  作为操作员收银员，我需要新POS 能够在当班收银员操作时输入零用现金金额，以便处理日常现金业务。</t>
    <phoneticPr fontId="27" type="noConversion"/>
  </si>
  <si>
    <t>对于非现金资产而言，可以省略此步骤。</t>
    <phoneticPr fontId="27" type="noConversion"/>
  </si>
  <si>
    <t>上岗与备用金-录入备用金金额</t>
    <phoneticPr fontId="27" type="noConversion"/>
  </si>
  <si>
    <t xml:space="preserve">
备用金录入（3）
跳过逻辑，
记录查询（2）</t>
    <phoneticPr fontId="27" type="noConversion"/>
  </si>
  <si>
    <t>2.6.2 Cashier management|Off duty w/ cash checking 离岗与对账</t>
  </si>
  <si>
    <t>2.6.2.2 As Ops cashier, I need New POS will be able to view/print cash flow report when cashier off duty, as to process daily cash operations.</t>
  </si>
  <si>
    <t>non-cash transaction need to upload to ECDS, Finance-related</t>
  </si>
  <si>
    <t>2.6.2.2 作为运营收银员，我需要新的POS系统支持收银员下岗时查看/打印现金流报告，以处理日常现金操作。</t>
    <phoneticPr fontId="27" type="noConversion"/>
  </si>
  <si>
    <t>非现金交易需要上传到 ECDS，与财务相关</t>
    <phoneticPr fontId="27" type="noConversion"/>
  </si>
  <si>
    <t>查看/打印现金流报告</t>
    <phoneticPr fontId="27" type="noConversion"/>
  </si>
  <si>
    <r>
      <t>数据汇总（3）→ ECDS对接（5）→ 报告打印（2）</t>
    </r>
    <r>
      <rPr>
        <sz val="14"/>
        <rFont val="Times New Roman"/>
        <family val="2"/>
      </rPr>
      <t>​</t>
    </r>
    <phoneticPr fontId="27" type="noConversion"/>
  </si>
  <si>
    <t>Description忽略，与POS本体功能无关，FIT那边处理</t>
  </si>
  <si>
    <t>2.6.2 Cashier management|Cash drawer operation log 钱箱操作日志</t>
  </si>
  <si>
    <t>2.6.2.3 As Ops cashier, I need New POS will be able to record cash drawer operation log by report, as to process daily cash operations.</t>
  </si>
  <si>
    <t>Include: petty cash in, cash receive in and change out</t>
    <phoneticPr fontId="27" type="noConversion"/>
  </si>
  <si>
    <t>2.6.2.3 作为运营收银员，我需要新的POS系统能够通过报表记录钱箱操作日志，以处理日常现金操作。</t>
    <phoneticPr fontId="27" type="noConversion"/>
  </si>
  <si>
    <t>记录内容需包括：备用金存入、现金收款及找零支出。</t>
    <phoneticPr fontId="27" type="noConversion"/>
  </si>
  <si>
    <t>报表记录钱箱操作日志</t>
    <phoneticPr fontId="27" type="noConversion"/>
  </si>
  <si>
    <t xml:space="preserve"> 日志新增查询,日志量大会变得复杂</t>
    <phoneticPr fontId="27" type="noConversion"/>
  </si>
  <si>
    <t>建议10人天，现金操作日志及报表功能比较单一</t>
    <phoneticPr fontId="27" type="noConversion"/>
  </si>
  <si>
    <t>2.6.2 Cashier management|Drop pending order in draft box 关闭暂存订单</t>
  </si>
  <si>
    <t>2.6.2.4 As Ops cashier, I need New POS will be able to prompt manual close pending order in drafts, as to process daily sales operations.</t>
  </si>
  <si>
    <t>Configure prompt method(text/pop-up) time and frequency</t>
  </si>
  <si>
    <t>2.6.2.4 作为运营收银员，我需要新的POS系统能够提示手动清理草稿箱中的未完成订单，以处理日常销售业务。</t>
    <phoneticPr fontId="27" type="noConversion"/>
  </si>
  <si>
    <t>配置提示方法（文本/弹出窗口）的时间和频率</t>
  </si>
  <si>
    <t>提示手动清理草稿箱中的未完成订单</t>
    <phoneticPr fontId="27" type="noConversion"/>
  </si>
  <si>
    <r>
      <t>监控检测（2）→ 提示配置（3）→ 提示展示（1）→ 清理操作（3）</t>
    </r>
    <r>
      <rPr>
        <sz val="14"/>
        <rFont val="Times New Roman"/>
        <family val="2"/>
      </rPr>
      <t>​</t>
    </r>
    <phoneticPr fontId="27" type="noConversion"/>
  </si>
  <si>
    <t>2.6.3 Training Mode|Setup training mode 配置培训模式</t>
  </si>
  <si>
    <r>
      <t>2.6.3.1</t>
    </r>
    <r>
      <rPr>
        <sz val="14"/>
        <color rgb="FFFF0000"/>
        <rFont val="宋体"/>
        <family val="3"/>
        <charset val="134"/>
      </rPr>
      <t xml:space="preserve"> As Ops cashier</t>
    </r>
    <r>
      <rPr>
        <sz val="14"/>
        <rFont val="宋体"/>
        <family val="2"/>
        <scheme val="minor"/>
      </rPr>
      <t>, I need New POS will be able to use training mode for new cashier training, as to prepare and training cast.</t>
    </r>
    <phoneticPr fontId="27" type="noConversion"/>
  </si>
  <si>
    <r>
      <t xml:space="preserve">2.6.3.1 </t>
    </r>
    <r>
      <rPr>
        <sz val="14"/>
        <color rgb="FFFF0000"/>
        <rFont val="宋体"/>
        <family val="3"/>
        <charset val="134"/>
      </rPr>
      <t>作为收银员</t>
    </r>
    <r>
      <rPr>
        <sz val="14"/>
        <rFont val="宋体"/>
        <family val="2"/>
        <scheme val="minor"/>
      </rPr>
      <t>，我需要新的POS系统支持培训模式，用于新收银员培训，以做好人员准备与培训工作。</t>
    </r>
    <phoneticPr fontId="27" type="noConversion"/>
  </si>
  <si>
    <t>培训模式</t>
    <phoneticPr fontId="27" type="noConversion"/>
  </si>
  <si>
    <r>
      <t>模式控制（3） 操作限制（2）</t>
    </r>
    <r>
      <rPr>
        <sz val="14"/>
        <rFont val="Times New Roman"/>
        <family val="2"/>
      </rPr>
      <t xml:space="preserve">​
</t>
    </r>
    <r>
      <rPr>
        <sz val="14"/>
        <rFont val="宋体"/>
        <family val="2"/>
        <scheme val="minor"/>
      </rPr>
      <t>涉及所有功能操作不影响其他功能（10）</t>
    </r>
    <phoneticPr fontId="27" type="noConversion"/>
  </si>
  <si>
    <t>admin端不需要培训模式</t>
  </si>
  <si>
    <t>2.6.3 Training Mode|Isolate data in training mode 隔离培训模式数据</t>
  </si>
  <si>
    <r>
      <t>2.6.3.2</t>
    </r>
    <r>
      <rPr>
        <sz val="14"/>
        <color rgb="FFFF0000"/>
        <rFont val="宋体"/>
        <family val="3"/>
        <charset val="134"/>
      </rPr>
      <t xml:space="preserve"> As Ops cashier,</t>
    </r>
    <r>
      <rPr>
        <sz val="14"/>
        <rFont val="宋体"/>
        <family val="2"/>
        <scheme val="minor"/>
      </rPr>
      <t xml:space="preserve"> I need New POS will be able to isolate order data in training mode, and no payment execution needed, as to prepare and training cast.</t>
    </r>
    <phoneticPr fontId="27" type="noConversion"/>
  </si>
  <si>
    <r>
      <t xml:space="preserve">2.6.3.2 </t>
    </r>
    <r>
      <rPr>
        <sz val="14"/>
        <color rgb="FFFF0000"/>
        <rFont val="宋体"/>
        <family val="3"/>
        <charset val="134"/>
      </rPr>
      <t>作为收银员</t>
    </r>
    <r>
      <rPr>
        <sz val="14"/>
        <rFont val="宋体"/>
        <family val="2"/>
        <scheme val="minor"/>
      </rPr>
      <t>，我需要新的POS系统在培训模式下隔离订单数据，且无需实际支付操作，以做好人员准备与培训工作。</t>
    </r>
    <phoneticPr fontId="27" type="noConversion"/>
  </si>
  <si>
    <t>独立模式下，数据互不干扰，无支付功能
订单隔离数据(5)</t>
    <phoneticPr fontId="27" type="noConversion"/>
  </si>
  <si>
    <t>2.6.3 Training Mode|Improve training performance 优化培训模式性能</t>
  </si>
  <si>
    <r>
      <t>2.6.3.3</t>
    </r>
    <r>
      <rPr>
        <sz val="14"/>
        <color rgb="FFFF0000"/>
        <rFont val="宋体"/>
        <family val="3"/>
        <charset val="134"/>
      </rPr>
      <t xml:space="preserve"> As Ops cashier</t>
    </r>
    <r>
      <rPr>
        <sz val="14"/>
        <rFont val="宋体"/>
        <family val="2"/>
        <scheme val="minor"/>
      </rPr>
      <t>, I need New POS will be able to use training mode without performance issue, as to prepare and training cast.</t>
    </r>
    <phoneticPr fontId="27" type="noConversion"/>
  </si>
  <si>
    <r>
      <t xml:space="preserve">2.6.3.3 </t>
    </r>
    <r>
      <rPr>
        <sz val="14"/>
        <color rgb="FFFF0000"/>
        <rFont val="宋体"/>
        <family val="3"/>
        <charset val="134"/>
      </rPr>
      <t>作为收银员</t>
    </r>
    <r>
      <rPr>
        <sz val="14"/>
        <rFont val="宋体"/>
        <family val="2"/>
        <scheme val="minor"/>
      </rPr>
      <t>，我需要新的POS系统的培训模式不出现性能问题，以做好人员准备与培训工作。</t>
    </r>
    <phoneticPr fontId="27" type="noConversion"/>
  </si>
  <si>
    <t>2.6.4 Meal preparation|Configure meal preparation task 配置备餐任务</t>
  </si>
  <si>
    <t>2.6.4.1 As FnB admin &amp; cashier, I need New POS will be able to configure meal preparation task with detailed settings, as to fulfill operations sustainment requirements.</t>
  </si>
  <si>
    <t>Include: task code name and type, with task and its classes settings, corresponding item settings, route rule settings, display distribution rule settings.</t>
  </si>
  <si>
    <t>2.6.4.1 作为餐饮管理员及收银员，我需要新的POS系统能够通过详细设置配置备餐任务，以满足运营持续性需求。</t>
    <phoneticPr fontId="27" type="noConversion"/>
  </si>
  <si>
    <t>包括：任务代码名称和类型，以及任务及其类别设置、相应的item设置、路由规则设置、显示分发规则设置。</t>
    <phoneticPr fontId="27" type="noConversion"/>
  </si>
  <si>
    <t>设置配置备餐任务</t>
    <phoneticPr fontId="27" type="noConversion"/>
  </si>
  <si>
    <r>
      <rPr>
        <sz val="14"/>
        <rFont val="Times New Roman"/>
        <family val="2"/>
      </rPr>
      <t>​​</t>
    </r>
    <r>
      <rPr>
        <sz val="14"/>
        <rFont val="宋体"/>
        <family val="2"/>
        <scheme val="minor"/>
      </rPr>
      <t>基础配置（4）→ 类别设置（2）→ item设置（5）→ 路由规则设置（5）→ 分发规则设置（5）</t>
    </r>
    <r>
      <rPr>
        <sz val="14"/>
        <rFont val="Times New Roman"/>
        <family val="2"/>
      </rPr>
      <t>​​</t>
    </r>
    <phoneticPr fontId="27" type="noConversion"/>
  </si>
  <si>
    <t>PM: 收银员需要参与进来么？</t>
    <phoneticPr fontId="27" type="noConversion"/>
  </si>
  <si>
    <t>2.6.4 Meal preparation|Distribute meal preparation task 配置备餐任务分发</t>
  </si>
  <si>
    <t>2.6.4.2 As FnB admin &amp; cashier, I need New POS will be able to process meal preparation task by pre-defined rules, as to fulfill operations sustainment requirements.</t>
  </si>
  <si>
    <t>1. Enable relationship between the meals types and kitchen hardware: send task to configured kitchen hardware by different meal types.
2. Process distribution with label content with template, including: SKU name, remarks.
3. Enable to automatic distribution by orders both from POS and MO API when order saved -- sync MO orders and send orders to respective hardware's.</t>
    <phoneticPr fontId="27" type="noConversion"/>
  </si>
  <si>
    <t>2.6.4.2 作为餐饮管理员及收银员，我需要新的POS系统能够按预定义规则处理备餐任务，以满足运营持续性需求。</t>
    <phoneticPr fontId="27" type="noConversion"/>
  </si>
  <si>
    <t>1. 启用膳食类型和厨房硬件之间的关系：按不同的膳食类型将任务发送到配置的厨房硬件。
2. 使用带有模板的标签内容处理分发，包括：SKU 名称、备注。
3. 能够在保存订单时自动分发来自 POS 和 MO API 的订单 -- 同步 MO 订单并将订单发送到各自的硬件。</t>
    <phoneticPr fontId="27" type="noConversion"/>
  </si>
  <si>
    <t>触发配置备餐任务</t>
    <phoneticPr fontId="27" type="noConversion"/>
  </si>
  <si>
    <r>
      <t>硬件关联（5）→ 标签模板（3）→ 订单分发（4）→
同步 MO 订单 （4）
订单发送硬件（4）</t>
    </r>
    <r>
      <rPr>
        <sz val="14"/>
        <rFont val="Times New Roman"/>
        <family val="2"/>
      </rPr>
      <t>​</t>
    </r>
    <phoneticPr fontId="27" type="noConversion"/>
  </si>
  <si>
    <t>2.6.4 Meal preparation|Configure kitchen meal preparation devices 配置厨房备餐设备</t>
    <phoneticPr fontId="27" type="noConversion"/>
  </si>
  <si>
    <t>2.6.4.3 As FnB admin &amp; cashier, I need New POS will be able to configure kitchen devices to process task by store and meal for both POS order and MO, as to deliver FnB kitchen receipt to chef.</t>
  </si>
  <si>
    <t>1. After online and offline order settled/TSR order sent, kitchen devices sort to display jobs by meal and store as pre-configuration. 
2. Distributer tasks to different devices type by pre-define rules.</t>
  </si>
  <si>
    <t>2.6.4.3 作为餐饮管理员及收银员，我需要新的POS系统能够配置厨房设备，按门店和餐型处理POS订单和移动订单的任务，以便向厨师传递厨房制作单。</t>
    <phoneticPr fontId="27" type="noConversion"/>
  </si>
  <si>
    <t>1. 在在线和离线订单结算/TSR 订单发送后，厨房设备会按餐和商店进行排序，以显示预配置的作业。
2. 通过预定义的规则将分发器任务分配给不同的设备类型。</t>
    <phoneticPr fontId="27" type="noConversion"/>
  </si>
  <si>
    <t>设备配置（5）→ 任务排序（3）→ 规则分发（5）→ 制作单生成</t>
    <phoneticPr fontId="27" type="noConversion"/>
  </si>
  <si>
    <t>2.7 Product/Meal Management 商品/餐品主数据管理</t>
  </si>
  <si>
    <t>2.7.1 Ops foundation data management|Configure Merch product 配置零售商品</t>
  </si>
  <si>
    <t>2.7.1.1 As Merch admin, I need New POS will be able to maintain Merch product foundation data from SIMBA synced, as to process daily sales operations.</t>
  </si>
  <si>
    <r>
      <t>1. Sync price effective by specific date and timestamp
2. Sync name: able to switch between CN and EN from SIMBA
3. Enable shor</t>
    </r>
    <r>
      <rPr>
        <sz val="14"/>
        <color theme="1"/>
        <rFont val="宋体"/>
        <family val="2"/>
        <scheme val="minor"/>
      </rPr>
      <t xml:space="preserve">tcut: </t>
    </r>
    <r>
      <rPr>
        <sz val="14"/>
        <color theme="1"/>
        <rFont val="Calibri (Body)"/>
      </rPr>
      <t>bundle multiple products;</t>
    </r>
    <r>
      <rPr>
        <sz val="14"/>
        <color theme="1"/>
        <rFont val="宋体"/>
        <family val="2"/>
        <scheme val="minor"/>
      </rPr>
      <t xml:space="preserve"> switch CN &amp; </t>
    </r>
    <r>
      <rPr>
        <sz val="14"/>
        <rFont val="宋体"/>
        <family val="2"/>
        <scheme val="minor"/>
      </rPr>
      <t>EN name</t>
    </r>
  </si>
  <si>
    <t>Finance &amp; New Simba</t>
  </si>
  <si>
    <t>2.7.1.1 作为商户管理员，我需要新 POS 系统能够保持与 SIMBA 同步的商户产品基础数据，以便处理日常销售运营。</t>
    <phoneticPr fontId="27" type="noConversion"/>
  </si>
  <si>
    <t>1. 按特定日期和时间戳同步价格生效
2. 同步名称：能够从 SIMBA 切换中文和英文
3. 启用快捷方式：捆绑多个产品；切换中文和英文名称</t>
    <phoneticPr fontId="27" type="noConversion"/>
  </si>
  <si>
    <t>按我理解，这个是POS这边可以设置Simba数据的生效方式，这条EPIC不需要与Simba对接
这里的Bundle是新的SKU。</t>
  </si>
  <si>
    <t>Finance &amp; Simba</t>
  </si>
  <si>
    <t>需要确认bundle分账时，财务是否需要拆开，如果拆开需要SIMBA同步items</t>
  </si>
  <si>
    <t>和Vendor确认bundle的能力</t>
  </si>
  <si>
    <t>同步SIMBA商品数据</t>
    <phoneticPr fontId="27" type="noConversion"/>
  </si>
  <si>
    <t>同步引擎（10）→ 多语言管理（3）→ 快捷方式（4）→ 一致性保障（2）</t>
    <phoneticPr fontId="27" type="noConversion"/>
  </si>
  <si>
    <t xml:space="preserve"> Back-End</t>
    <phoneticPr fontId="27" type="noConversion"/>
  </si>
  <si>
    <t>作为集成部分，Admin Portal肯定有相关功能需要开发，以监控和处理集成Simba遇到的问题</t>
    <phoneticPr fontId="27" type="noConversion"/>
  </si>
  <si>
    <t>2.7.1 Ops foundation data management|Configure Merch product in batch 批量操作商品</t>
  </si>
  <si>
    <t>2.7.1.2 As Merch admin, I need New POS will be able to maintain Merch product foundation data from SIMBA in batch on item/promotion level with stores, as to process daily sales operations.</t>
  </si>
  <si>
    <t>1. Batch Creation: Download template, edit, and upload for batch creation.
2.Edit: Download product data, edit and upload to batch update.
3. Deletion: disable select items.</t>
  </si>
  <si>
    <t>2.7.1.2 作为商户管理员，我需要新 POS 系统能够从 SIMBA 批量维护商户产品基础数据，包括商品/促销级别和门店信息，以便处理日常销售运营。</t>
  </si>
  <si>
    <t>1. 批量创建：下载模板、进行编辑并上传，即可实现批量创建。
2.修改：下载产品数据，进行编辑并上传以实现批量更新。
3. 删除操作：禁用选择项。</t>
    <phoneticPr fontId="27" type="noConversion"/>
  </si>
  <si>
    <t>对同步SIMBA的商品数据批量操作</t>
    <phoneticPr fontId="27" type="noConversion"/>
  </si>
  <si>
    <t>1(8)
2(6)
3(2)</t>
    <phoneticPr fontId="27" type="noConversion"/>
  </si>
  <si>
    <t>2.7.1 Ops foundation data management|Configure FnB product - meal &amp; set 配置餐饮商品(单品和套餐)</t>
  </si>
  <si>
    <t>2.7.1.3 As FnB admin, I need New POS will be able to configure FnB meal &amp; set foundation data, as to process daily sales operations.</t>
  </si>
  <si>
    <t>1. Meal type: Item name. Major group, Family group, Meal, Drink, Service, Service charge, combo set, condiments, kitchen message
2. Meal attributes: sale channels, price, stores, return and
exchange, discounts, coupons, taxes, limit-purchase, membership.
3. Meal name: split to product name and bill name - the product name has 3 Chinese characters, and 8 English characters.
4. Condiments 1&amp;2: Condiment 1 is ingredient, and deduct inventory deducted, and default to print on receipt; Condiment 2 is a catering remark, such as portioning or packing, no inventory to be deducted, and default to not print on receipt.
5. Kitchen message: special cooking/preparation requests, default to not print on receipt. Need to print to kitchen printer.
6. Define menu by combine foundation data by store, define service fee by store according to pre-define service fee rate.</t>
    <phoneticPr fontId="27" type="noConversion"/>
  </si>
  <si>
    <t>2.7.1.3 作为餐饮管理员，我需要新 POS 系统能够配置餐饮餐品并设置基础数据，以便处理日常销售运营。</t>
    <phoneticPr fontId="27" type="noConversion"/>
  </si>
  <si>
    <t>1. 餐点类型：项目名称。Major group, Family group、餐点、饮料、服务、服务费、套餐、调味品、厨房消息
2. 餐点属性：销售渠道、价格、商店、退货和换货、折扣、优惠券、税费、限购、会员资格。
3. 餐点名称：拆分为产品名称和账单名称 - 产品名称有 3 个汉字和 8 个英文字符。
4. 调味品 1 和 2：调味品 1 是配料，扣除库存，默认打印在收据上；调味品 2 是餐饮备注，例如份量或包装，不扣除库存，默认不打印在收据上。
5. 厨房消息：特殊的烹饪/准备要求，默认不打印在收据上。需要打印到厨房打印机。
6. 通过商店组合基础数据来定义菜单，根据预定义的服务费率按商店定义服务费。</t>
    <phoneticPr fontId="27" type="noConversion"/>
  </si>
  <si>
    <t xml:space="preserve">1. 餐点类型(基础数据)
2. 餐点属性(基础数据) 
3. 餐点名称 (基础数据)
4. 调味料打印规则。（5）
5. 厨房消息（不打印在收据的。需要打印到厨房打印机）（5）
6. 按照基础数据菜单的配置 &amp; 定义服务费（10）
</t>
    <phoneticPr fontId="27" type="noConversion"/>
  </si>
  <si>
    <t>建议60人天，餐饮主档数据配置管理涉及数据复杂</t>
    <phoneticPr fontId="27" type="noConversion"/>
  </si>
  <si>
    <t>2.7.1 Ops foundation data management|Configure price modification 设置价格生效时间</t>
  </si>
  <si>
    <t>2.7.1.4 As FnB admin, I need New POS will be able to configure FnB meal &amp; set price effective date, as to process daily sales operations.</t>
  </si>
  <si>
    <t>Price effective by specific date and timestamp, by default is next business date</t>
  </si>
  <si>
    <t>2.7.1.4 作为餐饮管理员，我需要新 POS 系统能够配置餐饮套餐并设置价格生效日期，以便处理日常销售运营。</t>
    <phoneticPr fontId="27" type="noConversion"/>
  </si>
  <si>
    <t>价格按特定日期和时间戳生效，默认情况下是下一个工作日</t>
  </si>
  <si>
    <t>套餐设置时间配置（3）→ 时间定价（4）→ 价格计算（3）</t>
    <phoneticPr fontId="27" type="noConversion"/>
  </si>
  <si>
    <t>菜品配置价格，有效日期</t>
    <phoneticPr fontId="27" type="noConversion"/>
  </si>
  <si>
    <t>2.7.1 Ops foundation data management|Configure FnB meal in batch 批量操作餐饮</t>
  </si>
  <si>
    <t>2.7.1.5 As FnB admin, I need New POS will be able to configure FnB product foundation data in batch on meal &amp; menu/promotion level with restaurants, as to process daily sales operations.</t>
  </si>
  <si>
    <t>2.7.1.5 作为餐饮管理员，我需要新 POS 系统能够与餐厅一起在餐饮与菜单/促销级别批量配置餐饮产品基础数据，以便处理日常销售运营。</t>
    <phoneticPr fontId="27" type="noConversion"/>
  </si>
  <si>
    <t>1. 批量创建：下载模板，编辑并上传以进行批量创建。
2.编辑：下载产品数据，编辑并上传以进行批量更新。
3. 删除：禁用所选项目。</t>
  </si>
  <si>
    <t>配置餐饮产品基础数据</t>
    <phoneticPr fontId="27" type="noConversion"/>
  </si>
  <si>
    <t>1. 批量创建：下载模板，编辑并上传以进行批量创建。（8）
2.编辑：下载产品数据，编辑并上传以进行批量更新。（6）
3. 删除：禁用所选项目。（2）</t>
    <phoneticPr fontId="27" type="noConversion"/>
  </si>
  <si>
    <t>2.8 User permissions and auditing 用户权限与审计</t>
  </si>
  <si>
    <t>2.8.1 User/account management|Create account w/ approval 创建账号与审批</t>
    <phoneticPr fontId="27" type="noConversion"/>
  </si>
  <si>
    <t>2.8.1.1 As Ops admin &amp; cashier, I need New POS will be able to create frontend and backend account w/ approval, as an essential part of daily operations management.</t>
  </si>
  <si>
    <t>1. Account info include: PERNER, name, phone, email, store, business type, joining time, title, button group, is ND.
2. Each account has a identifier field(e.g. PERNER/Email address) for identity.
3. Account creation require corresponding Line Manager approval. GSM/Lead/Administrator authorized needed</t>
  </si>
  <si>
    <t>2.8.1.1 作为运营管理员和收银员，我需要新 POS 系统能够创建需要审批的前端和后端账户，作为日常运营管理的重要组成部分。</t>
  </si>
  <si>
    <t>1. 帐户信息包括：PERNER、姓名、电话、电子邮件、商店、业务类型、加入时间、职称、按钮组、是否为 ND。
2. 每个帐户都有一个标识符字段（例如 PERNER/电子邮件地址）用于身份验证。
3. 帐户创建需要相应的直线经理批准。需要 GSM/主管/管理员授权</t>
    <phoneticPr fontId="27" type="noConversion"/>
  </si>
  <si>
    <t>创建账号与审批</t>
    <phoneticPr fontId="27" type="noConversion"/>
  </si>
  <si>
    <r>
      <t>账户信息（3）→ 身份认证（2）→ 审批工作流（5）→ 权限管理（3）</t>
    </r>
    <r>
      <rPr>
        <sz val="14"/>
        <rFont val="Times New Roman"/>
        <family val="2"/>
      </rPr>
      <t>​</t>
    </r>
    <phoneticPr fontId="27" type="noConversion"/>
  </si>
  <si>
    <t>2.8.1 User/account management|Role assignment 管理权限分配</t>
    <phoneticPr fontId="27" type="noConversion"/>
  </si>
  <si>
    <t>2.8.1.2 As Ops admin &amp; cashier, I need New POS will be able to assign account permission by store access or role , as an essential part of daily operations management.</t>
  </si>
  <si>
    <t>1. Configure the function permissions by pre-defined role
2. Configure the store/restaurant permissions by location, has max store# assignment limitation</t>
  </si>
  <si>
    <t>2.8.1.2 作为运营管理员和收银员，我需要新 POS 系统能够根据店铺访问权限或角色分配账户权限，作为日常运营管理的重要组成部分。</t>
    <phoneticPr fontId="27" type="noConversion"/>
  </si>
  <si>
    <t>1. 按预定义的角色配置功能权限
2. 按位置配置商店/餐厅权限，具有最大商店数量分配限制</t>
    <phoneticPr fontId="27" type="noConversion"/>
  </si>
  <si>
    <t>管理权限分配</t>
    <phoneticPr fontId="27" type="noConversion"/>
  </si>
  <si>
    <r>
      <rPr>
        <sz val="14"/>
        <rFont val="Times New Roman"/>
        <family val="2"/>
      </rPr>
      <t>​​</t>
    </r>
    <r>
      <rPr>
        <sz val="14"/>
        <rFont val="宋体"/>
        <family val="2"/>
        <scheme val="minor"/>
      </rPr>
      <t>角色权限（4）→ 门店权限（4）→ 权限验证（2）</t>
    </r>
    <r>
      <rPr>
        <sz val="14"/>
        <rFont val="Times New Roman"/>
        <family val="2"/>
      </rPr>
      <t>​​</t>
    </r>
    <phoneticPr fontId="27" type="noConversion"/>
  </si>
  <si>
    <t>2.8.1 User/account management|Modify account 修改账号</t>
    <phoneticPr fontId="27" type="noConversion"/>
  </si>
  <si>
    <t>2.8.1.3 As Ops admin &amp; cashier, I need New POS will be able to modify frontend and backend account w/ approval, as an essential part of daily operations management.</t>
  </si>
  <si>
    <t>Except account identity(e.g. PERNER/Email address), all others field can be modified, it may need Line Manager approval. GSM/Lead/Administrator authorized needed</t>
  </si>
  <si>
    <t>2.8.1.3 作为运营管理员和收银员，我需要新 POS 系统能够在审批后修改前端和后端账户，作为日常运营管理的重要组成部分。</t>
  </si>
  <si>
    <t>除了帐户身份（例如 PERNER/电子邮件地址）之外，所有其他字段都可以修改，可能需要直线经理批准。需要 GSM/主管/管理员授权</t>
    <phoneticPr fontId="27" type="noConversion"/>
  </si>
  <si>
    <t>修改账号</t>
    <phoneticPr fontId="27" type="noConversion"/>
  </si>
  <si>
    <r>
      <t xml:space="preserve">
账户修改和审批工作流（4）→ 实时生效（2）</t>
    </r>
    <r>
      <rPr>
        <sz val="14"/>
        <rFont val="Times New Roman"/>
        <family val="2"/>
      </rPr>
      <t>​</t>
    </r>
    <phoneticPr fontId="27" type="noConversion"/>
  </si>
  <si>
    <t>2.8.1 User/account management|Disable account 禁用账号</t>
    <phoneticPr fontId="27" type="noConversion"/>
  </si>
  <si>
    <t>2.8.1.4 As Ops admin &amp; cashier, I need New POS will be able to reactive frontend and backend account, as an essential part of daily operations management.</t>
  </si>
  <si>
    <t>Deactivate account can be re-active for cast rehire or transfer -- resigned or transferred cast account will be deactivate and re-active.</t>
  </si>
  <si>
    <t>2.8.1.4 作为运营管理员和收银员，我需要新 POS 系统能够重新激活前端和后端账户，作为日常运营管理的重要组成部分。</t>
  </si>
  <si>
    <t>停用的帐户可以重新激活以进行员工重新雇用或调动 - 辞职或调动的员工帐户将被停用并重新激活。</t>
    <phoneticPr fontId="27" type="noConversion"/>
  </si>
  <si>
    <t>禁用账号</t>
    <phoneticPr fontId="27" type="noConversion"/>
  </si>
  <si>
    <t>禁用后可以重新激活账号</t>
    <phoneticPr fontId="27" type="noConversion"/>
  </si>
  <si>
    <t>2.8.2 Role and permission |Configure role by LoB &amp; location 定义角色与分配权限</t>
    <phoneticPr fontId="27" type="noConversion"/>
  </si>
  <si>
    <t>2.8.2.1 As Ops admin &amp; cashier, I need New POS will be able to configure role with LoB &amp; location permission, as an essential part of daily operations management.</t>
  </si>
  <si>
    <t>Assign role permission with data privilege to user account. Same role may have different data privilege setup.</t>
  </si>
  <si>
    <t>2.8.2.1 作为运营管理员和收银员，我需要新 POS 系统能够配置带有业务线和位置权限的角色，作为日常运营管理的重要组成部分。</t>
  </si>
  <si>
    <t>将具有数据权限的角色权限分配给用户帐户。相同的角色可能具有不同的数据权限设置。</t>
    <phoneticPr fontId="27" type="noConversion"/>
  </si>
  <si>
    <t>定义角色与分配权限</t>
    <phoneticPr fontId="27" type="noConversion"/>
  </si>
  <si>
    <r>
      <rPr>
        <sz val="14"/>
        <rFont val="Times New Roman"/>
        <family val="2"/>
      </rPr>
      <t>​​</t>
    </r>
    <r>
      <rPr>
        <sz val="14"/>
        <rFont val="宋体"/>
        <family val="2"/>
        <scheme val="minor"/>
      </rPr>
      <t>业务线权限（3）→ 位置权限（3）→ 数据权限（4）</t>
    </r>
    <r>
      <rPr>
        <sz val="14"/>
        <rFont val="Times New Roman"/>
        <family val="2"/>
      </rPr>
      <t>​​</t>
    </r>
    <phoneticPr fontId="27" type="noConversion"/>
  </si>
  <si>
    <t>2.8.2 Role and permission |Configure function permission by role 配置角色的功能权限</t>
    <phoneticPr fontId="27" type="noConversion"/>
  </si>
  <si>
    <t>2.8.2.2 As Ops admin &amp; cashier, I need New POS will be able to configure function permission for each role, as an essential part of daily operations management.</t>
  </si>
  <si>
    <t>Assign feature permissions to grant privilege to role, enable to add, delete and modify.</t>
  </si>
  <si>
    <t>2.8.2.2 作为运营管理员和收银员，我需要新 POS 系统能够为每个角色配置功能权限，作为日常运营管理的重要组成部分。</t>
  </si>
  <si>
    <t>分配功能权限以授予角色权限，使其能够添加、删除和修改。</t>
    <phoneticPr fontId="27" type="noConversion"/>
  </si>
  <si>
    <t>配置角色的功能权限</t>
    <phoneticPr fontId="27" type="noConversion"/>
  </si>
  <si>
    <r>
      <t>功能权限管理（3）→ 角色权限分配（2）→ 权限验证生效（2）</t>
    </r>
    <r>
      <rPr>
        <sz val="14"/>
        <rFont val="Times New Roman"/>
        <family val="2"/>
      </rPr>
      <t>​</t>
    </r>
    <phoneticPr fontId="27" type="noConversion"/>
  </si>
  <si>
    <t>2.8.2 Role and permission |Configure data permission by role 配置角色的数据访问权限</t>
    <phoneticPr fontId="27" type="noConversion"/>
  </si>
  <si>
    <t>2.8.2.3 As Ops admin &amp; cashier, I need New POS will be able to configure data access permission for each role, as an essential part of daily operations management.</t>
  </si>
  <si>
    <t xml:space="preserve">Data in different location and business need to be separate by role permission. </t>
  </si>
  <si>
    <t>2.8.2.3 作为运营管理员和收银员，我需要新 POS 系统能够为每个角色配置数据访问权限，作为日常运营管理的重要组成部分。</t>
  </si>
  <si>
    <t>不同位置和业务中的数据需要按角色权限进行分离。</t>
    <phoneticPr fontId="27" type="noConversion"/>
  </si>
  <si>
    <t>配置角色的数据访问权限</t>
    <phoneticPr fontId="27" type="noConversion"/>
  </si>
  <si>
    <t>数据模型设计（3）→ 位置业务数据隔离（3）</t>
    <phoneticPr fontId="27" type="noConversion"/>
  </si>
  <si>
    <t>2.8.2 Role and permission |Audit privilege on permission isolation 权限隔离和审计</t>
    <phoneticPr fontId="27" type="noConversion"/>
  </si>
  <si>
    <t>2.8.2.4 As Ops admin &amp; cashier, I need New POS will be able to comply with audit requirements on different roles' permission , as an essential part of daily operations management.</t>
  </si>
  <si>
    <t>User permissions comply with audit requirements on segregation of duties.</t>
  </si>
  <si>
    <t>2.8.2.4 作为运营管理员和收银员，我需要新 POS 系统能够满足不同角色权限的审计要求，作为日常运营管理的重要组成部分。</t>
  </si>
  <si>
    <t>用户权限符合职责分离的审计要求。</t>
  </si>
  <si>
    <t>权限隔离和审计</t>
    <phoneticPr fontId="27" type="noConversion"/>
  </si>
  <si>
    <t>经得起公司内审、外审等的检查</t>
    <phoneticPr fontId="27" type="noConversion"/>
  </si>
  <si>
    <t>建议需要实现审计功能所涉及的人天小于权限功能本身</t>
    <phoneticPr fontId="27" type="noConversion"/>
  </si>
  <si>
    <t>2.8.3 Operations log|Record user log-in/off 保存登录日志</t>
    <phoneticPr fontId="27" type="noConversion"/>
  </si>
  <si>
    <t>2.8.3.1 As Ops admin, I need New POS will be able to record user log-in and log-off with location, terminal# and timestamp , as an essential part of daily operations management.</t>
    <phoneticPr fontId="27" type="noConversion"/>
  </si>
  <si>
    <t>Log can be searched and filtered by: IP, POS Terminal, account, login status, and date.</t>
  </si>
  <si>
    <t>2.8.3.1 作为运维管理员，我需要新 POS 系统能够记录用户登录和注销信息，包括位置、终端编号和时间戳，作为日常运营管理的重要组成部分。</t>
    <phoneticPr fontId="27" type="noConversion"/>
  </si>
  <si>
    <t>日志可以通过以下方式搜索和过滤：IP、POS 终端、帐户、登录状态和日期。</t>
    <phoneticPr fontId="27" type="noConversion"/>
  </si>
  <si>
    <t>记录用户登录和注销信息
审计采集（4）→ 数据存储（2）→ 查询功能（2）</t>
    <phoneticPr fontId="27" type="noConversion"/>
  </si>
  <si>
    <t>建议5人天，仅登录注销的日志记录，标准的CRUD功能，这里还涉及离线场景下，终端需要把日志记录在本地</t>
    <phoneticPr fontId="27" type="noConversion"/>
  </si>
  <si>
    <t>2.8 User permissions and auditing 用户权限与审计</t>
    <phoneticPr fontId="27" type="noConversion"/>
  </si>
  <si>
    <t>2.8.3 Log-in/off|Integrate w/ MyID account 集成Disney MyID账户</t>
    <phoneticPr fontId="27" type="noConversion"/>
  </si>
  <si>
    <t>2.8.3.1 As Ops admin &amp; cashier, I need New POS will be able to integrate with MyID for user account management, as an essential part of daily operations management.</t>
  </si>
  <si>
    <t>Frontline cast may not need MFA, while back of house cast needed MFA.</t>
  </si>
  <si>
    <t>MyID</t>
  </si>
  <si>
    <t>2.8.3.1 作为运营管理员和收银员，我需要新 POS 系统能够与 MyID 集成，用于用户账户管理，作为日常运营管理的重要组成部分。</t>
  </si>
  <si>
    <t>一线员工可能不需要 MFA，而后勤员工需要 MFA。</t>
  </si>
  <si>
    <t>集成Disney MyID账户</t>
    <phoneticPr fontId="27" type="noConversion"/>
  </si>
  <si>
    <t>集成，调试</t>
    <phoneticPr fontId="27" type="noConversion"/>
  </si>
  <si>
    <t>还涉及POS终端</t>
    <phoneticPr fontId="27" type="noConversion"/>
  </si>
  <si>
    <t>2.8.3 Operations log|Record account operation log 记录操作行为</t>
    <phoneticPr fontId="27" type="noConversion"/>
  </si>
  <si>
    <t>2.8.3.2 As Ops admin, I need New POS will be able to record user action in operations with location, terminal# and timestamp , as an essential part of daily operations management.</t>
    <phoneticPr fontId="27" type="noConversion"/>
  </si>
  <si>
    <t>Operation log keeps details of user operations, include: date, time, details operations.</t>
  </si>
  <si>
    <t>2.8.3.2 作为运维管理员，我需要新 POS 系统能够记录用户在运营中的操作，包括位置、终端编号和时间戳，作为日常运营管理的重要组成部分。</t>
  </si>
  <si>
    <t>操作日志保留用户操作的详细信息，包括：日期、时间、详细操作。</t>
    <phoneticPr fontId="27" type="noConversion"/>
  </si>
  <si>
    <t>log 记录操作行为</t>
    <phoneticPr fontId="27" type="noConversion"/>
  </si>
  <si>
    <t xml:space="preserve">操作日志 的增查 </t>
    <phoneticPr fontId="27" type="noConversion"/>
  </si>
  <si>
    <t>2.8.3 Log-in/off|Configure log-in method 多种登录方式</t>
    <phoneticPr fontId="27" type="noConversion"/>
  </si>
  <si>
    <t>2.8.3.2 As Ops admin &amp; cashier, I need New POS will be able to log-in with access control, as an essential part of daily operations management.</t>
  </si>
  <si>
    <t>Login by PERNER/employee card with password.</t>
  </si>
  <si>
    <t>2.8.3.2 作为运营管理员和收银员，我需要新 POS 系统能够通过访问控制登录，作为日常运营管理的重要组成部分。</t>
  </si>
  <si>
    <t>使用 PERNER/员工卡和密码登录。</t>
  </si>
  <si>
    <t>多种登录方式</t>
    <phoneticPr fontId="27" type="noConversion"/>
  </si>
  <si>
    <t>账户和密码登陆</t>
    <phoneticPr fontId="27" type="noConversion"/>
  </si>
  <si>
    <t>2.8.3 Operations log|Record API interaction log 记录API调用日志</t>
    <phoneticPr fontId="27" type="noConversion"/>
  </si>
  <si>
    <t>2.8.3.3 As Ops admin, I need New POS will be able to record API action system sync with feedback and timestamp , as an essential part of daily operations management.</t>
    <phoneticPr fontId="27" type="noConversion"/>
  </si>
  <si>
    <t>2.8.3.3 作为运维管理员，我需要新 POS 系统能够记录 API 操作的系统同步情况，包括反馈信息和时间戳，作为日常运营管理的重要组成部分。</t>
  </si>
  <si>
    <t xml:space="preserve"> log 记录API调用日志</t>
    <phoneticPr fontId="27" type="noConversion"/>
  </si>
  <si>
    <t>记录所有API交互操作，这个数据日志输出，和功能无关，统一拦截</t>
    <phoneticPr fontId="27" type="noConversion"/>
  </si>
  <si>
    <t>建议40人天，这里是指所有API，对接20多个系统，2人天肯定不够，同时应该还需要在Admin Portal上展示，导出</t>
    <phoneticPr fontId="27" type="noConversion"/>
  </si>
  <si>
    <t>2.8.3 Log-in/off|Configure password policy 更改登陆密码</t>
    <phoneticPr fontId="27" type="noConversion"/>
  </si>
  <si>
    <t>2.8.3.3 As Ops admin &amp; cashier, I need New POS will be able to manage user password by user/administrator, as an essential part of daily operations management.</t>
  </si>
  <si>
    <t>Comply with password rules and regulation in changing.</t>
  </si>
  <si>
    <t>2.8.3.3 作为运营管理员和收银员，我需要新 POS 系统能够由用户/管理员管理用户密码，作为日常运营管理的重要组成部分。</t>
    <phoneticPr fontId="27" type="noConversion"/>
  </si>
  <si>
    <t>在更改时遵守密码规则和规定。</t>
  </si>
  <si>
    <t>更改登陆密码</t>
    <phoneticPr fontId="27" type="noConversion"/>
  </si>
  <si>
    <t>涉及POS终端，POS端用户可以改自己的密码</t>
    <phoneticPr fontId="27" type="noConversion"/>
  </si>
  <si>
    <t>2.8.3 Operations log|View and export log 查询与导出日志</t>
    <phoneticPr fontId="27" type="noConversion"/>
  </si>
  <si>
    <t>2.8.3.4 As Ops admin, I need New POS will be able to view and export user log in two years, as an essential part of daily operations management.</t>
  </si>
  <si>
    <t>1. Configure authorization method for use log view and export
2. Log retention is two years</t>
  </si>
  <si>
    <t>2.8.3.4 作为运维管理员，我需要新 POS 系统能够查看和导出两年内的用户登录记录，作为日常运营管理的重要组成部分。</t>
  </si>
  <si>
    <t>1. 配置用于使用日志查看和导出的授权方法
2. 日志保留期为两年</t>
  </si>
  <si>
    <t xml:space="preserve"> log 查询与导出日志</t>
    <phoneticPr fontId="27" type="noConversion"/>
  </si>
  <si>
    <t>建议5人天，查看导出功能要不了这么多</t>
    <phoneticPr fontId="27" type="noConversion"/>
  </si>
  <si>
    <t>2.8.3 Log-in/off|Configure log-off idle time 配置登出时效</t>
    <phoneticPr fontId="27" type="noConversion"/>
  </si>
  <si>
    <t>2.8.3.4 As Ops admin &amp; cashier, I need New POS will be able to configure sign-off rules(manual &amp; auto), as an essential part of daily operations management.</t>
    <phoneticPr fontId="27" type="noConversion"/>
  </si>
  <si>
    <t>User session can be log -off manually, and will be auto sign-off if no interaction in certain idle timeslot.</t>
  </si>
  <si>
    <t>2.8.3.4 作为运营管理员和收银员，我要求新POS系统必须能够设置签退规则（包括手动和自动模式），这是日常运营管理中不可或缺的一部分。</t>
    <phoneticPr fontId="27" type="noConversion"/>
  </si>
  <si>
    <t>用户会话可以手动注销，如果在特定空闲时段内没有交互，则会自动注销。</t>
  </si>
  <si>
    <t xml:space="preserve"> 配置登出时效</t>
    <phoneticPr fontId="27" type="noConversion"/>
  </si>
  <si>
    <t>2.9 Terminals and peripherals 终端与外设</t>
  </si>
  <si>
    <t>2.9.1 POS Terminals|Configure terminals 配置终端</t>
    <phoneticPr fontId="27" type="noConversion"/>
  </si>
  <si>
    <t>2.9.1.1 As Ops admin, I need New POS will be able to configure POS terminal and switch location independently and without hardware change, as to fulfill operations sustainment requirements.</t>
  </si>
  <si>
    <t>1. Mitigate main-sub terminal relationship in same location
2. Enable to switch location without changing hard drive, even cross legal entity.</t>
  </si>
  <si>
    <t>Hardware</t>
  </si>
  <si>
    <t>2.9.1.1 作为运维管理员，我希望 New POS 能够独立配置 POS 终端并进行门店位置切换，而无需更换硬件，以满足运维保障的要求。</t>
    <phoneticPr fontId="27" type="noConversion"/>
  </si>
  <si>
    <t>1.弱化同一门店内主-子终端间的强依赖关系
2.支持在不更换硬盘的情况下切换运营点位（包括跨法人实体切换）</t>
    <phoneticPr fontId="27" type="noConversion"/>
  </si>
  <si>
    <t>配置终端</t>
    <phoneticPr fontId="27" type="noConversion"/>
  </si>
  <si>
    <t>1.弱化同一门店内主-子终端间的强依赖关系
2.不更换硬盘切换运营点位（包括跨法人实体切换）</t>
    <phoneticPr fontId="27" type="noConversion"/>
  </si>
  <si>
    <t>需要确认切换的底层逻辑是什么</t>
    <phoneticPr fontId="27" type="noConversion"/>
  </si>
  <si>
    <t>2.9.1 POS Terminals|Multi-size screen compatibility 多尺寸屏幕兼容</t>
    <phoneticPr fontId="27" type="noConversion"/>
  </si>
  <si>
    <t>2.9.1.2 As Ops admin, I need New POS will be able to support multi-size screen devices as POS terminal, as to fulfill operations sustainment requirements.</t>
  </si>
  <si>
    <t>include fix POS for Micros and Simphony, and tablet "Panasonic", hardware will not refresh via this project</t>
  </si>
  <si>
    <t>2.9.1.2 作为运维管理员，我需要新 POS 系统能够支持多尺寸屏幕设备作为 POS 终端，以满足运维持续性的要求。</t>
  </si>
  <si>
    <t>包括修复 Micros 和 Simphony 的固定 POS，以及平板电脑“Panasonic”，硬件不会通过此项目刷新</t>
  </si>
  <si>
    <t>多尺寸屏幕兼容</t>
    <phoneticPr fontId="27" type="noConversion"/>
  </si>
  <si>
    <t>POS APP 尺寸兼容</t>
    <phoneticPr fontId="27" type="noConversion"/>
  </si>
  <si>
    <t xml:space="preserve">Android </t>
    <phoneticPr fontId="27" type="noConversion"/>
  </si>
  <si>
    <t>建议30人天，如果无自适应框架能够使用，不同尺寸的适配比较复杂</t>
    <phoneticPr fontId="27" type="noConversion"/>
  </si>
  <si>
    <t>2.9.1 POS Terminals|Device expansion and support 外设支持和扩展</t>
    <phoneticPr fontId="27" type="noConversion"/>
  </si>
  <si>
    <t>2.9.1.3 As Ops admin, I need New POS will be able to compatible with mainstream peripheral device, and deploy and manage of devices across software platforms , as to fulfill operations sustainment requirements.</t>
  </si>
  <si>
    <t>1. Enable to compatible with mainstream peripheral devices of various models, such as receipt printers, RFID readers, scanners, cash draw, and etc.
2. Enable to deploy and manage of devices across platforms including Windows, Linux, and provides USB, Bluetooth, Wi-Fi, 4G/5G and other communication interfaces to adapt to different deployment environments.</t>
  </si>
  <si>
    <t>2.9.1.3 作为运维管理员，我希望 New POS 能够兼容主流外设设备，并能够在不同的软件平台上进行设备的部署与管理，以满足运维保障的要求。</t>
  </si>
  <si>
    <t>1. 能够与各种型号的主流外围设备兼容，例如收据打印机、RFID 阅读器、扫描仪、钱箱等。
2. 能够跨平台部署和管理设备，包括 Windows、Linux，并提供 USB、蓝牙、Wi-Fi、4G/5G 和其他通信接口，以适应不同的部署环境。</t>
    <phoneticPr fontId="27" type="noConversion"/>
  </si>
  <si>
    <t>1. 硬件team会基于OS层面连接蓝牙打印机。
2. New POS不直接使用原厂驱动的方式连接对应硬件，考虑使用硬件team提供的sdk或网络接口连接，以减少硬件更换升级时产生的技术债。</t>
  </si>
  <si>
    <t>OS接管蓝牙硬件连接，需要与vendor同步</t>
  </si>
  <si>
    <t>外设支持和扩展</t>
    <phoneticPr fontId="27" type="noConversion"/>
  </si>
  <si>
    <t>1.主流外围设备兼容（5）
2.跨平台部署和管理设备（5）
这个我理解是Android功能设备兼容</t>
    <phoneticPr fontId="27" type="noConversion"/>
  </si>
  <si>
    <t>2.9.1 POS Terminals|Device manage and monitor 管理和监控设备状态</t>
    <phoneticPr fontId="27" type="noConversion"/>
  </si>
  <si>
    <t>2.9.1.4 As Ops admin, I need New POS will be able to manage and monitor devices with a unified management platform, as to fulfill operations sustainment requirements.</t>
  </si>
  <si>
    <r>
      <t xml:space="preserve">1. Enable to manage devices -- POS terminals, BOT, cash draw, scanner and receipt printers etc. via a unified Web or C/S architecture management platform.
2. Enable to remotely monitor device status and perform troubleshooting by display device type, IP, online status, user login status, application version, installation location, etc., Monitor log can be export.
</t>
    </r>
    <r>
      <rPr>
        <b/>
        <sz val="14"/>
        <rFont val="宋体"/>
        <family val="2"/>
        <scheme val="minor"/>
      </rPr>
      <t>3. Able to silent processing of software distribution, patch deployment, drivers, and application updates.</t>
    </r>
  </si>
  <si>
    <t>2.9.1.4 作为运维管理员，我希望 New POS 能够通过统一的管理平台对设备进行管理和监控，以满足运维保障的需求。</t>
  </si>
  <si>
    <t>1. 能够通过统一的 Web 或 C/S 架构管理平台管理设备 - POS 终端、BOT、钱箱、扫描仪和收据打印机等。
2. 能够通过显示设备类型、IP、在线状态、用户登录状态、应用程序版本、安装位置等来远程监控设备状态并执行故障排除，监控日志可以导出。
3. 能够静默处理软件分发、补丁部署、驱动程序和应用程序更新。</t>
    <phoneticPr fontId="27" type="noConversion"/>
  </si>
  <si>
    <t xml:space="preserve">
New POS软件安装管理需要支持windows和android系统，IOS的优先级低不太会选，但建议先把cost估算进去</t>
  </si>
  <si>
    <t>管理和监控设备状态</t>
    <phoneticPr fontId="27" type="noConversion"/>
  </si>
  <si>
    <t>1. 统一平台管理设备。
2. 故障排除，监控日志可以导出。
3. 能够静默更新。
人理解需要每个硬件和平台集成需要大量工作量，按照设备种类估算的时间和调试时间。</t>
    <phoneticPr fontId="27" type="noConversion"/>
  </si>
  <si>
    <t>2.9.1 POS Terminals|Multilingual UI on screen and receipt 多语言支持</t>
    <phoneticPr fontId="27" type="noConversion"/>
  </si>
  <si>
    <t>2.9.1.5 As Ops admin &amp; cashier, I need New POS will be able to switch language between EN and CN for both frontend and backend , as to process daily sales operations.</t>
  </si>
  <si>
    <t>Default language is CN, for both terminal screen and receipt language</t>
  </si>
  <si>
    <t>2.9.1.5 作为运营管理员和收银员，我需要新 POS 系统能够在前端和后端之间切换 EN 和 CN 语言，以便处理日常销售操作。</t>
  </si>
  <si>
    <t>终端屏幕和收据语言的默认语言均为中文</t>
  </si>
  <si>
    <t>多语言支持体力活</t>
    <phoneticPr fontId="27" type="noConversion"/>
  </si>
  <si>
    <t>Android &amp; Front-End</t>
    <phoneticPr fontId="27" type="noConversion"/>
  </si>
  <si>
    <t>建议30人天，系统功能过多，每个模块的中英文适配合并后工作量不小</t>
    <phoneticPr fontId="27" type="noConversion"/>
  </si>
  <si>
    <t>2.9.1 POS Terminals|Enable/Disable cash drawer 钱箱启用开关</t>
    <phoneticPr fontId="27" type="noConversion"/>
  </si>
  <si>
    <t>2.9.1.6 As Ops cashier, I need New POS will be able to configure cash draw on terminal level, as to fulfill operations sustainment requirements.</t>
  </si>
  <si>
    <t>2.9.1.6 作为收银员，我需要新 POS 系统能够在终端级别配置钱箱，以满足运营维护需求。</t>
  </si>
  <si>
    <t>钱箱启用开关</t>
    <phoneticPr fontId="27" type="noConversion"/>
  </si>
  <si>
    <t>收银员如何配置其他终端钱箱？是否只有开关功能点？
是，只配置当前设备</t>
  </si>
  <si>
    <t>2.9.2 Peripherals - receipt printer|Configure guest receipt printers 管理对客小票打印机</t>
    <phoneticPr fontId="27" type="noConversion"/>
  </si>
  <si>
    <t>2.9.2.1 As Ops admin &amp; cashier, I need New POS will be able to configure receipt printer with detail settings, as to fulfill operations sustainment requirements.</t>
  </si>
  <si>
    <t xml:space="preserve">1. Product printing rule setting in POS backend and pass to printer via terminal.
2. Enable connect to receipt printer by Bluetooth </t>
  </si>
  <si>
    <t>2.9.2.1 作为运维管理员和收银员，我希望 New POS 能够对小票打印机进行详细配置设置，以满足运维保障的要求。</t>
  </si>
  <si>
    <t>1. 在 POS 后端设置产品打印规则，并通过终端传递到打印机。
2. 启用通过蓝牙连接到收据打印机</t>
    <phoneticPr fontId="27" type="noConversion"/>
  </si>
  <si>
    <t>管理对客小票打印机</t>
    <phoneticPr fontId="27" type="noConversion"/>
  </si>
  <si>
    <t>双端打印产品</t>
    <phoneticPr fontId="27" type="noConversion"/>
  </si>
  <si>
    <t>仅与2.9.2.2对比</t>
    <phoneticPr fontId="27" type="noConversion"/>
  </si>
  <si>
    <t>2.9.2 Peripherals - receipt printer|Configure kitchen receipt printer 设置厨房打印机</t>
    <phoneticPr fontId="27" type="noConversion"/>
  </si>
  <si>
    <t>2.9.2.2 As FnB admin &amp; cashier, I need New POS will be able to configure kitchen printers with detailed settings, as to fulfill operations sustainment requirements.</t>
  </si>
  <si>
    <t>Include: printer code name and type, with printer settings, printer classes settings, corresponding item settings, print rule settings, print job distribution rule settings.</t>
  </si>
  <si>
    <t>2.9.2.2 作为餐饮部管理员和收银员，我需要新 POS 系统能够配置厨房打印机并进行详细设置，以满足运营维护需求。</t>
    <phoneticPr fontId="27" type="noConversion"/>
  </si>
  <si>
    <t>包括：打印机代码名称和类型，以及打印机设置、打印机类别设置、相应的项目设置、打印规则设置、打印作业分配规则设置。</t>
    <phoneticPr fontId="27" type="noConversion"/>
  </si>
  <si>
    <t>设置厨房打印机</t>
    <phoneticPr fontId="27" type="noConversion"/>
  </si>
  <si>
    <t>打印机本身规则设置</t>
    <phoneticPr fontId="27" type="noConversion"/>
  </si>
  <si>
    <t>理论上厨房打印机比对客打印机更复杂，建议对比2.9.2.1</t>
    <phoneticPr fontId="27" type="noConversion"/>
  </si>
  <si>
    <t>2.9.2 Peripherals - receipt printer|Print kitchen receipt 打印厨房小票</t>
    <phoneticPr fontId="27" type="noConversion"/>
  </si>
  <si>
    <t>2.9.2.3 As FnB admin &amp; cashier, I need New POS will be able to process kitchen receipt printing, as to fulfill operations sustainment requirements.</t>
  </si>
  <si>
    <t>1. Enable relationship between the meals types and kitchen printer: send print task to configured kitchen printer by different meal types.
2. Process printing with label content with template, including: SKU name, remarks.</t>
    <phoneticPr fontId="27" type="noConversion"/>
  </si>
  <si>
    <t>2.9.2.3 作为餐饮管理员及收银员，我需要新的POS系统能够处理厨房小票打印任务，以满足运营持续性需求。</t>
    <phoneticPr fontId="27" type="noConversion"/>
  </si>
  <si>
    <t>1. 实现餐品类型与厨房打印机之间的关联：根据不同的餐品类型将打印任务发送至已配置的厨房打印机。2. 带有模板的标签内容的印刷流程，包括：商品条形码名称、备注等。</t>
    <phoneticPr fontId="27" type="noConversion"/>
  </si>
  <si>
    <t>打印厨房小票</t>
    <phoneticPr fontId="27" type="noConversion"/>
  </si>
  <si>
    <t>配置餐品打印在2.9.2.1中，只是执行任务</t>
    <phoneticPr fontId="27" type="noConversion"/>
  </si>
  <si>
    <t>2.9.2 Peripherals - receipt printer|Manage/monitor kitchen receipt printer 管理/监控厨房打印机</t>
    <phoneticPr fontId="27" type="noConversion"/>
  </si>
  <si>
    <t>2.9.2.4 As FnB admin &amp; cashier, I need New POS will be able to manage/monitor receipt printer, as to fulfill operations sustainment requirements.</t>
  </si>
  <si>
    <t>1. Link and identify printing devices by serial number, IP address, etc., and check printer status and modify settings as needed.
2. Enable to automatic printing by orders both from POS when order saved -- sync POS orders and send orders to respective printers.
3. Monitor printer status and switch to backup printer when outage occurred.</t>
  </si>
  <si>
    <t>2.9.2.4 作为餐饮管理员和收银员，我希望 New POS 能够对小票打印机进行管理和监控，以满足运维保障的要求。</t>
    <phoneticPr fontId="27" type="noConversion"/>
  </si>
  <si>
    <t>1. 通过序列号、IP地址等链接和识别打印设备，并根据需要检查打印机状态和修改设置。
2. 启用通过POS保存订单时自动打印订单 - 同步POS订单并将订单发送到相应的打印机。
3. 监控打印机状态，并在发生故障时切换到备用打印机。</t>
  </si>
  <si>
    <t>网络打印机需要待确认具体方案走应用还是OS？</t>
  </si>
  <si>
    <t>管理/监控厨房打印机</t>
    <phoneticPr fontId="27" type="noConversion"/>
  </si>
  <si>
    <t>此处需求和2.9.1.4的设备管理无关，这个是厨房打印机监控管理</t>
    <phoneticPr fontId="27" type="noConversion"/>
  </si>
  <si>
    <t>2.9.3 Peripherals-payment(BOT)|Configure BOT payment 配置BOT支付</t>
    <phoneticPr fontId="27" type="noConversion"/>
  </si>
  <si>
    <t>2.9.3.1 As Ops admin &amp; cashier, I need New POS will be able to configure BOT for bankcard payment and contingency payment, as to fulfill operations sustainment requirements.</t>
  </si>
  <si>
    <t>1. BOT device support payment and refund through domestic and foreign cards.
2. BOT backend manage contingency code for POS offline.</t>
  </si>
  <si>
    <t>2.9.3.1 作为运营管理员和收银员，我需要新 POS 系统能够配置银行卡支付和应急支付的 BOT，以满足运营持续性的要求。</t>
  </si>
  <si>
    <t>1. BOT设备支持通过国内外银行卡进行支付和退款。
2. BOT后端管理POS离线时的应急代码。</t>
    <phoneticPr fontId="27" type="noConversion"/>
  </si>
  <si>
    <t>Lucky &amp; Vetas &amp; Lucas</t>
  </si>
  <si>
    <t>配置BOT支付</t>
    <phoneticPr fontId="27" type="noConversion"/>
  </si>
  <si>
    <t>1. 外卡支付和退款。(2)
2. BOT后端管理POS离线时的应急代码。(1)
外卡支付。 测试阶段会麻烦，极少数人有外卡，需要提早申请。
但是在这个需要上是我们是对接方。</t>
    <phoneticPr fontId="27" type="noConversion"/>
  </si>
  <si>
    <t>2.9.3 Peripherals-payment(BOT)|Monitor BOT status 监控BOT状态</t>
    <phoneticPr fontId="27" type="noConversion"/>
  </si>
  <si>
    <t>2.9.3.2 As Ops admin &amp; cashier, I need New POS will be able to monitor BOT payment and keep log, as to fulfill operations sustainment requirements.</t>
  </si>
  <si>
    <t xml:space="preserve">Enable to log detailed records for BOT action, including login time, usage time, payment details, contingency mode, etc. </t>
    <phoneticPr fontId="27" type="noConversion"/>
  </si>
  <si>
    <t>2.9.3.2 作为运营管理员和收银员，我需要新 POS 系统能够监控 BOT 支付并保留日志，以满足运营维护要求。</t>
  </si>
  <si>
    <t>能够记录有关 BOT 操作的详细信息，包括登录时间、使用时间、支付详情、应急模式等</t>
    <phoneticPr fontId="27" type="noConversion"/>
  </si>
  <si>
    <t>监控BOT状态</t>
    <phoneticPr fontId="27" type="noConversion"/>
  </si>
  <si>
    <t>BOT自身log</t>
    <phoneticPr fontId="27" type="noConversion"/>
  </si>
  <si>
    <t>2.9.3 Peripherals-payment(BOT)|Switch BOT network 切换网络模式</t>
    <phoneticPr fontId="27" type="noConversion"/>
  </si>
  <si>
    <t>2.9.3.3 As Ops admin &amp; cashier, I need New POS will be able to switch BOT connection to 4G when POS network is unavailable, as to fulfill operations sustainment requirements.</t>
  </si>
  <si>
    <t>BOT device can be switch to 4G network through the contingency mode on POS, and payment can be collected by scanning.</t>
  </si>
  <si>
    <t>2.9.3.3 作为运营管理员和收银员，我需要新 POS 能够在 POS 网络不可用时切换到 4G 连接，以满足业务持续运营的要求。</t>
  </si>
  <si>
    <t>BOT设备可以通过POS上的应急模式切换到4G网络，并且可以通过扫描收款。</t>
  </si>
  <si>
    <t>切换网络模式</t>
    <phoneticPr fontId="27" type="noConversion"/>
  </si>
  <si>
    <t>网络升级</t>
    <phoneticPr fontId="27" type="noConversion"/>
  </si>
  <si>
    <t>3. Enhanced functions for SHDR 增强功能-SHDR业务</t>
  </si>
  <si>
    <t>3.1 Enhanced Merch product sales 商品销售增强</t>
  </si>
  <si>
    <t>3.1.1 Merch foundation data|Display product images and names 显示商品图片和名称</t>
  </si>
  <si>
    <t>3.1.1.1 As Merch cashier, I need New POS will be able to display item image and name in sales and return, as to process shopping in store ordering efficiently.</t>
  </si>
  <si>
    <r>
      <rPr>
        <b/>
        <sz val="14"/>
        <rFont val="宋体"/>
        <family val="2"/>
        <scheme val="minor"/>
      </rPr>
      <t>Interface-SIMBA, hourly and on demand near real-time, as to near real-time sync in park opening(6:00-23:00)</t>
    </r>
    <r>
      <rPr>
        <sz val="14"/>
        <rFont val="宋体"/>
        <family val="2"/>
        <scheme val="minor"/>
      </rPr>
      <t xml:space="preserve">
1. Show long name, short name, and description
2. Display item thumbnail picture and name by default, click to display large image.</t>
    </r>
  </si>
  <si>
    <t>3.1.1.1 作为收银员，我需要新 POS 系统能够在销售和退货时显示商品图片和名称，以便高效处理店内订单。</t>
    <phoneticPr fontId="27" type="noConversion"/>
  </si>
  <si>
    <t>接口-SIMBA，每小时和按需近实时，至于园区开放时间（6:00-23:00）的近实时同步
1. 显示长名称、短名称和描述
2. 默认显示项目缩略图和名称，点击显示大图。</t>
    <phoneticPr fontId="27" type="noConversion"/>
  </si>
  <si>
    <t>展示的图片需要调Simba服务下载</t>
  </si>
  <si>
    <t>在销售和退货时显示商品图片和名称</t>
    <phoneticPr fontId="27" type="noConversion"/>
  </si>
  <si>
    <t>显示长名称、短名称和描述
默认显示项目缩略图和名称，点击显示大图。
因为POS是被同步方不需要考虑同步时间。</t>
    <phoneticPr fontId="27" type="noConversion"/>
  </si>
  <si>
    <t>这里不需要带上Simba同步的工时，数据是统一同步的</t>
    <phoneticPr fontId="27" type="noConversion"/>
  </si>
  <si>
    <t>3.1.1 Merch foundation data|Display product validity period 显示商品有效期</t>
  </si>
  <si>
    <t>3.1.1.2 As Merch cashier, I need New POS will be able to display and prompt near-expiry SKU in add item to shopping list, as to make sure no near-expiry product in shopping list.</t>
  </si>
  <si>
    <r>
      <rPr>
        <b/>
        <sz val="14"/>
        <rFont val="宋体"/>
        <family val="2"/>
        <scheme val="minor"/>
      </rPr>
      <t>Interface-SIMBA, hourly and on demand near real-time, as to near real-time sync in park opening(6:00-23:00)</t>
    </r>
    <r>
      <rPr>
        <sz val="14"/>
        <rFont val="宋体"/>
        <family val="2"/>
        <scheme val="minor"/>
      </rPr>
      <t xml:space="preserve">
1. Sync product foundation data from SIMBA to get expiration date by production date and shelf life, also can manual set item expiration date.
2. Configure return/exchange product within N day limit as term return and exchange policy.
3. Aligned with SIMBA on date calculation and expiration setup.</t>
    </r>
  </si>
  <si>
    <t>3.1.1.2 作为商户收银员，我要求新POS系统能够在添加商品到购物清单时显示并提示即将过期的商品，以确保购物清单中没有即将过期的商品。</t>
    <phoneticPr fontId="27" type="noConversion"/>
  </si>
  <si>
    <r>
      <rPr>
        <b/>
        <sz val="14"/>
        <rFont val="宋体"/>
        <family val="2"/>
        <scheme val="minor"/>
      </rPr>
      <t>接口-SIMBA，每小时和按需近实时，与乐园开放时间（6:00-23:00）的近实时同步
1. 从SIMBA同步产品基础数据，以获取按生产日期和保质期计算的到期日，也可以手动设置商品到期日。
2. 将N天内的退货/换货产品配置为定期退货和换货政策。
3. 与SIMBA在日期计算和到期设置上保持一致。</t>
    </r>
    <r>
      <rPr>
        <sz val="14"/>
        <rFont val="宋体"/>
        <family val="2"/>
        <scheme val="minor"/>
      </rPr>
      <t/>
    </r>
  </si>
  <si>
    <t>从Simba同步有效期，并且保持效期计算规则一致
只有过期日，POS上需要提醒商品将过期</t>
  </si>
  <si>
    <t>购物清单中提示即将过期的 SKU</t>
    <phoneticPr fontId="27" type="noConversion"/>
  </si>
  <si>
    <t xml:space="preserve"> 
1.加购物清单时校验过期时间
2.设置定期功能
</t>
    <phoneticPr fontId="27" type="noConversion"/>
  </si>
  <si>
    <t>3.1.1 Merch foundation data|Display availability status 显示可售状态</t>
  </si>
  <si>
    <t>3.1.1.3 As Merch cashier, I need New POS will be able to display product sales saleable on screen with blocking checkout if it is not saleable, as to make sure non-saleable product in shopping list.</t>
  </si>
  <si>
    <r>
      <rPr>
        <b/>
        <sz val="14"/>
        <rFont val="宋体"/>
        <family val="2"/>
        <scheme val="minor"/>
      </rPr>
      <t>Interface-SIMBA, hourly and on demand near real-time, as to near real-time sync in park opening(6:00-23:00)</t>
    </r>
    <r>
      <rPr>
        <sz val="14"/>
        <rFont val="宋体"/>
        <family val="2"/>
        <scheme val="minor"/>
      </rPr>
      <t xml:space="preserve">
Set item sales unavailable if data and timestamp is not in effective time period.</t>
    </r>
  </si>
  <si>
    <t>3.1.1.3 作为收银员，我需要新 POS 系统能够在屏幕上显示可销售的产品，如果产品不可销售则阻止结账，以确保购物清单中的产品都是可销售的。</t>
    <phoneticPr fontId="27" type="noConversion"/>
  </si>
  <si>
    <t>接口-SIMBA，每小时和按需近实时，至于园区开放时间（6:00-23:00）的近实时同步
如果数据和时间戳不在有效时间段内，则设置项目销售不可用。</t>
    <phoneticPr fontId="27" type="noConversion"/>
  </si>
  <si>
    <t>POS 系统能够在屏幕上显示可销售的产品，如果产品不可销售则阻止结账</t>
    <phoneticPr fontId="27" type="noConversion"/>
  </si>
  <si>
    <t>前后端都要阻断校验，考虑QA跨平台测试</t>
    <phoneticPr fontId="27" type="noConversion"/>
  </si>
  <si>
    <t>3.1.2 Park emerging sales|Record ODV sales 回录ODV销售</t>
    <phoneticPr fontId="27" type="noConversion"/>
  </si>
  <si>
    <t>3.1.2.1 As Ops cashier, I need New POS will be able to record ODV sales as current practice after ODV operations closed, as to process shopping in ODV ordering.</t>
  </si>
  <si>
    <t>Merch: Invengo medallion/capsule vending machine/photopass
Due to hardware is not in project scope, ODV hardware will not be changed.</t>
  </si>
  <si>
    <t>3.1.2.1 作为运营收银员，我需要在新 POS 系统关闭 ODV 运营后，仍能按照现行做法记录 ODV 销售，以便处理 ODV 订单购物。</t>
    <phoneticPr fontId="27" type="noConversion"/>
  </si>
  <si>
    <t>商品：Invengo徽章/胶囊自动售货机/照片通行证
由于硬件不在项目范围内，因此ODV硬件不会更改。</t>
    <phoneticPr fontId="27" type="noConversion"/>
  </si>
  <si>
    <t>需要在新 POS 系统关闭 ODV 运营后，仍能按照现行做法记录 ODV 销售，以便处理 ODV 订单购物</t>
    <phoneticPr fontId="27" type="noConversion"/>
  </si>
  <si>
    <t>PM: ODV销售的现行做法是什么？</t>
    <phoneticPr fontId="27" type="noConversion"/>
  </si>
  <si>
    <t>3.1.2 Park emerging sales|Exchange game prizes 游戏兑奖</t>
    <phoneticPr fontId="27" type="noConversion"/>
  </si>
  <si>
    <t>3.1.2.2 As Merch cashier, I need New POS will be able to record game sales with prizes redeem for transaction and inventory sync, as to process shopping in game ordering.</t>
  </si>
  <si>
    <t>1. Guest purchase game SKU and redeem prize by transaction.
2. Cast scan guest's receipt barcode to link to order and redeem prize, with prize inventory deduction.</t>
  </si>
  <si>
    <t>3.1.2.2 作为 Merch 收银员，我需要新 POS 系统能够记录带有奖品兑换的游戏销售，并进行交易和库存同步，以便处理游戏内订单购物。</t>
    <phoneticPr fontId="27" type="noConversion"/>
  </si>
  <si>
    <t>1.游客购买游戏类SKU后，可通过交易凭证兑换奖品。
2.工作人员扫描游客收据条码关联至相应订单并完成兑奖操作，系统同步扣减奖品库存。</t>
    <phoneticPr fontId="27" type="noConversion"/>
  </si>
  <si>
    <t>游戏兑奖</t>
    <phoneticPr fontId="27" type="noConversion"/>
  </si>
  <si>
    <t>游戏销售→ 奖品兑换→ 库存同步（10）</t>
    <phoneticPr fontId="27" type="noConversion"/>
  </si>
  <si>
    <t>肯定会涉及Admin Portal配置</t>
    <phoneticPr fontId="27" type="noConversion"/>
  </si>
  <si>
    <t>3.1.2 Park emerging sales|Deposit for stroller 童车押金</t>
  </si>
  <si>
    <t>3.1.2.3 As Merch cashier, I need New POS will be able to record deposit for stroller rent transaction, as to process shopping in rent service ordering.</t>
  </si>
  <si>
    <t>Enable deposit for rental like baby stroller, include: receive/return deposit with rent/return stroller, overtime cost calculation(deduct from deposit)</t>
  </si>
  <si>
    <t>3.1.2.3 作为收银员，我需要新 POS 系统能够记录婴儿车租赁交易的押金，以便处理租赁服务订单中的购物。</t>
    <phoneticPr fontId="27" type="noConversion"/>
  </si>
  <si>
    <t>启用婴儿车等租赁物品的押金功能，包括：收取/退还押金以及租赁/退还婴儿车，计算加班费用（从押金中扣除）</t>
    <phoneticPr fontId="27" type="noConversion"/>
  </si>
  <si>
    <t>新 POS 系统能够记录婴儿车租赁交易的押金</t>
    <phoneticPr fontId="27" type="noConversion"/>
  </si>
  <si>
    <t>租赁管理（4）→ 归还结算</t>
    <phoneticPr fontId="27" type="noConversion"/>
  </si>
  <si>
    <t>3.1.2 Park emerging sales|Deposit for restaurant 餐厅定金</t>
  </si>
  <si>
    <t>3.1.2.4 As FnB admin, I need New POS will be able to record deposit for restaurant/meal reservation, as to fulfill reservation requirements in restaurant.</t>
  </si>
  <si>
    <t>Enable deposit for TSR reservation, include: receive/return deposit for reservation.</t>
    <phoneticPr fontId="27" type="noConversion"/>
  </si>
  <si>
    <t>3.1.2.4 作为餐饮管理员，我需要新 POS 系统能够记录餐厅/餐饮预订的定金，以满足餐厅的预订要求。</t>
    <phoneticPr fontId="27" type="noConversion"/>
  </si>
  <si>
    <t>启用TSR预订的押金功能，包括：接收/退还预订押金。</t>
    <phoneticPr fontId="27" type="noConversion"/>
  </si>
  <si>
    <t>新 POS 系统能够记录餐厅/餐饮预订的定金</t>
    <phoneticPr fontId="27" type="noConversion"/>
  </si>
  <si>
    <t>TSR集成 → 押金收取→ 退款处理</t>
    <phoneticPr fontId="27" type="noConversion"/>
  </si>
  <si>
    <t>预定是在哪里预定？admin？是否需要其他系统集成？钱怎么收取？
到店预约之后用餐，直接付押金</t>
  </si>
  <si>
    <t>3.1.3 RFID-powered sales|Scan RFID to add products 读取RFID商品</t>
  </si>
  <si>
    <t>3.1.3.1 As Merch cashier, I need New POS will be able to read product RFID and sync to POS terminal in items batch scan, as to process shopping in store ordering efficiently and mitigate refund abuse.</t>
  </si>
  <si>
    <r>
      <rPr>
        <b/>
        <sz val="14"/>
        <rFont val="宋体"/>
        <family val="2"/>
        <scheme val="minor"/>
      </rPr>
      <t xml:space="preserve">[Align with RFID EPIC]Interface-RFID, near real-time sync
</t>
    </r>
    <r>
      <rPr>
        <sz val="14"/>
        <rFont val="宋体"/>
        <family val="2"/>
        <scheme val="minor"/>
      </rPr>
      <t>1. Start RFID check-out by click POS button
2. Check item and its RFID status can be sold
3. Check item count with RFID scanned
4. Remove item by SKU during check-out (if needed)</t>
    </r>
  </si>
  <si>
    <t>RFID</t>
  </si>
  <si>
    <t>3.1.3.1 作为收银员，我需要新 POS 系统能够读取产品 RFID 并在商品批量扫描时同步到 POS 终端，以便高效处理店内订单并减少退款滥用。</t>
    <phoneticPr fontId="27" type="noConversion"/>
  </si>
  <si>
    <t>【与RFID EPIC对齐】接口-RFID，近实时同步
1. 单击POS按钮启动RFID结账
2. 检查商品及其RFID状态是否可以出售
3. 使用RFID扫描检查商品数量
4. 在结账期间按SKU移除商品（如果需要）</t>
    <phoneticPr fontId="27" type="noConversion"/>
  </si>
  <si>
    <t>新 POS 系统能够读取产品 RFID 并在商品批量扫描时同步到 POS 终端，以便高效处理店内订单并减少退款滥用。</t>
    <phoneticPr fontId="27" type="noConversion"/>
  </si>
  <si>
    <r>
      <rPr>
        <sz val="14"/>
        <rFont val="Times New Roman"/>
        <family val="2"/>
      </rPr>
      <t>​​</t>
    </r>
    <r>
      <rPr>
        <sz val="14"/>
        <rFont val="宋体"/>
        <family val="2"/>
        <scheme val="minor"/>
      </rPr>
      <t>状态验证 → 批量结账
不估算硬件集成
RFID接口同步</t>
    </r>
    <phoneticPr fontId="27" type="noConversion"/>
  </si>
  <si>
    <t>RFID整体工时分配前后矛盾，需要进一步解释，3.1.4.1的工时比3.1.3.1还高</t>
    <phoneticPr fontId="27" type="noConversion"/>
  </si>
  <si>
    <t>3.1.3 RFID-powered sales|Record the sales/return of RFID products 记录RFID商品销售和退货</t>
  </si>
  <si>
    <t>3.1.3.2 As Merch cashier, I need New POS will be able to record scanned product RFID with order transaction after checkout/payment, as to mitigate refund abuse and anti-theft.</t>
  </si>
  <si>
    <r>
      <rPr>
        <b/>
        <sz val="14"/>
        <rFont val="宋体"/>
        <family val="2"/>
        <scheme val="minor"/>
      </rPr>
      <t>[Align with RFID EPIC]Interface-RFID, near real-time sync</t>
    </r>
    <r>
      <rPr>
        <sz val="14"/>
        <rFont val="宋体"/>
        <family val="2"/>
        <scheme val="minor"/>
      </rPr>
      <t xml:space="preserve">
1. Update item RFID status as sold in store
2. Show RFID information in receipt</t>
    </r>
  </si>
  <si>
    <t>3.1.3.2 作为收银员，我需要新 POS 系统能够在结账/付款后记录已扫描商品的 RFID 与订单交易，以减少退款滥用和防盗。</t>
    <phoneticPr fontId="27" type="noConversion"/>
  </si>
  <si>
    <t>【与RFID EPIC对齐】接口-RFID，近实时同步
1. 将商品RFID状态更新为在商店中已售出
2. 在收据中显示RFID信息</t>
    <phoneticPr fontId="27" type="noConversion"/>
  </si>
  <si>
    <t>新 POS 系统能够在结账/付款后记录已扫描商品的 RFID 与订单交易</t>
    <phoneticPr fontId="27" type="noConversion"/>
  </si>
  <si>
    <t>1. 将商品RFID状态更新为在商店中已售出
2. 在收据中显示RFID信息</t>
    <phoneticPr fontId="27" type="noConversion"/>
  </si>
  <si>
    <t>同上</t>
    <phoneticPr fontId="27" type="noConversion"/>
  </si>
  <si>
    <t>3.1.3 RFID-powered sales|Configure RFID device 配置RFID设备</t>
  </si>
  <si>
    <t>3.1.3.3 As Merch cashier, I need New POS will be able to configure to enable/disable RFID checkout by store location, as to process shopping in store ordering efficiently and mitigate refund abuse.</t>
    <phoneticPr fontId="27" type="noConversion"/>
  </si>
  <si>
    <r>
      <rPr>
        <b/>
        <sz val="14"/>
        <rFont val="宋体"/>
        <family val="2"/>
        <scheme val="minor"/>
      </rPr>
      <t>[Align with RFID EPIC]Interface-RFID, near real-time sync</t>
    </r>
    <r>
      <rPr>
        <sz val="14"/>
        <rFont val="宋体"/>
        <family val="2"/>
        <scheme val="minor"/>
      </rPr>
      <t xml:space="preserve">
1. Configure to enable/disable RFID checkout, and enable RFID reader &amp; monitor status if is enable
2. RFID reader will be able to work offline
3. Record RFID status when RFID service offline and sync after its back online</t>
    </r>
  </si>
  <si>
    <t>3.1.3.3 作为收银员，我需要新 POS 系统能够按门店位置配置启用/禁用 RFID 结账功能，以便高效处理店内购物订单并减少退款滥用。</t>
  </si>
  <si>
    <r>
      <t>【与RFID EPIC对齐】接口-RFID，近实时同步
1. 配置以启用/禁用RFID结账，并在启用时启用RFID读取器并监控状态
2. RFID读取器将能够离线工作
3. 记录RFID服务离线时的RFID状态，并在恢复在线后同步</t>
    </r>
    <r>
      <rPr>
        <sz val="14"/>
        <rFont val="宋体"/>
        <family val="2"/>
        <scheme val="minor"/>
      </rPr>
      <t/>
    </r>
  </si>
  <si>
    <t>可以通过POS终端设置是否启用RFID结账，如果关闭RFID结账，只能扫条码，如果启用RFID结账，既可以扫条码也能读取RFID</t>
  </si>
  <si>
    <t>Dustin</t>
  </si>
  <si>
    <t>离线模式，POS和RFID分别离线场景需要再聊</t>
  </si>
  <si>
    <t>3.1.3 RFID-powered sales|View RFID sales data 查询RFID销售数据</t>
  </si>
  <si>
    <t>3.1.3.4 As Merch admin &amp; cashier, I need New POS will be able to view RFID sales transaction by tracking item in RFID, as to monitor RFID sales, mitigate refund abuse and anti-theft.</t>
  </si>
  <si>
    <r>
      <rPr>
        <b/>
        <sz val="14"/>
        <rFont val="宋体"/>
        <family val="2"/>
        <scheme val="minor"/>
      </rPr>
      <t>[Align with RFID EPIC]Interface-RFID, near real-time sync</t>
    </r>
    <r>
      <rPr>
        <sz val="14"/>
        <rFont val="宋体"/>
        <family val="2"/>
        <scheme val="minor"/>
      </rPr>
      <t xml:space="preserve">
View RFID store sales data</t>
    </r>
  </si>
  <si>
    <t>3.1.3.4 作为商户管理员和收银员，我需要新 POS 系统能够通过跟踪 RFID 中的商品来查看 RFID 销售交易，以便监控 RFID 销售，减少退款滥用和防盗。</t>
    <phoneticPr fontId="27" type="noConversion"/>
  </si>
  <si>
    <t>【与RFID EPIC对齐】接口-RFID，近实时同步
查看RFID商店销售数据</t>
    <phoneticPr fontId="27" type="noConversion"/>
  </si>
  <si>
    <t>作为商户管理员和收银员，我需要新 POS 系统能够通过跟踪 RFID 中的商品来查看 RFID 销售交易，以便监控 RFID 销售，减少退款滥用和防盗。</t>
    <phoneticPr fontId="27" type="noConversion"/>
  </si>
  <si>
    <t>追踪RFID链路</t>
    <phoneticPr fontId="27" type="noConversion"/>
  </si>
  <si>
    <t>3.1.4 Peripherals-RFID reader|Configure RFID scanning 监控RFID扫描状态</t>
  </si>
  <si>
    <t>3.1.4.1 As Merch admin &amp; cashier, I need New POS will be able to configure RFID scanning for checkout and return, as to monitor RFID sales, mitigate refund abuse and anti-theft.</t>
  </si>
  <si>
    <r>
      <rPr>
        <b/>
        <sz val="14"/>
        <rFont val="宋体"/>
        <family val="2"/>
        <scheme val="minor"/>
      </rPr>
      <t>[Align with RFID EPIC]Interface-RFID, near real-time sync</t>
    </r>
    <r>
      <rPr>
        <sz val="14"/>
        <rFont val="宋体"/>
        <family val="2"/>
        <scheme val="minor"/>
      </rPr>
      <t xml:space="preserve">
Enable/disable RFID sensors including RFID Reader, RFID Reader with alert, RFID Handheld.</t>
    </r>
  </si>
  <si>
    <t>3.1.4.1 作为商户管理员和收银员，我需要新 POS 系统能够配置结账和退货时的 RFID 扫描，以便监控 RFID 销售，减少退款滥用和防盗。</t>
    <phoneticPr fontId="27" type="noConversion"/>
  </si>
  <si>
    <t>【与RFID EPIC对齐】接口-RFID，近实时同步
启用/禁用RFID传感器，包括RFID读取器、带警报的RFID读取器、RFID手持设备。</t>
    <phoneticPr fontId="27" type="noConversion"/>
  </si>
  <si>
    <t>POS中查看RFID设备的状态是在线还是离线</t>
  </si>
  <si>
    <t>POS 系统能够配置结账和退货时的 RFID 扫描</t>
    <phoneticPr fontId="27" type="noConversion"/>
  </si>
  <si>
    <t>双端控制RFID的开关装态
admin上配置RFID的功能。
收银人员使用。
CRUD关联店铺配置RFID的管理
这复杂度感觉不会太小，和admin的集成，联动收银端</t>
    <phoneticPr fontId="27" type="noConversion"/>
  </si>
  <si>
    <t>3.2 Enhanced purchase flow 购买流程增强</t>
  </si>
  <si>
    <t>3.2.1 Purchase limitation|Configure purchase limitation rules 设定限购规则</t>
    <phoneticPr fontId="27" type="noConversion"/>
  </si>
  <si>
    <t>3.2.1.1 As Ops cashier, I need New POS will be able to configure purchase limitation rules by guest identity, by time period/transaction, and by store location, as to define purchase limitation in ordering.</t>
  </si>
  <si>
    <r>
      <t xml:space="preserve">1. Enable limited quantity product purchase for each AP/transaction.
2. Enable limited quantity product purchase for the store.
</t>
    </r>
    <r>
      <rPr>
        <sz val="14"/>
        <color theme="1"/>
        <rFont val="宋体"/>
        <family val="3"/>
        <charset val="134"/>
      </rPr>
      <t>3. Enable limited quantity product purchase with GID number recording, while the GID check need additional hardware</t>
    </r>
    <r>
      <rPr>
        <sz val="14"/>
        <color rgb="FFFF0000"/>
        <rFont val="宋体"/>
        <family val="3"/>
        <charset val="134"/>
      </rPr>
      <t>.</t>
    </r>
    <phoneticPr fontId="27" type="noConversion"/>
  </si>
  <si>
    <t>3.2.1.1 作为运营收银员，我需要新的POS系统能够根据顾客身份、时间段/交易次数及门店位置配置购买限制规则，以便在订单处理中定义购买限制。</t>
    <phoneticPr fontId="27" type="noConversion"/>
  </si>
  <si>
    <t>具体需求如下：
1.按顾客身份/单笔交易限制  
    支持对每张年票或每笔交易设置限量商品的购买数量上限。
2.按门店总量限制  
    支持对特定门店设置限量商品的总销售数量上限。
3.团体购买记录与核验  
    支持限量商品购买时记录团体标识号（GID），但GID核验需依赖额外硬件设备实现。</t>
    <phoneticPr fontId="27" type="noConversion"/>
  </si>
  <si>
    <t xml:space="preserve"> POS 系统能够根据客人身份、时间段/交易和店铺位置配置购买限制规则</t>
    <phoneticPr fontId="27" type="noConversion"/>
  </si>
  <si>
    <t xml:space="preserve">账户下产品购买数量规则限制/ 店铺下限制/
规则的CRUD
</t>
    <phoneticPr fontId="27" type="noConversion"/>
  </si>
  <si>
    <t>3.2.1 Purchase limitation|Configure purchase limit quantity 配置限购数量</t>
    <phoneticPr fontId="27" type="noConversion"/>
  </si>
  <si>
    <t>3.2.1.2 As Ops cashier, I need New POS will be able to configure purchase limit quantity by SKU, as to define purchase limitation in ordering.</t>
  </si>
  <si>
    <t xml:space="preserve">1. Configure purchase limit quantity by SKU # and location.
2. Item, quantity, and location configuration may batch upload. </t>
  </si>
  <si>
    <t>3.2.1.2 作为收银员，我需要新 POS 系统能够按 SKU 配置购买限制数量，以便在订单中定义购买限制。</t>
  </si>
  <si>
    <t>1. 按SKU编号和地点配置购买限制数量。
2. 商品、数量和地点配置可以批量上传。</t>
    <phoneticPr fontId="27" type="noConversion"/>
  </si>
  <si>
    <t>配置限购数量</t>
    <phoneticPr fontId="27" type="noConversion"/>
  </si>
  <si>
    <t>PM: 这里只是在POS终端配置，不在Admin Portal配置么？</t>
    <phoneticPr fontId="27" type="noConversion"/>
  </si>
  <si>
    <t>3.2.1 Purchase limitation|Configure prompt message reach limitation 配置限购提示信息</t>
    <phoneticPr fontId="27" type="noConversion"/>
  </si>
  <si>
    <t>3.2.1.3 As FnB cashier, I need New POS will be able to prompt message when purchase quantity exceeding limitation, as to define purchase limitation in ordering.</t>
  </si>
  <si>
    <t>Once the scanning/adding quantity exceeds the limit, an error message will be displayed, e.g.: "Failed to add the product. Only X pieces of a specific product with a purchase limit are allowed per order/AP.</t>
  </si>
  <si>
    <t>3.2.1.3 作为餐饮收银员，我需要新 POS 系统能够在购买数量超出限制时提示消息，以便在订购中定义购买限制。</t>
    <phoneticPr fontId="27" type="noConversion"/>
  </si>
  <si>
    <t>一旦扫描/添加的数量超过限制，将显示错误消息，例如：“无法添加产品。每个订单/AP仅允许购买X件具有购买限制的特定产品。</t>
    <phoneticPr fontId="27" type="noConversion"/>
  </si>
  <si>
    <t>POS 系统能够在购买数量超出限制时提示消息</t>
    <phoneticPr fontId="27" type="noConversion"/>
  </si>
  <si>
    <t>admin提示？不在admin购买</t>
    <phoneticPr fontId="27" type="noConversion"/>
  </si>
  <si>
    <t>为什么不涉及POS终端？</t>
    <phoneticPr fontId="27" type="noConversion"/>
  </si>
  <si>
    <t>3.2.1 Purchase limitation|Limited purchase quantity by gusset identity (按照身份)限制顾客的购买数量</t>
    <phoneticPr fontId="27" type="noConversion"/>
  </si>
  <si>
    <r>
      <t xml:space="preserve">3.2.1.4 As Ops cashier, I need New POS will be able to verify purchase limitation for different </t>
    </r>
    <r>
      <rPr>
        <sz val="14"/>
        <color rgb="FFFF0000"/>
        <rFont val="宋体"/>
        <family val="3"/>
        <charset val="134"/>
      </rPr>
      <t>gusset</t>
    </r>
    <r>
      <rPr>
        <sz val="14"/>
        <rFont val="宋体"/>
        <family val="2"/>
        <scheme val="minor"/>
      </rPr>
      <t xml:space="preserve"> identity, as to fulfill operations requirements.</t>
    </r>
    <phoneticPr fontId="27" type="noConversion"/>
  </si>
  <si>
    <t>1. Check purchase limitation when scanning/adding product into shopping list according rules configured -- by guest identity(AP/membership), by time period/transaction and limitation number. 
2. For special orders, GSM can authorize the cancel limited purchase.GSM/Lead authorized needed</t>
  </si>
  <si>
    <r>
      <t>3.2.1.4 作为操作员收银员，我需要新销售点系统能够根据不同的</t>
    </r>
    <r>
      <rPr>
        <sz val="14"/>
        <color rgb="FFFF0000"/>
        <rFont val="宋体"/>
        <family val="3"/>
        <charset val="134"/>
      </rPr>
      <t>游客身份</t>
    </r>
    <r>
      <rPr>
        <sz val="14"/>
        <rFont val="宋体"/>
        <family val="2"/>
        <scheme val="minor"/>
      </rPr>
      <t>类别来验证购买数量限制，以满足运营需求。</t>
    </r>
    <phoneticPr fontId="27" type="noConversion"/>
  </si>
  <si>
    <t>1. 根据配置的规则（按客人身份（AP/会员）、按时间段/交易和限制数量）在扫描/将产品添加到购物清单时检查购买限制。
2. 对于特殊订单，GSM可以授权取消限制购买。需要GSM/主管授权</t>
    <phoneticPr fontId="27" type="noConversion"/>
  </si>
  <si>
    <t>(按照身份)限制顾客的购买数量</t>
    <phoneticPr fontId="27" type="noConversion"/>
  </si>
  <si>
    <t>1.（按客人身份（AP/会员）规则限制加购数量
2.授权</t>
    <phoneticPr fontId="27" type="noConversion"/>
  </si>
  <si>
    <t>3.3 Guest identification assistant 顾客身份识别辅助</t>
  </si>
  <si>
    <t>3.3.1 Guest identification assistant|Assist to identify AP - display registration photo 辅助识别年卡身份-显示激活照</t>
    <phoneticPr fontId="27" type="noConversion"/>
  </si>
  <si>
    <t>3.3.1.3 As Merch cashier, I need New POS will be able to identify AP holder with guest registration photo , as to identify AP holder efficiently.</t>
  </si>
  <si>
    <r>
      <rPr>
        <b/>
        <sz val="14"/>
        <color theme="1"/>
        <rFont val="Calibri (Body)"/>
      </rPr>
      <t>Interface- SHDR Profile, near real-time sync</t>
    </r>
    <r>
      <rPr>
        <sz val="14"/>
        <color theme="1"/>
        <rFont val="Calibri (Body)"/>
      </rPr>
      <t xml:space="preserve">
Registration photo will have a toggle to control if they are synced to POS, Ops will follow on Legal further comments on photo usage.
Scan guest's AP identity(AP QR code), show AP registration photo on the POS terminal to help CM identify for further coupon usage or other cases(AP's admission photo doesn't keep in system)</t>
    </r>
  </si>
  <si>
    <t>Ticketing</t>
  </si>
  <si>
    <t>3.3.1.1 作为收银员，我需要新 POS 系统能够通过游客入园照片识别 AP 持卡人，以便高效识别 AP 持卡人。</t>
    <phoneticPr fontId="27" type="noConversion"/>
  </si>
  <si>
    <t>接口- SHDR Profile，近实时同步
入场照片将有一个切换开关来控制是否同步到POS，运营部门将跟进法律部门对照片使用的进一步意见。
扫描客人的AP身份（AP二维码），在POS终端上显示AP入场照片，以帮助CM识别。</t>
    <phoneticPr fontId="27" type="noConversion"/>
  </si>
  <si>
    <t>扫AP物理卡，获取AP信息，并展示AP 激活照
1. 年卡票的信息
2. 只有给激活照（给的是URL，需要确认DGN网络内能否访问）</t>
  </si>
  <si>
    <t>找Ticketing确认需要提供的接口cost</t>
  </si>
  <si>
    <t>辅助识别年卡身份-显示激活照
我需要新 POS 系统能够通过游客入园照片识别 AP 持卡人</t>
    <phoneticPr fontId="27" type="noConversion"/>
  </si>
  <si>
    <t>对同步过来的信息识别
扫描客人的AP身份（AP二维码），在POS终端上显示AP入场照片，以帮助CM识别。</t>
    <phoneticPr fontId="27" type="noConversion"/>
  </si>
  <si>
    <t>建议15人天，此处场景比3.3.1.2简单</t>
    <phoneticPr fontId="27" type="noConversion"/>
  </si>
  <si>
    <t>3.3.1 Guest identification assistant|Assist to identify SMED - winner verification 辅助识别SMED身份-中签身份验证</t>
  </si>
  <si>
    <t>3.3.1.1 As Merch cashier, I need New POS will be able to identify SMED winner by guest ticket admission photo, as to identify SMED winner guest efficiently.</t>
  </si>
  <si>
    <r>
      <rPr>
        <b/>
        <sz val="14"/>
        <rFont val="宋体"/>
        <family val="2"/>
        <scheme val="minor"/>
      </rPr>
      <t>Interface- SMED credential, near real-time sync</t>
    </r>
    <r>
      <rPr>
        <sz val="14"/>
        <rFont val="宋体"/>
        <family val="2"/>
        <scheme val="minor"/>
      </rPr>
      <t xml:space="preserve">
Admission photo will have a toggle to control if they are synced to POS, Ops will follow on Legal further comments on photo usage.
1. Scan SMED credential(QR code) and show winners ticket admission photo before add item to shopping list. 
2. Redeem SMED credential after payment settled, if fail to scan/redeem, prompt error message. </t>
    </r>
  </si>
  <si>
    <t>Ticketing &amp; DPA</t>
  </si>
  <si>
    <t>3.3.1.2 作为 Merch 收银员，我需要新 POS 系统能够通过客人票务入场照片来识别 SMED 获奖者，以便高效识别 SMED 获奖客人。</t>
    <phoneticPr fontId="27" type="noConversion"/>
  </si>
  <si>
    <r>
      <rPr>
        <b/>
        <sz val="14"/>
        <rFont val="宋体"/>
        <family val="2"/>
        <scheme val="minor"/>
      </rPr>
      <t xml:space="preserve">接口- SMED凭证，近实时同步
</t>
    </r>
    <r>
      <rPr>
        <sz val="14"/>
        <rFont val="宋体"/>
        <family val="3"/>
        <charset val="134"/>
        <scheme val="minor"/>
      </rPr>
      <t>入场照片将有一个切换开关来控制是否同步到POS，运营部门将跟进法律部门对照片使用的进一步意见。
1. 扫描SMED凭证（二维码）并在将商品添加到购物清单之前显示获奖者门票入场照片。
2. 结算付款后兑换SMED凭证，如果扫描/兑换失败，则提示错误消息。</t>
    </r>
    <phoneticPr fontId="27" type="noConversion"/>
  </si>
  <si>
    <t>照片比对是人工实现
QR Code对应的门票VID
已有接口直接对接即可
1. 拿游客入园照或年卡激活照</t>
  </si>
  <si>
    <t>1. 找Peter Shuai确认DPA对接cost
2. 找Ticketing确认需要提供的接口cost</t>
  </si>
  <si>
    <t>通过客人票务入场照片来识别 SMED 获奖者</t>
    <phoneticPr fontId="27" type="noConversion"/>
  </si>
  <si>
    <t>1. 扫描SMED凭证（二维码）并在将商品添加到购物清单之前显示获奖者门票入场照片。
2. 结算付款后兑换SMED凭证，如果扫描/兑换失败，则提示错误消息。)</t>
    <phoneticPr fontId="27" type="noConversion"/>
  </si>
  <si>
    <t>3.3.1 Guest identification assistant|Assist to identify hotel room night HEP verification 辅助识别酒店住客HEP身份验证</t>
  </si>
  <si>
    <t>3.3.1.2 As Merch cashier, I need New POS will be able to identify HEP credential by guest hotel room night record, as to identify HEP guest efficiently.</t>
  </si>
  <si>
    <r>
      <t xml:space="preserve">Interface- HEP credential, near real-time sync
1. </t>
    </r>
    <r>
      <rPr>
        <sz val="14"/>
        <color theme="1"/>
        <rFont val="Calibri"/>
        <family val="2"/>
      </rPr>
      <t>Scan HEP credential(QR Code)</t>
    </r>
    <r>
      <rPr>
        <sz val="14"/>
        <color theme="1"/>
        <rFont val="宋体"/>
        <family val="2"/>
        <scheme val="minor"/>
      </rPr>
      <t>and</t>
    </r>
    <r>
      <rPr>
        <sz val="14"/>
        <color theme="1"/>
        <rFont val="Calibri"/>
        <family val="2"/>
      </rPr>
      <t xml:space="preserve"> show hotel room night record with masked GID(aligned with hotel magic hub)</t>
    </r>
    <r>
      <rPr>
        <sz val="14"/>
        <color theme="1"/>
        <rFont val="宋体"/>
        <family val="2"/>
        <scheme val="minor"/>
      </rPr>
      <t xml:space="preserve"> before add item to shopping list. 
2. Redeem HEP credential after payment settled, if fail to scan/redeem, prompt error message.</t>
    </r>
    <phoneticPr fontId="27" type="noConversion"/>
  </si>
  <si>
    <t>Hotel Magic Hub</t>
  </si>
  <si>
    <t>3.3.1.3 作为收银员，我需要新 POS 系统能够根据客人酒店住宿记录识别 HEP 凭证，以便高效识别 HEP 客人。</t>
    <phoneticPr fontId="27" type="noConversion"/>
  </si>
  <si>
    <t>接口- HEP凭证，近实时同步
1. 扫描HEP凭证（二维码）并在将商品添加到购物清单之前显示带有屏蔽GID的酒店房间夜间记录（与酒店魔术中心对齐）。
2. 结算付款后兑换HEP凭证，如果扫描/兑换失败，则提示错误消息。</t>
  </si>
  <si>
    <t>QR Code对应Hotel这边的ID</t>
  </si>
  <si>
    <t>HMH</t>
    <phoneticPr fontId="27" type="noConversion"/>
  </si>
  <si>
    <t>To: Charlie Liu 待确认HMH的展示信息
找Yannan确认HEP对接是否需要额外cost</t>
  </si>
  <si>
    <t>根据客人酒店住宿记录识别 HEP 凭证</t>
    <phoneticPr fontId="27" type="noConversion"/>
  </si>
  <si>
    <t xml:space="preserve">
1. 扫描HEP凭证（二维码）并在将商品添加到购物清单之前显示带有屏蔽GID的酒店房间夜间记录（与酒店魔术中心对齐）。
2. 结算付款后兑换HEP凭证，如果扫描/兑换失败，则提示错误消息。</t>
    <phoneticPr fontId="27" type="noConversion"/>
  </si>
  <si>
    <t>3.3.1 Guest identification assistant|Assist to identify Club 33 membership 辅助识别Club 33会员身份</t>
  </si>
  <si>
    <t>3.3.1.4 As Ops cashier, I need New POS will be able to identify Club 33 member by Club 33 membership identity, as to identify Club 33 member guest efficiently.</t>
  </si>
  <si>
    <t>Scan guest's Club 33 membership identity(QR code on C33 card), show Club 33 member status on the POS terminal to help CM identify.</t>
  </si>
  <si>
    <t>C33</t>
  </si>
  <si>
    <t>3.3.1.4 作为运营收银员，我需要新 POS 系统能够通过 Club 33 会员身份识别 Club 33 会员，以便高效识别 Club 33 会员的客人。</t>
    <phoneticPr fontId="27" type="noConversion"/>
  </si>
  <si>
    <t>扫描客人的Club 33会员身份（C33卡上的二维码），在POS终端上显示Club 33会员状态，以帮助CM识别。</t>
  </si>
  <si>
    <t>提供一个新接口，包含C33状态和额度-3.4.3.2</t>
  </si>
  <si>
    <t>通过 Club 33 会员身份识别 Club 33 会员</t>
    <phoneticPr fontId="27" type="noConversion"/>
  </si>
  <si>
    <t>扫描客人的Club 33会员身份（C33卡上的二维码），在POS终端上显示Club 33会员状态，以帮助CM识别。</t>
    <phoneticPr fontId="27" type="noConversion"/>
  </si>
  <si>
    <t>建议10人天，此处如果包含与C33系统对接</t>
    <phoneticPr fontId="27" type="noConversion"/>
  </si>
  <si>
    <t>3.3.2 Cast identity|Assist to identify Cast Member 辅助识别员工身份</t>
  </si>
  <si>
    <t>3.3.2.1 As Ops cashier, I need New POS will be able to identify cast member by scan employee card, as to identify cast member efficiently.</t>
  </si>
  <si>
    <t xml:space="preserve">Interface-Workday/SAP, daily as current practice
Scan cast employee card to identify cast member (auto-remove last 2-.xx digits)
</t>
  </si>
  <si>
    <t>Cast Profile</t>
  </si>
  <si>
    <t>3.3.2.1 作为运营收银员，我需要新 POS 系统能够通过扫描员工卡来识别演职人员，以便高效地识别演职人员。</t>
    <phoneticPr fontId="27" type="noConversion"/>
  </si>
  <si>
    <t>接口-Workday/SAP，与当前实践一样，每天同步
扫描演职人员卡以识别演职人员（自动删除最后2-.xx位数字）</t>
    <phoneticPr fontId="27" type="noConversion"/>
  </si>
  <si>
    <t>短期方案：以Digital Profile的形式估cost,把cost包在New POS的capital里
长期方案：cast profile 在mo3.0 phase2中预计27或28年</t>
  </si>
  <si>
    <t xml:space="preserve">To: Lucky, 在过完solution后，还得再确认solution细节 </t>
  </si>
  <si>
    <t xml:space="preserve"> POS 系统能够通过扫描员工卡来识别演职人员</t>
    <phoneticPr fontId="27" type="noConversion"/>
  </si>
  <si>
    <t>扫描演职人员卡以识别演职人员（自动删除最后2-.xx位数字）</t>
    <phoneticPr fontId="27" type="noConversion"/>
  </si>
  <si>
    <t>3.3.2 Cast identity|Assist to identify tour guide CM 辅助识别尊享导览员工身份</t>
  </si>
  <si>
    <t>3.3.2.2 As Ops cashier, I need New POS will be able to identify tour guide by (C33) tour guide identity, as to identify tour guide CM efficiently.</t>
  </si>
  <si>
    <t>Interface-Tour guide ticket, near real-time sync
Scan (C33) tour guide CM identity card, show ticket available status on the POS terminal to help CM identify.</t>
  </si>
  <si>
    <t>3.3.2.2 作为收银员，我需要新 POS 系统能够通过(C33)导游身份来识别导游，以便高效识别导游 CM。</t>
    <phoneticPr fontId="27" type="noConversion"/>
  </si>
  <si>
    <t>接口-导游票，近实时同步
扫描（C33）导游CM身份卡，在POS终端上显示票务信息，以帮助CM识别。</t>
    <phoneticPr fontId="27" type="noConversion"/>
  </si>
  <si>
    <t>从ticketing获取尊享导览员工票的信息</t>
  </si>
  <si>
    <t>待Charlie跟进业务细节
需要ticketing确认是否在库里</t>
  </si>
  <si>
    <t>通过(C33)导游身份来识别导游</t>
    <phoneticPr fontId="27" type="noConversion"/>
  </si>
  <si>
    <t>扫描（C33）导游CM身份卡，在POS终端上显示票务信息，以帮助CM识别。</t>
    <phoneticPr fontId="27" type="noConversion"/>
  </si>
  <si>
    <t>3.4 Enhanced benefit and discount 权益和折扣增强</t>
  </si>
  <si>
    <t>3.4.1 AP &amp; other coupon-related benefits|Configure AP and other discount rules 配置优惠券折扣规则</t>
  </si>
  <si>
    <t>3.4.1.1 As Ops admin, I need New POS will be able to configure discount rules and priority with store promotion for different coupon type, as to define coupon promotion in ordering.</t>
  </si>
  <si>
    <r>
      <t xml:space="preserve">Interface-Coupon, near real-time sync as current practice
Interface-SIMBA, hourly and on demand near real-time sync
</t>
    </r>
    <r>
      <rPr>
        <b/>
        <sz val="14"/>
        <rFont val="宋体"/>
        <family val="2"/>
        <scheme val="minor"/>
      </rPr>
      <t>POS is not applicable to calculate the max discount as "best offer” in multiple promotions/discounts applied, but it can only calculate the amount by promotion/ discount pre-defined priority, no matter the sequence of these promotions applied.</t>
    </r>
    <r>
      <rPr>
        <sz val="14"/>
        <rFont val="宋体"/>
        <family val="2"/>
        <scheme val="minor"/>
      </rPr>
      <t xml:space="preserve">
1. Discount type: discount coupon, cash coupon, CM discount, C33 member and tour guide discount, VIP tour discount, manual discount w/ additional information like AP in 3.4.1.4.
2. Enable configure coupon discount priority and coupon/AP accumulation amount for capping(both on coupon level &amp; AP level), and define discount sequence with store promotion. [Align with AP capping EPIC]
3. Define/sync from SIMBA that product is not applicable for discount for designated coupon by SKU# , like shopping bag.
4. GSM/Lead authorized for manual discount</t>
    </r>
  </si>
  <si>
    <t>3.4.1.1 作为运维管理员，我需要新 POS 能够为不同类型的优惠券配置折扣规则和优先级，并与店铺促销相结合，以便在订单中定义优惠券促销。</t>
    <phoneticPr fontId="27" type="noConversion"/>
  </si>
  <si>
    <t>接口-优惠券，接近实时的同步，与当前实践一致
接口-SIMBA，每小时和按需的接近实时同步
POS不适用于计算多次促销/折扣中的“最佳优惠”最大折扣，但它只能按照促销/折扣预定义的优先级计算金额，无论这些促销应用的顺序如何。
1. 折扣类型：折扣券、现金券、CM折扣、C33会员和导游折扣、VIP旅游折扣、手动折扣，附加信息如3.4.1.4中的AP。
2. 启用配置优惠券折扣优先级和优惠券/AP累积金额上限（优惠券级别和AP级别），并定义与商店促销的折扣顺序。[与AP上限EPIC对齐]
3. 从SIMBA定义/同步产品不适用于指定优惠券的折扣，如购物袋。
4. GSM/主管授权手动折扣</t>
  </si>
  <si>
    <t>Simba定义是否能打折，POS来实现折扣逻辑</t>
  </si>
  <si>
    <t>新 POS 能够为不同类型的优惠券配置折扣规则和优先级，并与店铺促销相结合</t>
    <phoneticPr fontId="27" type="noConversion"/>
  </si>
  <si>
    <t xml:space="preserve"> 
POS不适用于计算多次促销/折扣中的“最佳优惠”最大折扣，但它只能按照促销/折扣预定义的优先级计算金额，无论这些促销应用的顺序如何。
1. 折扣类型：折扣券、现金券、CM折扣、C33会员和导游折扣、VIP旅游折扣、手动折扣，附加信息如3.4.1.4中的AP。
2. 启用配置优惠券折扣优先级和优惠券/AP累积金额上限（优惠券级别和AP级别），并定义与商店促销的折扣顺序。[与AP上限EPIC对齐]
3. 从SIMBA定义/同步产品不适用于指定优惠券的折扣，如购物袋。
4. GSM/主管授权手动折扣</t>
    <phoneticPr fontId="27" type="noConversion"/>
  </si>
  <si>
    <t>3.4.1 AP &amp; other coupon-related benefits|Verify/apply AP and other coupons 验证/应用优惠券</t>
  </si>
  <si>
    <t>3.4.1.2 As Ops cashier, I need New POS will be able to verify and apply AP and other discount coupons, as to apply coupon promotion in ordering.</t>
  </si>
  <si>
    <t>[Align with AP capping EPIC] Dependency - AP Revamp
Interface-Coupon, near real-time sync as current practice. Coupon discount calculation defer to Coupon service as current practice.
1. Apply method: scan, hot-key, enter code(require permission) and customized discounts (require permission)
2. Apply with scan coupon dynamic QR code or manual input coupon ID, , coupon lock to transaction if coupon is available.
3. Calculate discount amount from coupon when add/remove product in shopping list.
4. If guest AP already identified in POS, it cannot apply coupon not belong to this AP.</t>
  </si>
  <si>
    <t>Coupon</t>
  </si>
  <si>
    <t>3.4.1.2 作为收银员，我需要新 POS 系统能够验证并应用 AP 和其他折扣券，以便在订单中应用优惠券促销。</t>
    <phoneticPr fontId="27" type="noConversion"/>
  </si>
  <si>
    <t>[与AP上限EPIC对齐] 依赖 - AP改造
接口-优惠券，接近实时的同步，与当前实践一致。 优惠券折扣计算推迟到优惠券服务，与当前实践一致。
1. 应用方法：扫描、热键、输入代码（需要权限）和自定义折扣（需要权限）
2. 通过扫描优惠券动态二维码或手动输入优惠券ID应用，如果优惠券可用，则将优惠券锁定到交易。
3. 在购物清单中添加/删除产品时，计算优惠券的折扣金额。
4. 如果访客AP已在POS中识别，则不能应用不属于此AP的优惠券。</t>
    <phoneticPr fontId="27" type="noConversion"/>
  </si>
  <si>
    <t>POS结算时，指定时间内自动续锁
Coupon锁券按订单中的所有券重新锁券
提交订单时指定锁券时间 
取消订单时解锁</t>
  </si>
  <si>
    <t>需要跟进确认优惠券的capping额度是统一由Coupon算，还是由各自系统分别计算？
如果目前无法确定，先让Coupon估cost，然后再根据cost是否足够再决定</t>
  </si>
  <si>
    <t xml:space="preserve"> POS 系统能够验证并应用 AP 和其他折扣</t>
    <phoneticPr fontId="27" type="noConversion"/>
  </si>
  <si>
    <t>1. 应用方法：扫描、热键、输入代码（需要权限）和自定义折扣（需要权限）
2. 通过扫描优惠券动态二维码或手动输入优惠券ID应用，如果优惠券可用，则将优惠券锁定到交易。
3. 在购物清单中添加/删除产品时，计算优惠券的折扣金额。
4. 如果访客AP已在POS中识别，则不能应用不属于此AP的优惠券。</t>
    <phoneticPr fontId="27" type="noConversion"/>
  </si>
  <si>
    <t>3.4.1 AP &amp; other coupon-related benefits|Redeem AP and other coupons 核销优惠券</t>
  </si>
  <si>
    <t>3.4.1.3 As Ops cashier, I need New POS will be able to redeem discount coupons after payment, as to apply coupon promotion in ordering.</t>
  </si>
  <si>
    <t xml:space="preserve">Interface-Coupon, near real-time sync as current practice
Coupon status change to redeemed after payment, enable to apply discount for multiple products in a single order with amount allocation. </t>
  </si>
  <si>
    <t>3.4.1.3 作为收银员，我需要新 POS 能够在支付后兑换折扣券，以便在订单中应用优惠券促销。</t>
    <phoneticPr fontId="27" type="noConversion"/>
  </si>
  <si>
    <t xml:space="preserve">接口-优惠券，接近实时的同步，与当前实践一致
付款后，优惠券状态更改为已兑换，能够为单个订单中的多个产品应用折扣，并进行金额分配。
</t>
    <phoneticPr fontId="27" type="noConversion"/>
  </si>
  <si>
    <t>核销不成功后，需要调用退款接口</t>
  </si>
  <si>
    <t>我需要新 POS 能够在支付后兑换折扣券，以便在订单中应用优惠券促销。</t>
    <phoneticPr fontId="27" type="noConversion"/>
  </si>
  <si>
    <t>券种类有很多，对应的对接格式也有区别，此处按照3种券对接（cash，discont..还有组合券）
锁券-核销 
如果取消兑换还需要调用解锁。
一套流程需要考虑分布式事务。
还有分摊金金额的展示在商品层。</t>
    <phoneticPr fontId="27" type="noConversion"/>
  </si>
  <si>
    <t>3.4.1 AP &amp; other coupon-related benefits|Link AP coupon to transaction 记录年卡券消费记录</t>
  </si>
  <si>
    <t>3.4.1.4 As Ops admin, I need New POS will be able to record AP information with its coupon to transaction, as to fulfill AP operations requirements.</t>
  </si>
  <si>
    <t>1. Record coupon ID and AP information to transaction after redemption.
2. Coupon will not be return after redeem.</t>
  </si>
  <si>
    <t>3.4.1.4 作为运维管理员，我需要新 POS 系统能够将 AP 信息及其优惠券记录到交易中，以满足 AP 运营需求。</t>
    <phoneticPr fontId="27" type="noConversion"/>
  </si>
  <si>
    <t>1. 兑换后，将优惠券ID和AP信息记录到交易中。
2. 优惠券兑换后将不退还。</t>
    <phoneticPr fontId="27" type="noConversion"/>
  </si>
  <si>
    <t>新 POS 系统能够将 AP 信息及其优惠券记录到交易中，以满足 AP 运营需求。</t>
    <phoneticPr fontId="27" type="noConversion"/>
  </si>
  <si>
    <t xml:space="preserve">1. 兑换后，将优惠券ID和AP信息记录到交易中。
2. 优惠券兑换后将不退还。
</t>
    <phoneticPr fontId="27" type="noConversion"/>
  </si>
  <si>
    <t>3.4.2 SMED benefits|Limit purchase quantity 限制购买数量</t>
  </si>
  <si>
    <t>3.4.2.1 As Merch cashier, I need New POS will be able to setup and verify SMED/HEP purchase quantity limitation, as to define SMED/HEP purchase limitation in ordering.</t>
  </si>
  <si>
    <t>Interface-SMED/HEP credential, near real-time sync
Align with 3.3.1</t>
  </si>
  <si>
    <t>3.4.2.1 作为收银员，我需要新 POS 系统能够设置和验证 SMED/HEP 的购买数量限制，以便在订单中定义 SMED/HEP 的购买限制。</t>
    <phoneticPr fontId="27" type="noConversion"/>
  </si>
  <si>
    <t>接口-SMED/HEP凭证，接近实时的同步
与3.3.1对齐</t>
  </si>
  <si>
    <t>验证 SMED/HEP 的购买数量限制</t>
    <phoneticPr fontId="27" type="noConversion"/>
  </si>
  <si>
    <t>3.4.2 SMED benefits|Record identity information 记录身份信息</t>
  </si>
  <si>
    <t>3.4.2.2 As Merch admin, I need New POS will be able to record guest identity with SMED/HEP transaction, as to fulfill SMED/HEP operations requirements.</t>
  </si>
  <si>
    <t>Interface-SMED/HEP credential, near real-time sync
Record guest identity information: ticket, hotel check-in, and coupon if discount applied. Then redeem SMED credential after payment.</t>
  </si>
  <si>
    <t>3.4.2.2 作为商户管理员，我需要新 POS 系统能够记录 SMED/HEP 交易中的客人身份，以满足 SMED/HEP 操作要求。</t>
    <phoneticPr fontId="27" type="noConversion"/>
  </si>
  <si>
    <t>接口-SMED/HEP凭证，接近实时的同步
记录访客身份信息：票证、酒店入住和应用的优惠券（如果应用了折扣）。</t>
  </si>
  <si>
    <t>POS 系统能够记录 SMED/HEP 交易中的客人身份</t>
    <phoneticPr fontId="27" type="noConversion"/>
  </si>
  <si>
    <t>3.4.3 C33 benefits|Configure Club 33 benefits 配置Club 33权益</t>
  </si>
  <si>
    <t>3.4.3.1 As Merch admin, I need New POS will be able to configure Club 33 member/tour guide benefits as discount, as to define Club 33 benefits in ordering.</t>
  </si>
  <si>
    <t>Configure Club 33 purchase discount type which need identity</t>
  </si>
  <si>
    <t>3.4.3.1 作为商户管理员，我需要新 POS 系统能够将 Club 33 会员/导游福利配置为折扣，以便在订单中定义 Club 33 福利。</t>
    <phoneticPr fontId="27" type="noConversion"/>
  </si>
  <si>
    <t>配置需要身份验证的Club 33购买折扣类型</t>
    <phoneticPr fontId="27" type="noConversion"/>
  </si>
  <si>
    <t>3.4.3 C33 benefits|Sync Club 33 transaction 同步Club 33消费额度</t>
  </si>
  <si>
    <t>3.4.3.2 As Ops cashier, I need New POS will be able to display Club 33 quota on screen, as to fulfill Club 33 membership operations requirements.</t>
  </si>
  <si>
    <t>Interface-C33 Membership, near real-time sync
1. [F&amp;B]query C33 quota
2. [F&amp;B]posting to C33 Personal Account(City Ledger)
Sync and display Club 33 member quota on POS screen after scan C33 membership QR code.</t>
  </si>
  <si>
    <t>3.4.3.2 作为收银员，我需要新 POS 系统能够在屏幕上显示 Club 33 配额，以满足 Club 33 会员运营需求。</t>
    <phoneticPr fontId="27" type="noConversion"/>
  </si>
  <si>
    <t>C33会员接口，近实时同步
1. [餐饮]查询C33配额
2. [餐饮]过账到C33个人账户（宾客账）
扫描C33会员二维码后，在POS屏幕上同步并显示Club 33会员配额。</t>
    <phoneticPr fontId="27" type="noConversion"/>
  </si>
  <si>
    <t xml:space="preserve">需要合并成一个新接口，包含C33状态和额度-3.3.1.4 </t>
  </si>
  <si>
    <t>1. [餐饮]查询C33配额
2. [餐饮]过账到C33个人账户（宾客账）
扫描C33会员二维码后，在POS屏幕上同步并显示Club 33会员配额。</t>
    <phoneticPr fontId="27" type="noConversion"/>
  </si>
  <si>
    <t>3.4.4 Cast benefits|Configure CM discount types 配置折扣类型</t>
  </si>
  <si>
    <t>3.4.4.1 As Ops cashier, I need New POS will be able to configure cast benefits as discount, as to define cast benefits in ordering.</t>
  </si>
  <si>
    <t>Include: SHDR cast and ShenDi, and partner and third-party employee card. ShenDi and 3rd party partner employee identity are manual uploaded.</t>
  </si>
  <si>
    <t>3.4.4.1 作为运营收银员，我需要新 POS 系统能够将会员福利配置为折扣，以便在订单中定义会员福利。</t>
    <phoneticPr fontId="27" type="noConversion"/>
  </si>
  <si>
    <t>包括：SHDR员工卡和申迪员工卡，以及合作伙伴和第三方员工卡。申迪和第三方合作伙伴员工身份为手动上传。</t>
    <phoneticPr fontId="27" type="noConversion"/>
  </si>
  <si>
    <t>配置折扣</t>
    <phoneticPr fontId="27" type="noConversion"/>
  </si>
  <si>
    <t>建议10人天，仅配置折扣，建议与同级人工的EPIC对比其复杂度以判断人天评估的合理性</t>
    <phoneticPr fontId="27" type="noConversion"/>
  </si>
  <si>
    <t>3.4.5 Benefit/promotion exclusive configuration|Configure exclusive rule for discount and promotion 校验折扣和促销互斥</t>
  </si>
  <si>
    <t>3.4.5.1 As Ops cashier, I need New POS will be able to configure promotion priority and exclusion rules by guest identity and purchasing item, as to fulfill promotion operations requirements.</t>
  </si>
  <si>
    <t>Enable prompt when promotion cannot apply to item in shopping list that are mutually exclusive with the added promotion (e.g., discounts, coupons, etc.) during the process of adding promotions.</t>
  </si>
  <si>
    <t>3.4.5.1 作为收银员，我需要新 POS 系统能够根据客人身份和购买商品配置促销优先级和排除规则，以满足促销运营需求。</t>
    <phoneticPr fontId="27" type="noConversion"/>
  </si>
  <si>
    <t>在添加促销活动期间，当促销活动无法应用于购物清单中与已添加促销活动互斥的商品（例如，折扣、优惠券等）时，启用提示。</t>
    <phoneticPr fontId="27" type="noConversion"/>
  </si>
  <si>
    <t>据客人身份和购买商品配置促销优先级和排除规则</t>
    <phoneticPr fontId="27" type="noConversion"/>
  </si>
  <si>
    <t>促销规则和优惠券互斥</t>
    <phoneticPr fontId="27" type="noConversion"/>
  </si>
  <si>
    <t>3.5 Enhanced inventory synchronization/setup 库存同步/设置增强</t>
  </si>
  <si>
    <t>3.5.1 Saleable inventory synchronization|Query saleable inventory 查询商品可售库存</t>
  </si>
  <si>
    <t>3.5.1.1 As Merch admin, I need New POS will be able to view Merch product saleable quantity by inventory sync and deduction , as to fulfill store operations requirements.</t>
  </si>
  <si>
    <r>
      <rPr>
        <b/>
        <sz val="14"/>
        <rFont val="宋体"/>
        <family val="2"/>
        <scheme val="minor"/>
      </rPr>
      <t>Interface-SIMBA,15 mins and on demand near real-time sync, will identify the time gap which less than 15 mins</t>
    </r>
    <r>
      <rPr>
        <sz val="14"/>
        <rFont val="宋体"/>
        <family val="2"/>
        <scheme val="minor"/>
      </rPr>
      <t xml:space="preserve">
1. Sync Merch saleable inventory from SIMBA
2. Enable to check product saleable quantity on POS backend, not avaiable on POS terminal</t>
    </r>
  </si>
  <si>
    <t>3.5.1.1 作为商户管理员，我需要新 POS 系统能够通过库存同步和扣减查看商户产品的可销售数量，以满足门店运营需求。</t>
    <phoneticPr fontId="27" type="noConversion"/>
  </si>
  <si>
    <t>SIMBA接口，15分钟和按需近实时同步，将识别小于15分钟的时间间隔
1. 从SIMBA同步商品可售库存
2. 能够在POS后端检查产品可售数量，在POS终端上不可用</t>
    <phoneticPr fontId="27" type="noConversion"/>
  </si>
  <si>
    <t>销售库存扣减接口已经存在，但simba内部实现非实时
Simba新接口 - Alex</t>
  </si>
  <si>
    <t>Simba</t>
  </si>
  <si>
    <t>可售库存如何分配与Vendor聊 - arron</t>
  </si>
  <si>
    <t>新 POS 系统能够通过库存同步和扣减查看商户产品的可销售数量</t>
    <phoneticPr fontId="27" type="noConversion"/>
  </si>
  <si>
    <t>1. 从SIMBA同步商品可售库存
2. 能够在POS后端检查产品可售数量，在POS终端上不可用</t>
    <phoneticPr fontId="27" type="noConversion"/>
  </si>
  <si>
    <t>3.5.2 Saleable inventory setup|Set up FnB saleable inventory 设置餐饮可售库存</t>
  </si>
  <si>
    <t>3.5.2.1 As FnB admin &amp; cashier, I need New POS will be able to setup FnB meal saleable quantity by location inventory, as to fulfill restaurant operations requirements.</t>
  </si>
  <si>
    <t xml:space="preserve">1. Enable to set available inventory by meal SKU , and sync with other POS terminal in same location.
2. Return transactions will automatically be added back to available inventory in near real-time. </t>
  </si>
  <si>
    <t>3.5.2.1 作为餐厅后台管理员 &amp; 收银员，我需要新销售系统能够根据各地点的库存情况设定餐厅各类餐品的可销售数量，以满足餐厅运营的需求。</t>
    <phoneticPr fontId="27" type="noConversion"/>
  </si>
  <si>
    <t>1. 能够按餐SKU设置可用库存，并与同一地点的其他POS终端同步。
2. 退货交易将自动近实时添加回可用库存。</t>
    <phoneticPr fontId="27" type="noConversion"/>
  </si>
  <si>
    <t>新销售系统能够根据各地点的库存情况设定餐厅各类餐品的可销售数量</t>
    <phoneticPr fontId="27" type="noConversion"/>
  </si>
  <si>
    <t>1. 能够按餐SKU设置可用库存，并与同一地点的其他POS终端同步。
2. 退货交易将自动近实时添加回可用库存。
双端设置，退款加库存。</t>
    <phoneticPr fontId="27" type="noConversion"/>
  </si>
  <si>
    <t>3.5.2 Saleable inventory setup|View/prompt FnB saleable inventory 查询/告警餐饮可售库存</t>
  </si>
  <si>
    <t>3.5.2.2 As FnB cashier, I need New POS will be able to view/prompt FnB saleable inventory in the location, as to fulfill restaurant operations requirements.</t>
  </si>
  <si>
    <t>1. Enable to view/deduct/calculate restaurant inventory by meal SKU and on POS backend in near real-time , and control show/hide inventory# by location.
2. Prompt if saleable inventory are less than pre-defined threshold by SKU.
3. When saleable inventory is empty, item cannot order on POS.</t>
  </si>
  <si>
    <t>3.5.2.2 作为餐饮收银员，我需要新 POS 系统能够查看/提示所在位置的餐饮可销售库存，以满足餐厅运营需求。</t>
    <phoneticPr fontId="27" type="noConversion"/>
  </si>
  <si>
    <t>1. 能够在POS后端按餐SKU查看/扣除/计算餐厅库存，并近实时控制显示/隐藏库存编号（按地点）。
2. 如果可售库存低于预定义的SKU阈值，则提示。
3. 当可售库存为空时，商品无法在POS上下单。</t>
  </si>
  <si>
    <t>OS 系统能够查看/提示所在位置的餐饮可销售库存</t>
    <phoneticPr fontId="27" type="noConversion"/>
  </si>
  <si>
    <t>1. 能够在POS后端按餐SKU查看/扣除/计算餐厅库存，并近实时控制显示/隐藏库存编号（按地点）。
2. 如果可售库存低于预定义的SKU阈值，则提示。
3. 当可售库存为空时，商品无法在POS上下单。</t>
    <phoneticPr fontId="27" type="noConversion"/>
  </si>
  <si>
    <t>3.6 Enhanced system integration 系统集成增强</t>
  </si>
  <si>
    <t>3.6.1 Merch supply chain integration - SIMBA|Sync product foundation data 同步商品主档同步</t>
  </si>
  <si>
    <t>3.6.1.1 As Merch admin &amp; cashier, I need New POS will be able to sync product foundation data from SIMBA, as to fulfill store operations requirements.</t>
  </si>
  <si>
    <r>
      <rPr>
        <b/>
        <sz val="14"/>
        <rFont val="宋体"/>
        <family val="2"/>
        <scheme val="minor"/>
      </rPr>
      <t>Interface-SIMBA, hourly and on demand near real-time, as to near real-time sync in park opening(6:00-23:00)</t>
    </r>
    <r>
      <rPr>
        <sz val="14"/>
        <rFont val="宋体"/>
        <family val="2"/>
        <scheme val="minor"/>
      </rPr>
      <t xml:space="preserve">
1. Include: bundle item with main item and sub-items, VAT rate and </t>
    </r>
    <r>
      <rPr>
        <sz val="14"/>
        <color theme="5"/>
        <rFont val="Calibri (Body)"/>
      </rPr>
      <t>item type</t>
    </r>
    <r>
      <rPr>
        <sz val="14"/>
        <rFont val="宋体"/>
        <family val="2"/>
        <scheme val="minor"/>
      </rPr>
      <t xml:space="preserve"> define in SIMBA-RMS
2. Frequency is near real-time in park opening(6:-23:).</t>
    </r>
  </si>
  <si>
    <t>3.6.1.1 作为商户管理员和收银员，我需要新 POS 系统能够从 SIMBA 同步产品基础数据，以满足门店运营需求。</t>
    <phoneticPr fontId="27" type="noConversion"/>
  </si>
  <si>
    <t>SIMBA接口，每小时和按需近实时，至于园区开放时间（6:00-23:00）的近实时同步
1. 包括：具有主商品和子商品的捆绑商品，在SIMBA-RMS中定义的增值税率和商品类型
2. 频率在园区开放时间（6:-23:）内接近实时。</t>
    <phoneticPr fontId="27" type="noConversion"/>
  </si>
  <si>
    <t>不支持手动同步</t>
  </si>
  <si>
    <t>Charlie先确认：item type是啥
需要simba把job设置的更灵活，更新频率30分钟以内 - Alex</t>
  </si>
  <si>
    <t>SIMBA 同步产品基础数据</t>
    <phoneticPr fontId="27" type="noConversion"/>
  </si>
  <si>
    <t>1.包括：具有主商品和子商品的捆绑商品，在SIMBA-RMS中定义的增值税率和商品类型
2. 频率在园区开放时间（6:-23:）内接近实时。</t>
    <phoneticPr fontId="27" type="noConversion"/>
  </si>
  <si>
    <t xml:space="preserve">Front-End &amp; Back-End </t>
    <phoneticPr fontId="27" type="noConversion"/>
  </si>
  <si>
    <t>理应包含admin portal端</t>
    <phoneticPr fontId="27" type="noConversion"/>
  </si>
  <si>
    <t>3.6.1 Merch supply chain integration - SIMBA|Sync transaction amount and tax amount 同步订单金额和税额</t>
  </si>
  <si>
    <t>3.6.1.2 As Merch admin, I need New POS will be able to sync transaction, amount and tax amount to SIMBA, as to fulfill store operations requirements.</t>
  </si>
  <si>
    <r>
      <t xml:space="preserve">Interface-SIMBA, daily
Sync sales transaction amount, discount amount, promotion type with VAT amount &amp; rate and item type to </t>
    </r>
    <r>
      <rPr>
        <sz val="14"/>
        <color theme="1"/>
        <rFont val="Calibri (Body)"/>
      </rPr>
      <t>Simba</t>
    </r>
    <r>
      <rPr>
        <sz val="14"/>
        <color theme="1"/>
        <rFont val="宋体"/>
        <family val="2"/>
        <scheme val="minor"/>
      </rPr>
      <t>.</t>
    </r>
  </si>
  <si>
    <t>3.6.1.2 作为商户管理员，我需要新 POS 系统能够将交易、金额和税额同步到 SIMBA 系统，以满足店铺运营需求。</t>
    <phoneticPr fontId="27" type="noConversion"/>
  </si>
  <si>
    <t>SIMBA接口，每日
将销售交易金额、折扣金额、具有增值税金额和税率以及商品类型的促销类型同步到Simba。</t>
    <phoneticPr fontId="27" type="noConversion"/>
  </si>
  <si>
    <t>新 POS 系统能够将交易、金额和税额同步到 SIMBA 系统</t>
    <phoneticPr fontId="27" type="noConversion"/>
  </si>
  <si>
    <t>3.6.1 Merch supply chain integration - SIMBA|Deduct product inventory 扣减商品库存</t>
  </si>
  <si>
    <t>3.6.1.3 As Merch admin, I need New POS will be able to deduct product inventory from SIMBA, as to fulfill store inventory operations requirements.</t>
  </si>
  <si>
    <r>
      <rPr>
        <b/>
        <sz val="14"/>
        <rFont val="宋体"/>
        <family val="2"/>
        <scheme val="minor"/>
      </rPr>
      <t>Interface-SIMBA, 15 mins and on demand near real-time sync, as to near real-time sync in park opening(6:00-23:00). Will identify the time gap which less than 15 mins</t>
    </r>
    <r>
      <rPr>
        <sz val="14"/>
        <rFont val="宋体"/>
        <family val="2"/>
        <scheme val="minor"/>
      </rPr>
      <t xml:space="preserve">
1. Send the item to SIMBA to deduct inventory after payment. 
2. Frequency is near real-time in park opening(6:-23:).</t>
    </r>
  </si>
  <si>
    <t>3.6.1.3 作为商户管理员，我需要新 POS 系统能够从 SIMBA 中扣除产品库存，以满足门店库存运营需求。</t>
    <phoneticPr fontId="27" type="noConversion"/>
  </si>
  <si>
    <t>SIMBA接口，15分钟和按需近实时同步，至于园区开放时间（6:00-23:00）的近实时同步。将识别小于15分钟的时间间隔
1. 付款后将商品发送到SIMBA以扣除库存。
2. 频率在园区开放时间（6:-23:）内接近实时。</t>
    <phoneticPr fontId="27" type="noConversion"/>
  </si>
  <si>
    <t>销售库存扣减接口已经存在，但simba内部实现非实时，不支持手动同步
尝试分钟级别同步的可能性</t>
  </si>
  <si>
    <t>新 POS 系统能够从 SIMBA 中扣除产品库存</t>
    <phoneticPr fontId="27" type="noConversion"/>
  </si>
  <si>
    <t>1. 付款后将商品发送到SIMBA以扣除库存。
2. 频率在园区开放时间（6:-23:）内接近实时。</t>
    <phoneticPr fontId="27" type="noConversion"/>
  </si>
  <si>
    <t>3.6.1 Merch supply chain integration - SIMBA|Sync returned transaction item inventory 同步退货库存</t>
  </si>
  <si>
    <t>3.6.1.4 As Merch admin, I need New POS will be able to sync returned items quantity to SIMBA as unsaleable inventory for quality check, as to fulfill store inventory operations requirements.</t>
  </si>
  <si>
    <t>Interface-SIMBA, 15 mins and on demand near real-time sync, as to near real-time sync in park opening(6:00-23:00). Will identify the time gap which less than 15 mins
1. Mark returned item as "in quality check", sync to SIMBA as unsaleable inventory (not act as on-floor inventory in the store).
2. Frequency is near real-time in park opening(6:00-23:00).
* ICS will adjust inventory quantity to saleable in SIMBA store inventory according to quality checking result.</t>
  </si>
  <si>
    <t>3.6.1.4 作为商户管理员，我需要新 POS 系统能将退回商品的数量同步到 SIMBA 系统作为不可销售库存，以便进行质量检查，从而满足门店库存运营需求。</t>
    <phoneticPr fontId="27" type="noConversion"/>
  </si>
  <si>
    <t>SIMBA接口，15分钟和按需近实时同步，至于园区开放时间（6:00-23:00）的近实时同步。将识别小于15分钟的时间间隔
1. 将退回的商品标记为“质量检查中”，同步到SIMBA作为不可售库存（不作为商店内的在架库存）。
2. 频率在园区开放时间（6:00-23:00）内接近实时。
* ICS将根据质量检查结果调整SIMBA商店库存中的库存数量为可售。</t>
    <phoneticPr fontId="27" type="noConversion"/>
  </si>
  <si>
    <t>尝试分钟级别同步的可能性
退货加库存中间状态-Alex</t>
  </si>
  <si>
    <t>新 POS 系统能将退回商品的数量同步到 SIMBA 系统作为不可销售库存，以便进行质量检查</t>
    <phoneticPr fontId="27" type="noConversion"/>
  </si>
  <si>
    <t>1. 将退回的商品标记为“质量检查中”，同步到SIMBA作为不可售库存（不作为商店内的在架库存）。
2. 频率在园区开放时间（6:00-23:00）内接近实时。
* ICS将根据质量检查结果调整SIMBA商店库存中的库存数量为可售。</t>
    <phoneticPr fontId="27" type="noConversion"/>
  </si>
  <si>
    <t>3.6.1 Merch supply chain integration - SIMBA|Deduct bundle product/prize inventory 扣减组合商品/奖品库存</t>
  </si>
  <si>
    <t>3.6.1.5 As Merch admin, I need New POS will be able to deduct bundle product/prize inventory from SIMBA, as to fulfill store inventory operations requirements.</t>
  </si>
  <si>
    <t>Interface-SIMBA, 15 mins and on demand near real-time sync, as to near real-time sync in park opening(6:00-23:00). Will identify the time gap which less than 15 mins
1. Auto-deduct individual item inventory for bundle has main-item and sub-items (overlay/BBB/Fudai).
2. Prize redeemed from gaming will sync with SIMBA and reduce inventory.
3. Frequency is near real-time in park opening(6:00-23:00).</t>
  </si>
  <si>
    <t>New Simba</t>
    <phoneticPr fontId="27" type="noConversion"/>
  </si>
  <si>
    <t>3.6.1.5 作为商户管理员，我需要新 POS 系统能够从 SIMBA 中扣除捆绑产品/奖品库存，以满足门店库存运营需求。</t>
    <phoneticPr fontId="27" type="noConversion"/>
  </si>
  <si>
    <t>SIMBA接口，15分钟和按需近实时同步，至于园区开放时间（6:00-23:00）的近实时同步。将识别小于15分钟的时间间隔
1. 自动扣除具有主商品和子商品的捆绑商品的单个商品库存（叠加/BBB/福袋）。
2. 从游戏兑换的奖品将与SIMBA同步并减少库存。
3. 频率在园区开放时间（6:00-23:00）内接近实时。</t>
    <phoneticPr fontId="27" type="noConversion"/>
  </si>
  <si>
    <t>尝试分钟级别同步的可能性</t>
  </si>
  <si>
    <t>我需要新 POS 系统能够从 SIMBA 中扣除捆绑产品/奖品库存</t>
    <phoneticPr fontId="27" type="noConversion"/>
  </si>
  <si>
    <t>1. 自动扣除具有主商品和子商品的捆绑商品的单个商品库存（叠加/BBB/福袋）。
2. 从游戏兑换的奖品将与SIMBA同步并减少库存。
3. 频率在园区开放时间（6:00-23:00）内接近实时。</t>
    <phoneticPr fontId="27" type="noConversion"/>
  </si>
  <si>
    <t>3.6.2 Merch online sales integration|Upload sales order from 3rd party platform 上传第三方平台订单</t>
  </si>
  <si>
    <t>3.6.2.1 As Merch admin, I need New POS will be able to upload 3rd party online Merch sales transaction to order SOR manually, as to fulfill online store operations requirements.</t>
  </si>
  <si>
    <t>as current upload practice for Tmall</t>
  </si>
  <si>
    <t>TP Order Adapter Service
(New Simba)</t>
  </si>
  <si>
    <t>3.6.2.1 作为商户管理员，我需要新 POS 系统能够手动上传第三方在线商户销售交易以完成 SOR 订单，从而满足在线店铺运营需求。</t>
    <phoneticPr fontId="27" type="noConversion"/>
  </si>
  <si>
    <t>与当前天猫上传实践相同</t>
  </si>
  <si>
    <t>支持手动批量上传天猫平台订单</t>
  </si>
  <si>
    <t>要新 POS 系统能够手动上传第三方在线商户销售交易以完成 SOR 订单</t>
    <phoneticPr fontId="27" type="noConversion"/>
  </si>
  <si>
    <t>当前场景会手动操作上传到后端系统，无接口对接，与3.6.2.2对比起来更简单</t>
    <phoneticPr fontId="27" type="noConversion"/>
  </si>
  <si>
    <t>3.6.2 Merch online sales integration|Sync order data from 3rd party platform 接收第三方平台的订单</t>
  </si>
  <si>
    <t>3.6.2.2 As Merch admin, I need New POS will be able to sync 3rd party online Merch sales transaction to order SOR, as to fulfill online store operations requirements.</t>
  </si>
  <si>
    <t>Interface-TP OMS service, 15 mins/less and on demand near real-time, as to near real-time sync
1. Enable API integration to sync 3rd party platform sales and return transaction with detail and fulfillment status in a unified format.
2. Enable separate Merch sales with others product(like FnB).</t>
  </si>
  <si>
    <t>3.6.2.2 作为商户管理员，我需要新 POS 能够将第三方在线商户销售交易同步到订单 SOR，以满足在线店铺运营需求。</t>
    <phoneticPr fontId="27" type="noConversion"/>
  </si>
  <si>
    <t>TP OMS服务接口，15分钟/更短和按需近实时，至于近实时同步
1. 启用API集成，以统一格式同步第三方平台销售和退货交易，包括详细信息和履行状态。
2. 能够将商品销售与其他产品（如餐饮）分开。</t>
    <phoneticPr fontId="27" type="noConversion"/>
  </si>
  <si>
    <t>天猫订单同步到POS</t>
  </si>
  <si>
    <t>新 POS 能够将第三方在线商户销售交易同步到订单 SOR</t>
    <phoneticPr fontId="27" type="noConversion"/>
  </si>
  <si>
    <t>1. 启用API集成，以统一格式同步第三方平台销售和退货交易，包括详细信息和履行状态。
2. 能够将商品销售与其他产品（如餐饮）分开。</t>
    <phoneticPr fontId="27" type="noConversion"/>
  </si>
  <si>
    <t>仅用于与3.6.2.1对比</t>
    <phoneticPr fontId="27" type="noConversion"/>
  </si>
  <si>
    <t>3.6.2 Merch online sales integration|Sync online direct channel(ODC) orders 接收SHDR自有直营渠道的订单</t>
  </si>
  <si>
    <t>3.6.2.3 As Merch admin, I need New POS will be able to sync SHDR online direct channel(ODC-APP/WeChat) Merch sales transaction to order SOR, as to fulfill online store operations requirements.</t>
  </si>
  <si>
    <t>Interface-SHDR ODC order service, near real-time sync
1. Auto-deduct individual item inventory for bundle has main-item and sub-items (overlay/BBB/Fudai).
2. Prize redeemed from gaming will sync with SIMBA and reduce inventory.
3. Frequency is near real-time in park opening(6:00-23:00).</t>
  </si>
  <si>
    <t>3.6.2.3 作为商户管理员，我需要新 POS 系统能够同步 SHDR 在线直渠道(ODC-APP/微信)商户销售交易至订单 SOR，以满足线上店铺运营需求。</t>
    <phoneticPr fontId="27" type="noConversion"/>
  </si>
  <si>
    <t>SHDR ODC订单服务接口，近实时同步
1. 自动扣除具有主商品和子商品的捆绑商品的单个商品库存（叠加/BBB/福袋）。
2. 从游戏兑换的奖品将与SIMBA同步并减少库存。
3. 频率在园区开放时间（6:00-23:00）内接近实时。</t>
    <phoneticPr fontId="27" type="noConversion"/>
  </si>
  <si>
    <t>新 POS 系统能够同步 SHDR 在线直渠道(ODC-APP/微信)商户销售交易至订单 SOR，以满足线上店铺运营需求。</t>
    <phoneticPr fontId="27" type="noConversion"/>
  </si>
  <si>
    <t>理论上会有一部分Admin Portal的功能</t>
    <phoneticPr fontId="27" type="noConversion"/>
  </si>
  <si>
    <t>3.6.2 Merch online sales integration|Exception handling on order integration 异常处理</t>
  </si>
  <si>
    <t>3.6.2.4 As Merch cashier, I need New POS will be able to handle exception on order integration, as to fulfill online store operations requirements.</t>
  </si>
  <si>
    <t>Sync inventory across all channels/Configure inventory allocation strategies/Inventory prompt in SIMBA as inventory SOR. By API report and integration report.</t>
  </si>
  <si>
    <t>3.6.2.4 作为收银员，我需要新 POS 系统能够处理订单集成中的异常情况，以满足线上商店运营的要求。</t>
    <phoneticPr fontId="27" type="noConversion"/>
  </si>
  <si>
    <t>跨所有渠道同步库存/配置库存分配策略/在SIMBA中作为库存SOR的库存提示。通过API报告和集成报告。</t>
    <phoneticPr fontId="27" type="noConversion"/>
  </si>
  <si>
    <t>能够处理订单集成中的异常情况</t>
    <phoneticPr fontId="27" type="noConversion"/>
  </si>
  <si>
    <t>3.6.3 FnB supply chain integration - CrunchTime &amp; KDS|Sync FnB inventory 同步餐饮库存扣减</t>
  </si>
  <si>
    <t>3.6.3.1 As FnB admin &amp; cashier, I need New POS will be able to sync FnB inventory deduction for QSR &amp; TSR, as to fulfill restaurant inventory operations requirements.</t>
  </si>
  <si>
    <t>Interface-CrunchTime, hourly sync. Will identify the time gap in 15 mins.
Sync inventory across all channels/Configure inventory allocation strategies/Inventory prompt in SIMBA as inventory SOR. By API report and integration report.</t>
  </si>
  <si>
    <t>Crunch Time</t>
  </si>
  <si>
    <t>3.6.3.1 作为餐饮部管理员和收银员，我需要新的 POS 系统能够同步餐饮库存扣减，以满足快餐服务区(TSR)和快速服务区(QSR)的餐厅库存运营需求。</t>
    <phoneticPr fontId="27" type="noConversion"/>
  </si>
  <si>
    <t>CrunchTime接口，每小时同步。将识别15分钟内的时间间隔。
跨所有渠道同步库存/配置库存分配策略/在SIMBA中作为库存SOR的库存提示。通过API报告和集成报告。</t>
  </si>
  <si>
    <t>时效短的方案需要调研是否接口能够实现，建议先保持现状
1. 使用现有的CDP,MenuMix文件方式，可以达到1分钟的更新时效
2. 目前也有现成的接口可以使用，达到库存近实时扣减</t>
  </si>
  <si>
    <t>POS 系统能够同步餐饮库存扣减</t>
    <phoneticPr fontId="27" type="noConversion"/>
  </si>
  <si>
    <t>CrunchTime接口，每小时同步。将识别15分钟内的时间间隔。
跨所有渠道同步库存/配置库存分配策略/在SIMBA中作为库存SOR的库存提示。通过API报告和集成报告。</t>
    <phoneticPr fontId="27" type="noConversion"/>
  </si>
  <si>
    <t>3.6.3 FnB supply chain integration - CrunchTime &amp; KDS|Sync buffet inventory 同步自助餐库存扣减</t>
  </si>
  <si>
    <t>3.6.3.2 As FnB admin, I need New POS will be able to sync FnB inventory deduction for buffet item at the beginning of the service period, as to fulfill restaurant inventory operations requirements.</t>
  </si>
  <si>
    <t>Interface-CrunchTime, hourly sync. Will identify the time gap in 15 mins.
1. Deduct total portion of buffet items and sync to CrunchTime for cost.
2. Keep 2 hours sync as apple-to-apple, as current status.</t>
  </si>
  <si>
    <t>3.6.3.2 作为餐饮管理员，我需要新 POS 系统能够在服务开始时同步自助餐项目的餐饮库存扣减，以满足餐厅库存运营要求。</t>
    <phoneticPr fontId="27" type="noConversion"/>
  </si>
  <si>
    <t>CrunchTime接口，每小时同步。将识别15分钟内的时间间隔。
1. 扣除自助餐商品的总份数，并同步到CrunchTime以计算成本。
2. 保持2小时同步，与当前状态相同。</t>
    <phoneticPr fontId="27" type="noConversion"/>
  </si>
  <si>
    <t>新 POS 系统能够在服务开始时同步自助餐项目的餐饮库存扣减</t>
    <phoneticPr fontId="27" type="noConversion"/>
  </si>
  <si>
    <t>1. 扣除自助餐商品的总份数，并同步到CrunchTime以计算成本。
2. 保持2小时同步，与当前状态相同。</t>
    <phoneticPr fontId="27" type="noConversion"/>
  </si>
  <si>
    <t>3.6.3 FnB supply chain integration - CrunchTime &amp; KDS|Sync order information to KDS screen 同步订单信息至厨房屏幕</t>
  </si>
  <si>
    <t>3.6.3.3 As FnB admin &amp; cashier, I need New POS will be able to sync order information to KDS screen for kitchen meal preparation, as to fulfill operations requirements.</t>
  </si>
  <si>
    <t xml:space="preserve">Configure information display layout and data sync for KDS screen according to meal type for TSR.
Kitchen display screen hardware's not in new POS scope.
</t>
  </si>
  <si>
    <t>3.6.3.3 作为餐饮管理员和收银员，我需要新的 POS 系统能够将订单信息同步到 KDS 屏幕供厨房备餐，以满足运营需求。</t>
    <phoneticPr fontId="27" type="noConversion"/>
  </si>
  <si>
    <t xml:space="preserve">根据TSR的餐类型配置KDS屏幕的信息显示布局和数据同步。
厨房显示屏幕硬件不在新POS范围内。
</t>
    <phoneticPr fontId="27" type="noConversion"/>
  </si>
  <si>
    <t>作为餐饮管理员和收银员，我需要新的 POS 系统能够将订单信息同步到 KDS 屏幕供厨房备餐，以满足运营需求。</t>
    <phoneticPr fontId="27" type="noConversion"/>
  </si>
  <si>
    <t>建议30人工，KDS的功能与小票功能类似</t>
    <phoneticPr fontId="27" type="noConversion"/>
  </si>
  <si>
    <t>3.6.4 FnB online sales integration-MO|Integrate FnB online sales &amp; refund 对接餐饮线上订单(MO销售和退款)</t>
  </si>
  <si>
    <t>3.6.4.1 As FnB cashier, I need New POS will be able to integrate MO Service for online order sync as current practice , as to fulfill restaurant operations requirements.</t>
  </si>
  <si>
    <t xml:space="preserve">Interface-MO, near real-time sync as current practice, Requirements besides order sync refer to 5.1.1
1. Enable to receive MO order in POS. Order status align with MO platform.
2. MO refund will trigger reverse transaction and sync with POS. 
3. Cannot refund/exchange MO orders via POS as current practice. </t>
  </si>
  <si>
    <t>MO</t>
  </si>
  <si>
    <t>3.6.4.1 作为餐饮收银员，我需要新 POS 系统能够像当前实践一样集成 MO 服务以同步在线订单，从而满足餐厅运营需求。</t>
  </si>
  <si>
    <t>接口-MO，接近实时同步为当前实践，订单同步之外的要求请参考5.1.1
1. 能够在POS中接收MO订单。订单状态与MO平台对齐。
2. MO退款将触发反向交易并与POS同步。
3. 按照当前实践，无法通过POS退款/换货MO订单。</t>
    <phoneticPr fontId="27" type="noConversion"/>
  </si>
  <si>
    <t>3.6.5 Sync orders from legacy POS during transition|Sync transactions from legacy POS - Xstore 同步当日和历史Xstore商品订单</t>
  </si>
  <si>
    <t>3.6.5.1 As Ops cashier, I need New POS will be able to sync Xstore transactions for accounting and guest recovery in Merch store roll-out, as to fulfill store operations requirements.</t>
    <phoneticPr fontId="27" type="noConversion"/>
  </si>
  <si>
    <t>Interface-Xstore, sync 6 months historical order, with 15 mins/less and on demand near real-time, as to near real-time sync
1.Enable view/search orders from legacy POS - Xstore in near real-time, by: date, store, POS terminal, transaction number, payment TIN code, payment method etc.
2. Enable refund/exchange orders from legacy POS - Xstore
3. Cannot refund/exchange new POS order on legacy POS, due to New POS transaction will not sync to Xstore.</t>
    <phoneticPr fontId="27" type="noConversion"/>
  </si>
  <si>
    <t>3.6.5.1 作为运营收银员，我需要新 POS 系统能够在门店部署过程中同步 Xstore 交易，以满足会计和客人恢复的需求，从而实现门店运营要求。</t>
    <phoneticPr fontId="27" type="noConversion"/>
  </si>
  <si>
    <t>Interface-Xstore，同步 6 个月历史订单，以 15 分钟/更短间隔和按需近实时方式，实现近实时同步
1. 通过以下方式，从传统 POS 系统 - Xstore 近乎实时地启用查看/搜索订单：按日期、店铺、POS 终端、交易编号、付款 TIN 代码、付款方式等。
2. 启用来自传统 POS 的退款/换货订单 - Xstore
3. 无法在传统 POS 上退还/交换新的 POS 订单，因为新的 POS 交易不会同步到 Xstore。</t>
    <phoneticPr fontId="27" type="noConversion"/>
  </si>
  <si>
    <t>需要订单的所有字段，满足交易纠纷核验</t>
  </si>
  <si>
    <t>拆分成两个EPIC，数据迁移和退款两部分
退款的数据怎么记录，存哪里，怎么保证老POS知道新POS已经退款了</t>
  </si>
  <si>
    <t>作为运营收银员，我需要新 POS 系统能够在门店部署过程中同步 Xstore 交易，以满足会计和客人恢复的需求，从而实现门店运营要求。</t>
    <phoneticPr fontId="27" type="noConversion"/>
  </si>
  <si>
    <t>建议60人天，老系统订单数据同步，数据复杂，量大</t>
    <phoneticPr fontId="27" type="noConversion"/>
  </si>
  <si>
    <t>3.6.5 Sync orders from legacy POS during transition|Sync transactions from legacy POS - Simphony 同步当日和历史Simphony餐饮订单(含MO订单)</t>
  </si>
  <si>
    <t>3.6.5.2 As Ops cashier, I need New POS will be able to sync Simphony transactions for accounting and guest recovery in FnB restaurant roll-out, as to fulfill restaurant operations requirements.</t>
  </si>
  <si>
    <t>Interface-Simphony, sync 6 months historical order, with 15 mins/less and on demand near real-time, as to near real-time sync
1.Enable view/search orders from legacy POS - Simphony in near real-time, by: date, restaurant, POS terminal, transaction number, payment TIN code, payment method etc.
2. Enable refund/exchange orders from legacy POS - Simphony
3. Cannot refund/exchange new POS order on legacy POS, due to New POS transaction will not sync to Xstore.</t>
  </si>
  <si>
    <t>3.6.5.2 作为运营收银员，我需要新 POS 系统能够同步 Simphony 交易，以满足餐饮业部署中的会计和客人恢复需求，从而实现餐厅运营要求。</t>
    <phoneticPr fontId="27" type="noConversion"/>
  </si>
  <si>
    <t>接口-Simphony，同步6个月的历史订单，15分钟/更短时间以及按需接近实时，关于接近实时同步
1. 能够接近实时地查看/搜索来自旧POS - Simphony的订单，通过：日期、餐厅、POS终端、交易号、支付TIN码、支付方式等。
2. 能够从旧POS - Simphony退款/换货订单
3. 无法在旧POS上退款/换货新POS订单，因为新POS交易不会同步到Xstore。</t>
  </si>
  <si>
    <t>作为运营收银员，我需要新 POS 系统能够同步 Simphony 交易，以满足餐饮业部署中的会计和客人恢复需求，从而实现餐厅运营要求。</t>
    <phoneticPr fontId="27" type="noConversion"/>
  </si>
  <si>
    <t>1. 能够接近实时地查看/搜索来自旧POS - Simphony的订单，通过：日期、餐厅、POS终端、交易号、支付TIN码、支付方式等。
2. 能够从旧POS - Simphony退款/换货订单
3. 无法在旧POS上退款/换货新POS订单，因为新POS交易不会同步到Xstore。</t>
    <phoneticPr fontId="27" type="noConversion"/>
  </si>
  <si>
    <t>3.6.6 Integrate with other systems|Integrate Coupon Service 对接Coupon Service</t>
  </si>
  <si>
    <t>3.6.6.1 As Ops cashier, I need New POS will be able to integrate Coupon Service for enable discount/promotion, as to fulfill store operations requirements.</t>
  </si>
  <si>
    <t>Interface-Coupon, near real-time sync as current practice</t>
  </si>
  <si>
    <t>3.6.6.1 作为收银员，我需要新 POS 系统能够集成优惠券服务以实现折扣/促销功能，从而满足门店运营需求。</t>
    <phoneticPr fontId="27" type="noConversion"/>
  </si>
  <si>
    <t>接口-优惠券，接近实时同步为当前实践</t>
    <phoneticPr fontId="27" type="noConversion"/>
  </si>
  <si>
    <t>我需要新 POS 系统能够集成优惠券服务以实现折扣/促销功能，从而满足门店运营需求。</t>
    <phoneticPr fontId="27" type="noConversion"/>
  </si>
  <si>
    <t>建议60人天，有可能会涉及优惠券在POS端配置促销规则映射，由POS端负责计算，需要把这部分COST也包进去</t>
    <phoneticPr fontId="27" type="noConversion"/>
  </si>
  <si>
    <t>3.6.6 Integrate with other systems|Integrate RFID Service 对接RFID Service</t>
  </si>
  <si>
    <t>3.6.6.2 As Ops cashier, I need New POS will be able to integrate RFID Service for item level tracking, as to fulfill store operations requirements.</t>
  </si>
  <si>
    <t>Interface-RFID, near real-time sync as RFID design</t>
  </si>
  <si>
    <t>3.6.6.2 作为运营收银员，我需要新 POS 系统能够集成 RFID 服务以实现商品级别追踪，从而满足门店运营需求。</t>
    <phoneticPr fontId="27" type="noConversion"/>
  </si>
  <si>
    <t>接口-RFID，接近实时同步为RFID设计</t>
    <phoneticPr fontId="27" type="noConversion"/>
  </si>
  <si>
    <t>我需要新 POS 系统能够集成 RFID 服务以实现商品级别追踪，从而满足门店运营需求。</t>
    <phoneticPr fontId="27" type="noConversion"/>
  </si>
  <si>
    <t xml:space="preserve">3.6.6 Integrate with other systems|Integrate PMS - Opera 对接PMS - Opera </t>
  </si>
  <si>
    <t>3.6.6.4 As Ops cashier, I need New POS will be able to integrate PMS - Opera for room charge, as to fulfill operations requirements.</t>
  </si>
  <si>
    <t>Interface-Opera, near real-time sync as current practice</t>
  </si>
  <si>
    <t>3.6.6.4 作为收银员，我需要新 POS 系统能够集成 PMS - Opera 系统以处理房费，从而满足运营需求。</t>
    <phoneticPr fontId="27" type="noConversion"/>
  </si>
  <si>
    <t>接口-Opera，接近实时同步为当前实践</t>
    <phoneticPr fontId="27" type="noConversion"/>
  </si>
  <si>
    <t>接口数据格式需要重新定义，不能复用之前Simphony的数据字段，不合规</t>
  </si>
  <si>
    <t>需要New POS与Opera重新认证授权，需要Ricky这边去确认如何认证
Ethan帮忙确认两个接口地址，Chris和Ricky帮忙确认字段</t>
  </si>
  <si>
    <t>我需要新 POS 系统能够集成 PMS - Opera 系统以处理房费，从而满足运营需求。</t>
    <phoneticPr fontId="27" type="noConversion"/>
  </si>
  <si>
    <t>3.6.6 Integrate with other systems|Integrate WFM Platform - UKG 对接WFM Platform - UKG</t>
  </si>
  <si>
    <t>3.6.6.5 As Ops cashier, I need New POS will be able to integrate WFM Platform - UKG for workforce analysis, as to fulfill operations requirements.</t>
  </si>
  <si>
    <t>Interface-WFM/HSL, daily as current practice</t>
  </si>
  <si>
    <t>WFM Platform-UKG</t>
  </si>
  <si>
    <t>3.6.6.5 作为运营收银员，我希望 New POS 能够与 WFM 平台（UKG）集成，用于劳动力分析，以满足运营需求。</t>
    <phoneticPr fontId="27" type="noConversion"/>
  </si>
  <si>
    <t>接口-WFM/HSL，每日同步为当前实践</t>
    <phoneticPr fontId="27" type="noConversion"/>
  </si>
  <si>
    <t>OS接管蓝牙硬件连接，需要与venor同步</t>
  </si>
  <si>
    <t>3.6.6 Integrate with other systems|Integrate Javis 对接Javis</t>
  </si>
  <si>
    <t>3.6.6.6 As Commercial, I need New POS will be able to integrate Javis for data analysis, as to analysis transaction in DataMart.</t>
  </si>
  <si>
    <t>Interface-Javis, daily as current practice</t>
  </si>
  <si>
    <t>3.6.6.6 作为商业用户，我需要新 POS 系统能够集成 Javis 进行数据分析，以便在 DataMart 中分析交易数据。</t>
    <phoneticPr fontId="27" type="noConversion"/>
  </si>
  <si>
    <t>接口-Javis，每日同步为当前实践</t>
    <phoneticPr fontId="27" type="noConversion"/>
  </si>
  <si>
    <t>新 POS 系统能够集成 Javis 进行数据分析，以便在 DataMart 中分析交易数据。</t>
    <phoneticPr fontId="27" type="noConversion"/>
  </si>
  <si>
    <t>每日同步为当前实践</t>
    <phoneticPr fontId="27" type="noConversion"/>
  </si>
  <si>
    <t>3.6.6 Integrate with other systems|Integrate Guest Identity-Profile &amp; Photo 对接Guest identity-profile &amp; admission photo</t>
  </si>
  <si>
    <t>3.6.6.7 As Ops cashier, I need New POS will be able to integrate Guest identity-Profile &amp; Admission Photo for identification, as to get guest identity efficiently.</t>
  </si>
  <si>
    <t>Interface-profile/ticketing Service, near real-time sync</t>
  </si>
  <si>
    <t>Profile</t>
  </si>
  <si>
    <t>3.6.6.7 作为收银员，我需要新 POS 系统能够集成客人身份信息-个人资料及入场照片进行身份识别，以便高效获取客人身份信息。</t>
    <phoneticPr fontId="27" type="noConversion"/>
  </si>
  <si>
    <t>接口-个人资料/票务服务，接近实时同步</t>
    <phoneticPr fontId="27" type="noConversion"/>
  </si>
  <si>
    <t>从ticket拿入园明细</t>
  </si>
  <si>
    <t>Ticketing &amp; Profile</t>
  </si>
  <si>
    <t>我需要新 POS 系统能够集成客人身份信息-个人资料及入场照片进行身份识别，以便高效获取客人身份信息。</t>
    <phoneticPr fontId="27" type="noConversion"/>
  </si>
  <si>
    <t>3.6.6 Integrate with other systems|Integrate Guest Entitlement 对接Guest entitlement-SMED &amp; HEP</t>
  </si>
  <si>
    <t>3.6.6.8 As Commercial, I need New POS will be able to integrate Guest Entitlement service for guest credential like SMED &amp; HEP, as to get guest entitlement efficiently.</t>
  </si>
  <si>
    <t>Interface-guest entitlement service, near real-time sync</t>
  </si>
  <si>
    <t>UIS</t>
  </si>
  <si>
    <t>3.6.6.8 作为商业用户，我需要新 POS 系统能够集成访客权限服务，以处理 SMED 和 HEP 等访客凭证，从而高效获取访客权限。</t>
    <phoneticPr fontId="27" type="noConversion"/>
  </si>
  <si>
    <t>接口-客人权益服务，接近实时同步</t>
    <phoneticPr fontId="27" type="noConversion"/>
  </si>
  <si>
    <t>需要列出具体字段，可能产生effert
UIS有Vourcher，无Coupon
这里权益是否要展示Coupon</t>
  </si>
  <si>
    <t>我需要新 POS 系统能够集成访客权限服务，以处理 SMED 和 HEP 等访客凭证，从而高效获取访客权限。</t>
    <phoneticPr fontId="27" type="noConversion"/>
  </si>
  <si>
    <t>3.6.6 Integrate with other systems|Integrate Order Service 对接Order service</t>
  </si>
  <si>
    <t>3.6.6.9 As Consumer Activation, I need New POS will be able to integrate Order Service for guest unified order experience , as to improve guest order experience.</t>
  </si>
  <si>
    <t>Interface-order service, near real-time sync</t>
  </si>
  <si>
    <t>Order Center</t>
  </si>
  <si>
    <t>3.6.6.9 作为消费者激活，我需要新 POS 能够集成订单服务，以实现客人统一订单体验，从而提升客人订单体验。</t>
    <phoneticPr fontId="27" type="noConversion"/>
  </si>
  <si>
    <t>接口-订单服务，接近实时同步</t>
    <phoneticPr fontId="27" type="noConversion"/>
  </si>
  <si>
    <t>新 POS 能够集成订单服务，以实现客人统一订单体验，从而提升客人订单体验。</t>
    <phoneticPr fontId="27" type="noConversion"/>
  </si>
  <si>
    <t>Admin Portal中肯定要有地方能看到订单的同步状态，如果是MQ则需要记录消息是否已经成功进入MQ</t>
    <phoneticPr fontId="27" type="noConversion"/>
  </si>
  <si>
    <t>3. Enhanced functions for SHDR 增强功能-SHDR</t>
  </si>
  <si>
    <t>3.7 Enhanced in finance operations &amp; control 财务运营和控制增强</t>
    <phoneticPr fontId="27" type="noConversion"/>
  </si>
  <si>
    <t>3.7.1 Enhanced Payment Processing| Non-Coupon Discount Payment Processing 非优惠券折扣支付处理</t>
    <phoneticPr fontId="27" type="noConversion"/>
  </si>
  <si>
    <t>3.7.1.1 As Finance admin, I want New POS to split discount accordingly to purchased products, so that the product original price, discount amount, actual paid amount, etc. details can be captured and synchronised to relevant financial systems.</t>
  </si>
  <si>
    <t>OpsFin-4
SA-3</t>
  </si>
  <si>
    <t>3.7.1.1 作为财务管理员，我希望新 POS 系统能根据购买的产品相应地拆分折扣，以便能够捕获并同步产品原价、折扣金额、实际支付金额等详细信息到相关财务系统。</t>
    <phoneticPr fontId="27" type="noConversion"/>
  </si>
  <si>
    <t>OpsFin-4
SA-3</t>
    <phoneticPr fontId="27" type="noConversion"/>
  </si>
  <si>
    <t>非优惠券折扣支付处理</t>
    <phoneticPr fontId="27" type="noConversion"/>
  </si>
  <si>
    <t>同步工作，前面促销工时已经估完</t>
    <phoneticPr fontId="27" type="noConversion"/>
  </si>
  <si>
    <t>同步给财务的数据，在Admin Portal上要可以看到</t>
    <phoneticPr fontId="27" type="noConversion"/>
  </si>
  <si>
    <t>3.7 Enhanced in finance operations &amp; control 财务运营和控制增强</t>
  </si>
  <si>
    <t>3.7.1 Enhanced Payment Processing| E-Coupon Payment Processing 优惠券折扣支付处理</t>
    <phoneticPr fontId="27" type="noConversion"/>
  </si>
  <si>
    <t>3.7.1.2 As Finance admin, I want New POS to split E-Coupon discount accordingly to purchased products, so that the product original price, discount amount, coupon discount amount, actual paid amount, etc. details can be captured and synchronised to relevant financial systems.</t>
  </si>
  <si>
    <t>TAX-8
SA-3</t>
  </si>
  <si>
    <t>3.7.1.2 作为财务管理员，我希望新 POS 系统能根据购买的产品相应地拆分电子优惠券折扣，以便能够捕获并同步产品原价、折扣金额、优惠券折扣金额、实际支付金额等详细信息到相关财务系统。</t>
    <phoneticPr fontId="27" type="noConversion"/>
  </si>
  <si>
    <t>优惠券折扣支付处理</t>
    <phoneticPr fontId="27" type="noConversion"/>
  </si>
  <si>
    <t>购买的产品相应地拆分电子优惠券折扣</t>
    <phoneticPr fontId="27" type="noConversion"/>
  </si>
  <si>
    <t>3.7.1 Enhanced Payment Processing| NonCash Code Payment Processing NonCash Code支付处理</t>
    <phoneticPr fontId="27" type="noConversion"/>
  </si>
  <si>
    <t>3.7.1.3 As Finance admin, I want NonCash Code payment transactions to be synchronised directly to SAP.</t>
  </si>
  <si>
    <t>3.7.1.3 作为财务管理员，我希望非现金代码支付交易能够直接同步到 SAP。</t>
    <phoneticPr fontId="27" type="noConversion"/>
  </si>
  <si>
    <t>支付处理</t>
    <phoneticPr fontId="27" type="noConversion"/>
  </si>
  <si>
    <t>3.7.1 Enhanced Payment Processing| Payment  for C33 membership Club 33会员消费</t>
    <phoneticPr fontId="27" type="noConversion"/>
  </si>
  <si>
    <t>3.7.1.4 As finance operator,I want C33 membership pay(non-cash code 18025) as a payment option and have C33 membership ID and customer account in NewPOS,
so that NewPOS charge payment link to C33 membership's customer account.</t>
  </si>
  <si>
    <t>Finance &amp; C33</t>
    <phoneticPr fontId="27" type="noConversion"/>
  </si>
  <si>
    <t>3.7.1.4 作为财务操作员，我希望 C33 会员支付（非现金代码 18025）成为一种支付选项，并在 NewPOS 中拥有 C33 会员 ID 和客户账户，以便 NewPOS 将支付链接充值到 C33 会员的客户账户中。</t>
    <phoneticPr fontId="27" type="noConversion"/>
  </si>
  <si>
    <t>会员消费</t>
    <phoneticPr fontId="27" type="noConversion"/>
  </si>
  <si>
    <t xml:space="preserve"> C33 会员支付对接</t>
    <phoneticPr fontId="27" type="noConversion"/>
  </si>
  <si>
    <t>3.7.2 Enhanced Exchange Processing| Exchange for more expensive item 商品换货补差价处理</t>
    <phoneticPr fontId="27" type="noConversion"/>
  </si>
  <si>
    <t>3.7.2.1 As Finance admin, I want to process exchange of more expensive item, so that guest can pay additional amount for new product</t>
  </si>
  <si>
    <t>1. Preconditions as Merch/FnB operations requirements
2. Backend scenarios: 1) Same store, 2) Different store same company</t>
  </si>
  <si>
    <t>3.7.2.1 作为财务管理员，我希望能够处理较贵物品的兑换，以便客人可以为新产品支付额外金额</t>
    <phoneticPr fontId="27" type="noConversion"/>
  </si>
  <si>
    <t>1. 作为商品/餐饮运营要求的前提条件
2. 后端场景：1) 同一商店，2) 不同商店同一公司</t>
  </si>
  <si>
    <t>调Payment支付</t>
  </si>
  <si>
    <t>商品换货补差价处理-支付额外金额</t>
    <phoneticPr fontId="27" type="noConversion"/>
  </si>
  <si>
    <t>同步</t>
    <phoneticPr fontId="27" type="noConversion"/>
  </si>
  <si>
    <t>PM: 不太理解EPIC的描述，新产口支付额外金额，title是补差价</t>
    <phoneticPr fontId="27" type="noConversion"/>
  </si>
  <si>
    <t>3.7.2 Enhanced Exchange Processing| Exchange for cheaper item 商品换货退差价处理</t>
    <phoneticPr fontId="27" type="noConversion"/>
  </si>
  <si>
    <t>3.7.2.2 As Finance admin, I want to process exchange of cheaper item, so that I can refund extra amount to guest</t>
  </si>
  <si>
    <t>3.7.2.2 作为财务管理员，我希望处理低价商品的兑换，以便可以将多余金额退还给客人。</t>
    <phoneticPr fontId="27" type="noConversion"/>
  </si>
  <si>
    <t>调Payment退款接口</t>
  </si>
  <si>
    <t>商品换货退差价处理-金额退还</t>
    <phoneticPr fontId="27" type="noConversion"/>
  </si>
  <si>
    <t>3.7.2 Enhanced Exchange Processing| Exchange of same price item 商品换货同价格处理</t>
    <phoneticPr fontId="27" type="noConversion"/>
  </si>
  <si>
    <t>3.7.2.3 As Finance admin, I want to process exchange of same price item for item, so that guest can get the product they want</t>
  </si>
  <si>
    <t>3.7.2.3 作为财务管理员，我希望处理同价物品的交换，以便客人能够获得他们想要的产品。</t>
  </si>
  <si>
    <t>1. 作为商品/餐饮运营要求的前提条件
2. 后端场景：1) 同一商店，2) 不同商店同一公司</t>
    <phoneticPr fontId="27" type="noConversion"/>
  </si>
  <si>
    <t>商品换货同价格处理</t>
    <phoneticPr fontId="27" type="noConversion"/>
  </si>
  <si>
    <t xml:space="preserve">换购补差价
1.商品 （2）
2.餐饮 （2）
3.1) 同一商店，
  2) 不同商店同一公司     （2）
</t>
    <phoneticPr fontId="27" type="noConversion"/>
  </si>
  <si>
    <t>3.7.3 Enhanced Posting | Revenue Type in Item Configuration 设置利润类型</t>
    <phoneticPr fontId="27" type="noConversion"/>
  </si>
  <si>
    <t>3.7.3.1 As Finance operator, I need revenue type(e.g. AM38)parameter to correspond to products cataglory  or major group so that I can manage financial posting correctly.</t>
  </si>
  <si>
    <t>FS-4</t>
  </si>
  <si>
    <t>3.7.3.1 作为财务操作员，我需要收入类型（例如 AM38）参数与产品类别或主要组别相对应，以便能够正确管理财务过账。</t>
    <phoneticPr fontId="27" type="noConversion"/>
  </si>
  <si>
    <t>商品上需要有财务字段，同步给财务系统</t>
  </si>
  <si>
    <t>设置利润类型</t>
    <phoneticPr fontId="27" type="noConversion"/>
  </si>
  <si>
    <t>收入类型（例如 AM38）参数与产品类别或主要组别相对应</t>
    <phoneticPr fontId="27" type="noConversion"/>
  </si>
  <si>
    <t>3.7.3 Enhanced Posting | Financial Posting for Capsule Machine 扭蛋机销售过账</t>
    <phoneticPr fontId="27" type="noConversion"/>
  </si>
  <si>
    <t>3.7.3.10 As a Finance Operator, I want Capsule Machine (扭蛋机）sales and payment transactions to be auto-synchronised to NewPOS and posted to Financial Systems, so that I can conduct financial analysis</t>
  </si>
  <si>
    <r>
      <t xml:space="preserve">3.7.3.10 </t>
    </r>
    <r>
      <rPr>
        <sz val="14"/>
        <rFont val="宋体"/>
        <family val="2"/>
        <scheme val="minor"/>
      </rPr>
      <t>作为财务操作员，我希望扭蛋机的销售和支付交易能够自动同步到 NewPOS 并过账到财务系统，以便我可以进行财务分析</t>
    </r>
  </si>
  <si>
    <t>由扭蛋机来对接POS，POS提供接入接口</t>
  </si>
  <si>
    <t>扭蛋机销售过账</t>
    <phoneticPr fontId="27" type="noConversion"/>
  </si>
  <si>
    <t>统一API的入单格式</t>
    <phoneticPr fontId="27" type="noConversion"/>
  </si>
  <si>
    <t>3.7.3 Enhanced Posting | Cross Store refund order Financial Posting  跨店退货过账</t>
    <phoneticPr fontId="27" type="noConversion"/>
  </si>
  <si>
    <t>3.7.3.11 As a finance operator, I want NEW POS system to automatically trace and offset revenue, transfer costs and post accurate financial data for  both same-entity and cross-entity cross-store returns. (With B store cashiers initiating returns A store orders, inventory added to B store, while finanical data(cost, revenue and payment) offset to A store during posting.)</t>
  </si>
  <si>
    <t>FR-1</t>
  </si>
  <si>
    <r>
      <t xml:space="preserve">3.7.3.11 </t>
    </r>
    <r>
      <rPr>
        <sz val="14"/>
        <rFont val="宋体"/>
        <family val="2"/>
        <scheme val="minor"/>
      </rPr>
      <t>作为财务操作员，我希望新的 POS 系统能够自动追踪和抵消收入、转移成本，并为同实体和跨实体的跨店退货记录准确的财务数据。（当 B 店收银员发起 A 店订单的退货时，库存添加到 B 店，同时在过账过程中，财务数据（成本、收入和付款）会抵消到 A 店。）</t>
    </r>
    <phoneticPr fontId="27" type="noConversion"/>
  </si>
  <si>
    <t>新订单和原订单带到FMP
新订单和原订单带到供应链系统做库存扣减</t>
  </si>
  <si>
    <t>跨店退货过账</t>
    <phoneticPr fontId="27" type="noConversion"/>
  </si>
  <si>
    <t>同步数据</t>
    <phoneticPr fontId="27" type="noConversion"/>
  </si>
  <si>
    <t>3.7.3 Enhanced Posting | Item VAT and product type posting 增值税和产品类型信息过账</t>
    <phoneticPr fontId="27" type="noConversion"/>
  </si>
  <si>
    <t>3.7.3.12 As a finance operatior, I want NEW POS system be able to have item product type and VAT information from Merch retail system(SIMBA) and send to SAP during finanical posting, so that I can conduct revenue analysis.</t>
  </si>
  <si>
    <t>FR-8  Need to be check with FR requirement in Simba</t>
  </si>
  <si>
    <r>
      <t xml:space="preserve">3.7.3.12 </t>
    </r>
    <r>
      <rPr>
        <sz val="14"/>
        <rFont val="宋体"/>
        <family val="2"/>
        <scheme val="minor"/>
      </rPr>
      <t>作为一名财务操作员，我希望新的 POS 系统能够从 Merch 零售系统(SIMBA)获取商品产品类型和增值税信息，并在财务过账时发送到 SAP，以便我可以进行收入分析。</t>
    </r>
    <phoneticPr fontId="27" type="noConversion"/>
  </si>
  <si>
    <t>FR-8 需要在Simba中与FR要求进行核对</t>
  </si>
  <si>
    <t>增值税和产品类型信息过账</t>
    <phoneticPr fontId="27" type="noConversion"/>
  </si>
  <si>
    <t>3.7.3 Enhanced Posting | Configuration of Manual posting environment 配置手工过账</t>
    <phoneticPr fontId="27" type="noConversion"/>
  </si>
  <si>
    <t>3.7.3.13 As Finance Operator, 
I want to be able to manual select SAP enviroenment (destination address) while sending financial posting. So that it could consisitant with SAP enviroment switch.</t>
  </si>
  <si>
    <t>FS-6</t>
  </si>
  <si>
    <t>3.7.3.13 作为财务操作员，我希望在发送财务过账时能够手动选择 SAP 环境（目标地址），以便与 SAP 环境切换保持一致。我希望在发送财务过账时能够手动选择 SAP 环境（目标地址），以便与 SAP 环境切换保持一致。我希望在发送财务过账时能够手动选择 SAP 环境（目标地址），以便与 SAP 环境切换保持一致。</t>
    <phoneticPr fontId="27" type="noConversion"/>
  </si>
  <si>
    <t>3.7.3 Enhanced Posting | Transaction Business Days for Financial Posting 设置财务过账日期</t>
    <phoneticPr fontId="27" type="noConversion"/>
  </si>
  <si>
    <t xml:space="preserve">3.7.3.2 As Finance Operator,
i need financial posting to be able to capture NEW POS  transaction data based on NEW POS business dates,so that I can reconcile financial posting accurately.  If business date is not available, fetch transactions from 3:00 AM to 2:59:59 AM+1 (transactions time) by default. </t>
  </si>
  <si>
    <t>FS-3 - pending confirmation with Merch
系统需要提供开关店的功能，以便于区分不同业务日期下的相关交易。财务接口数据需要按照业务日期抓取相关交易。若系统不可以提供开关店切换业务日期的功能，则财务接口需要按照自然日当日凌晨3:00~次日2:59:59秒来作为业务日期的划分。
SA-4 营业日期</t>
  </si>
  <si>
    <t>3.7.3.2 作为财务操作员，我需要财务过账功能，以便能够基于新的 POS 业务日期捕获新的 POS 交易数据，这样我才能准确地进行财务对账。如果业务日期不可用，则默认获取凌晨 3:00 至次日凌晨 2:59:59（交易时间）的交易数据。</t>
    <phoneticPr fontId="27" type="noConversion"/>
  </si>
  <si>
    <t>FS-3 - 待与商品确认
系统需要提供开关店的功能，以便于区分不同业务日期下的相关交易。财务接口数据需要按照业务日期抓取相关交易。若系统不可以提供开关店切换业务日期的功能，则财务接口需要按照自然日当日凌晨3:00~次日2:59:59秒来作为业务日期的划分。
SA-4 营业日期</t>
  </si>
  <si>
    <t>POS配置，把对应订单是属于今天的账还是明天的账传给FMP</t>
  </si>
  <si>
    <t>设置财务过账日期</t>
    <phoneticPr fontId="27" type="noConversion"/>
  </si>
  <si>
    <t xml:space="preserve">job同步数据到 </t>
    <phoneticPr fontId="27" type="noConversion"/>
  </si>
  <si>
    <t>3.7.3 Enhanced Posting | NewPOS transaction data distinguishment 区分不同的交易类别</t>
    <phoneticPr fontId="27" type="noConversion"/>
  </si>
  <si>
    <t>3.7.3.3 As Finance Operator,  I need NewPOS transcations data distinguished by revenue type or type of business (DEI) or channel(oneline,offline, terminal),
so that I can conduct Financial posting</t>
  </si>
  <si>
    <t>3.7.3.3 作为财务操作员，我需要按收入类型或业务类型(DEI)或渠道(线上、线下、终端)区分的新 POS 交易数据，以便我能够进行财务过账"</t>
    <phoneticPr fontId="27" type="noConversion"/>
  </si>
  <si>
    <t>同3.7.3.1</t>
  </si>
  <si>
    <t>区分不同的交易类别</t>
    <phoneticPr fontId="27" type="noConversion"/>
  </si>
  <si>
    <t>区别新老数据类型</t>
    <phoneticPr fontId="27" type="noConversion"/>
  </si>
  <si>
    <t>3.7.3 Enhanced Posting | Revenue and Payment split for mixed-item orders 拆分不同公司代码的收入和支付</t>
    <phoneticPr fontId="27" type="noConversion"/>
  </si>
  <si>
    <t>3.7.3.4 As finance operator, I want revenue and payment for order transactions with products of different company codes to be auto split by company code, so that I can conduct finance allocation</t>
  </si>
  <si>
    <t>3.7.3.4 作为财务操作员，我希望订单交易中不同公司代码产品的收入和付款能够按公司代码自动拆分，以便我可以进行财务分配</t>
    <phoneticPr fontId="27" type="noConversion"/>
  </si>
  <si>
    <t>3.7.3 Enhanced Posting | Revenue and Payment Split for coupon orders 拆分优惠券折扣的收入和支付</t>
    <phoneticPr fontId="27" type="noConversion"/>
  </si>
  <si>
    <t>3.7.3.5 As finance operator, I want revenue and payment for order transactions with coupon redemption to be auto split proportionately by products, so that I can conduct finance allocation</t>
  </si>
  <si>
    <t>3.7.3.5 作为财务操作员，我希望订单交易中优惠券兑换的收入和付款能够按产品比例自动分配，以便我进行财务分配</t>
  </si>
  <si>
    <t>3.7.3 Enhanced Posting | Revenue and Payment split for discount orders 拆分非优惠券折扣的收入和支付</t>
    <phoneticPr fontId="27" type="noConversion"/>
  </si>
  <si>
    <t>3.7.3.6 As finance operator, I want revenue and payment for order transactions with discounts to be auto split proportionately by products, so that I can conduct finance allocation</t>
  </si>
  <si>
    <t>3.7.3.6 作为财务操作员，我希望订单交易中带有折扣的收入和付款能够按产品比例自动分配，以便我可以进行财务分配。</t>
  </si>
  <si>
    <t>3.7.3 Enhanced Posting | Financial payment and posting for C33 为Club 33会员消费过账</t>
    <phoneticPr fontId="27" type="noConversion"/>
  </si>
  <si>
    <t xml:space="preserve">3.7.3.7 As finance operator,I want C33 membership payment post to  C33 membership's customer account directly in SAP, so that I can avoid manual adjust membership's general ledger during reconcilation. </t>
  </si>
  <si>
    <t xml:space="preserve">SA-7 </t>
  </si>
  <si>
    <t>3.7.3.7 作为财务操作员，我希望 C33 会员付款能直接记入 SAP 系统中 C33 会员的客户账户，这样我可以在对账时避免手动调整会员的总账。</t>
  </si>
  <si>
    <t>3.7.3 Enhanced Posting | Manual posting and adjustment for Tmall 手工调整Tmall过账信息</t>
    <phoneticPr fontId="27" type="noConversion"/>
  </si>
  <si>
    <t>3.7.3.8 As Finance Operator, I need the payment/sale data sychronized from Tmall could be manual adjusted(upload) for financial posting.</t>
  </si>
  <si>
    <r>
      <t xml:space="preserve">3.7.3.8 </t>
    </r>
    <r>
      <rPr>
        <sz val="14"/>
        <rFont val="宋体"/>
        <family val="2"/>
        <scheme val="minor"/>
      </rPr>
      <t>作为财务操作员，我需要从天猫同步的支付/销售数据能够手动调整（上传）以进行财务过账。</t>
    </r>
  </si>
  <si>
    <t>3.7.3 Enhanced Posting | Financial Posting for Invengo Machine 远望谷业务销售过账</t>
    <phoneticPr fontId="27" type="noConversion"/>
  </si>
  <si>
    <t>3.7.3.9 As a Finance Operator, I want Invengo sales and payment transactions to be auto-synchronised to NewPOS and posted to Financial Systems, so that I can conduct financial analysis</t>
  </si>
  <si>
    <r>
      <t xml:space="preserve">3.7.3.9 </t>
    </r>
    <r>
      <rPr>
        <sz val="14"/>
        <rFont val="宋体"/>
        <family val="2"/>
        <scheme val="minor"/>
      </rPr>
      <t>作为财务操作员，我希望 Invengo 的销售和支付交易能够自动同步到 NewPOS 并过账到财务系统，以便我可以进行财务分析</t>
    </r>
  </si>
  <si>
    <t>由Invengo Machine来对接POS，POS提供接入接口</t>
  </si>
  <si>
    <t>远望谷业务销售过账</t>
    <phoneticPr fontId="27" type="noConversion"/>
  </si>
  <si>
    <t>3.7.4 D-Fapiao on Transactions| Sync tax information to Fapiao system for transactions 将订单中的税务信息同步至发票系统</t>
    <phoneticPr fontId="27" type="noConversion"/>
  </si>
  <si>
    <t>3.7.4.1 As a Fapiao operator,I want to receive unique transaction identifier, product category info, product business type, and sales data grouped by product tax entity from NewPOS system,so that I can issue D-Fapiao accordingly for each tax entity</t>
  </si>
  <si>
    <t>Product Category Information is used to identify the tax rate and tax code of each product (TAX-4)
小票的订单号需要是唯一 (TAX-6)
FS-7</t>
  </si>
  <si>
    <t>3.7.4.1 作为发票操作员，我希望从 NewPOS 系统接收唯一交易标识符、产品类别信息、产品业务类型以及按产品税务实体分组销售数据，以便我能为每个税务实体相应地开具 D-发票。</t>
    <phoneticPr fontId="27" type="noConversion"/>
  </si>
  <si>
    <t>产品类别信息用于识别每个产品的税率和税码 (TAX-4)
小票的订单号需要是唯一 (TAX-6)
FS-7</t>
  </si>
  <si>
    <t>将订单中的税务信息同步至发票系统</t>
    <phoneticPr fontId="27" type="noConversion"/>
  </si>
  <si>
    <t>3.7.4 D-Fapiao on Transactions| Sync store/restaurant orders to Fapiao system 将门店订单同步至发票系统</t>
    <phoneticPr fontId="27" type="noConversion"/>
  </si>
  <si>
    <t>3.7.4.2 As a Fapiao operator, I want Fapiao system to receive and display cart transaction and payment data from newPOS, so that I can issue D-Fapiao for shopping cart orders and reflect actual paid amount.</t>
  </si>
  <si>
    <t>TAX-3</t>
  </si>
  <si>
    <t>3.7.4.2 作为发票操作员，我希望发票系统能够接收并显示来自 newPOS 的购物车交易和支付数据，以便我可以为购物车订单开具电子发票，并反映实际支付金额。</t>
  </si>
  <si>
    <t>将门店订单同步至发票系统</t>
    <phoneticPr fontId="27" type="noConversion"/>
  </si>
  <si>
    <t>3.7.4 D-Fapiao on Transactions| Sync MO Orders to Fapiao System 将MO订单同步至发票系统</t>
    <phoneticPr fontId="27" type="noConversion"/>
  </si>
  <si>
    <t>3.7.4.3 As a Fapiao operator, I want the Fapiao system to receive Mobile Orders transaction and payment data from NewPOS, so that I can query and select to issue D-Fapiao for Mobile Orders via the Fapiao platform</t>
  </si>
  <si>
    <t>FS-7
TAX-7
TAX-9</t>
  </si>
  <si>
    <t>3.7.4.3 作为发票操作员，我希望发票系统能够接收来自 NewPOS 的移动订单交易和支付数据，以便我能够通过发票平台查询并选择为移动订单开具电子发票。</t>
    <phoneticPr fontId="27" type="noConversion"/>
  </si>
  <si>
    <t>将MO订单同步至发票系统</t>
    <phoneticPr fontId="27" type="noConversion"/>
  </si>
  <si>
    <t>3.7.4 D-Fapiao on Transactions| Sync actual paid amount to Fapiao sync for Coupon Transactions 将折扣订单的实际支付金额同步至发票系统</t>
    <phoneticPr fontId="27" type="noConversion"/>
  </si>
  <si>
    <t>3.7.4.4 As a Fapiao operator, I want to receive information of transactions with applied coupons from NewPOS, so that Fapiao issued will reflect only the actual paid amount, and exclude coupon, channel, merchant, and POS discounts.</t>
  </si>
  <si>
    <t>TAX-8</t>
  </si>
  <si>
    <t>3.7.4.4 作为发票操作员，我希望从 NewPOS 接收已应用优惠券的交易信息，以便开具的发票仅反映实际支付金额，并排除优惠券、渠道、商户和 POS 折扣。</t>
  </si>
  <si>
    <t>将折扣订单的实际支付金额同步至发票系统</t>
    <phoneticPr fontId="27" type="noConversion"/>
  </si>
  <si>
    <t>3.7.4 D-Fapiao on Transactions| Sync Employee ID to Fapiao for CM Transactions 将员工订单中的员工信息同步至发票系统</t>
    <phoneticPr fontId="27" type="noConversion"/>
  </si>
  <si>
    <t>3.7.4.5 As a Fapiao operator, I want Fapiao system to receive employee ID information from NewPOS for transactions made by Cast Members using CM Credit,
so that the system can validate if transaction was made by employee belonging to companies 8001-8002-8003-8004-8005 and apply corporate-header restrictions to Fapiao.</t>
  </si>
  <si>
    <t>TAX-11</t>
  </si>
  <si>
    <t>3.7.4.5 作为发票操作员，我希望发票系统能够从 NewPOS 接收员工 ID 信息，以便处理演职人员使用演职人员信用卡进行的交易，以便系统能够验证交易是否由属于公司 8001-8002-8003-8004-8005 的员工进行，并对发票应用企业头限制。</t>
    <phoneticPr fontId="27" type="noConversion"/>
  </si>
  <si>
    <t>将员工订单中的员工信息同步至发票系统</t>
    <phoneticPr fontId="27" type="noConversion"/>
  </si>
  <si>
    <t>3.7.5 D-Fapiao on Return and Exchange| Sync full refund status and amount with Fapiao system 将整单退款的订单信息同步至发票系统</t>
    <phoneticPr fontId="27" type="noConversion"/>
  </si>
  <si>
    <t>3.7.5.1 As a Fapiao operator, I want to receive order status update from NewPOS when a full refund is made, so that I will not issue Fapiao to guest for fully refunded orders.</t>
  </si>
  <si>
    <t>Data should include: original transaction ID
1. Fapiao not yet issued for refunded order
2. Fapiao issued for refunded order
TAX-7
TAX-9
TAX-11</t>
  </si>
  <si>
    <r>
      <t xml:space="preserve">3.7.5.1 </t>
    </r>
    <r>
      <rPr>
        <sz val="14"/>
        <rFont val="宋体"/>
        <family val="2"/>
        <scheme val="minor"/>
      </rPr>
      <t>作为发票操作员，我希望在全额退款时收到来自 NewPOS 的订单状态更新，这样我就不会为已全额退款的订单向客人开具发票。</t>
    </r>
    <phoneticPr fontId="27" type="noConversion"/>
  </si>
  <si>
    <t>数据应包括：原始交易ID
1. 已退款订单尚未开具发票
2. 已退款订单已开具发票
TAX-7
TAX-9
TAX-11</t>
  </si>
  <si>
    <t>将整单退款的订单信息同步至发票系统</t>
    <phoneticPr fontId="27" type="noConversion"/>
  </si>
  <si>
    <t>3.7.5 D-Fapiao on Return and Exchange| Sync partial refund status and amount with Fapiao system 将部分退款的订单信息同步至发票系统</t>
    <phoneticPr fontId="27" type="noConversion"/>
  </si>
  <si>
    <t>3.7.5.2 As a Fapiao operator, I want to receive order status update from NewPOS when a partial refund is made, so that I will not issue Fapiao to guest with refunded items.</t>
  </si>
  <si>
    <r>
      <t xml:space="preserve">3.7.5.2 </t>
    </r>
    <r>
      <rPr>
        <sz val="14"/>
        <rFont val="宋体"/>
        <family val="2"/>
        <scheme val="minor"/>
      </rPr>
      <t>作为发票操作员，我希望在部分退款发生时能从 NewPOS 收到订单状态更新，这样我就不会向客人开具包含已退款项目的发票。</t>
    </r>
  </si>
  <si>
    <t>将部分退款的订单信息同步至发票系统</t>
    <phoneticPr fontId="27" type="noConversion"/>
  </si>
  <si>
    <t>3.7.5 D-Fapiao on Return and Exchange| D-Fapiao for Exchange of same priced product 商品换货（同价）发票信息同步</t>
    <phoneticPr fontId="27" type="noConversion"/>
  </si>
  <si>
    <t>3.7.5.3 As a Fapiao operator, I want Fapiao system to receive return and refund order updates from NewPOS system, so that I can issue D-Fapiao with accurate product and order information</t>
  </si>
  <si>
    <t>Data should include: original transaction ID
TAX-7
TAX-9
1. same company code
2. different company code</t>
  </si>
  <si>
    <r>
      <t xml:space="preserve">3.7.5.3 </t>
    </r>
    <r>
      <rPr>
        <sz val="14"/>
        <rFont val="宋体"/>
        <family val="2"/>
        <scheme val="minor"/>
      </rPr>
      <t>作为发票操作员，我希望发票系统能够接收来自 NewPOS 系统的退货和退款订单更新，以便我可以使用准确的产品和订单信息开具电子发票</t>
    </r>
    <phoneticPr fontId="27" type="noConversion"/>
  </si>
  <si>
    <t>数据应包括：原始交易ID
TAX-7
TAX-9
1. 同一公司代码
2. 不同公司代码</t>
  </si>
  <si>
    <t>商品换货（同价）发票信息同步</t>
    <phoneticPr fontId="27" type="noConversion"/>
  </si>
  <si>
    <t>3.7.5 D-Fapiao on Return and Exchange| D-Fapiao for Exchange for higher priced product 商品换货（补差价）发票信息同步</t>
    <phoneticPr fontId="27" type="noConversion"/>
  </si>
  <si>
    <t>3.7.5.4 As a Fapiao operator, I want to receive product and actual paid amount from NewPOS System when guest exchanges for a higher-priced product, so that D-Fapiao can be issued with accurate product and pricing details.</t>
  </si>
  <si>
    <t>3.7.5.4 作为发票操作员，当客人兑换更高价产品时，我希望从 NewPOS 系统获取产品和实际支付金额，以便 D-Fapiao 能够开具包含准确产品和定价细节的发票。</t>
    <phoneticPr fontId="27" type="noConversion"/>
  </si>
  <si>
    <t>商品换货（补差价）发票信息同步</t>
    <phoneticPr fontId="27" type="noConversion"/>
  </si>
  <si>
    <t>3.7.5 D-Fapiao on Return and Exchange| D-Fapiao | Exchange for lower priced product 商品换货（退差价）发票信息同步</t>
    <phoneticPr fontId="27" type="noConversion"/>
  </si>
  <si>
    <t>3.7.5.5 As a Fapiao operator, I want to receive product and actual paid amount from NewPOS System when guest exchanges for a lower-priced product, so that D-Fapiao can be issued with accurate product and pricing details.</t>
  </si>
  <si>
    <t>3.7.5.5 作为发票操作员，当客人兑换低价产品时，我希望从 NewPOS 系统获取产品和实际支付金额，以便 D-Fapiao 能够开具包含准确产品和定价细节的发票。</t>
    <phoneticPr fontId="27" type="noConversion"/>
  </si>
  <si>
    <t>3.7.5 D-Fapiao on Return and Exchange| D-Fapiao | Fapiao generation status sync from E-Fapiao D-Fapiao和E-Fapiao的信息同步</t>
    <phoneticPr fontId="27" type="noConversion"/>
  </si>
  <si>
    <t>3.7.5.6 As a Fapiao operator, if I have already issued a Fapiao through the E-Fapiao system, I cannot issue a duplicate blue-ink fapiao for the same order via Fapiao platform.</t>
  </si>
  <si>
    <t>E-Fapiao 的历史开票状态要同步到D-Fapiao</t>
  </si>
  <si>
    <t>3.7.5.6 作为发票操作员，如果我已经通过电子发票系统开具了发票，则不能通过发票平台为同一订单开具重复的蓝色发票。</t>
    <phoneticPr fontId="27" type="noConversion"/>
  </si>
  <si>
    <t>E-Fapiao 的历史开票状态要同步到 D-Fapiao</t>
    <phoneticPr fontId="27" type="noConversion"/>
  </si>
  <si>
    <t>3.7.6 Cast benefits limitation| Manage discount limitation 管理折扣限额</t>
    <phoneticPr fontId="27" type="noConversion"/>
  </si>
  <si>
    <t>3.7.6.1 As Ops cashier, I need New POS will be able to manage discount limitation for each CM</t>
  </si>
  <si>
    <t>Align with current process and control points with LPS.</t>
  </si>
  <si>
    <r>
      <t xml:space="preserve">3.7.6.1 </t>
    </r>
    <r>
      <rPr>
        <sz val="14"/>
        <rFont val="宋体"/>
        <family val="2"/>
        <scheme val="minor"/>
      </rPr>
      <t>作为运营收银员，我需要新 POS 系统能够为每个 CM 管理折扣限制</t>
    </r>
    <phoneticPr fontId="27" type="noConversion"/>
  </si>
  <si>
    <t>与LPS的当前流程和控制点对齐。</t>
    <phoneticPr fontId="27" type="noConversion"/>
  </si>
  <si>
    <t>Lucky &amp; Ethan</t>
  </si>
  <si>
    <t>管理折扣限额</t>
    <phoneticPr fontId="27" type="noConversion"/>
  </si>
  <si>
    <t>3.7.7 Integrate with finance systems| SAP interface configuration 对接SAP</t>
    <phoneticPr fontId="27" type="noConversion"/>
  </si>
  <si>
    <t>3.7.7.1 As Finance Operator, I need to configure SAP interface related settings (e.g financial master data, interface parameters), query, download, or manually send related reports,
 so that I can keep record for financial auditing and posting compliance.</t>
  </si>
  <si>
    <t>FS-6/FS-10</t>
  </si>
  <si>
    <t>3.7.7.1 作为财务操作员，我需要配置 SAP 接口相关设置（如财务主数据、接口参数），查询、下载或手动发送相关报告，以便我能为财务审计和合规记录保存记录。</t>
    <phoneticPr fontId="27" type="noConversion"/>
  </si>
  <si>
    <t>对接SAP</t>
    <phoneticPr fontId="27" type="noConversion"/>
  </si>
  <si>
    <t>3.7.7 Integrate with finance systems| Integrate CCTV (Generic) 对接CCTV(Generic)</t>
    <phoneticPr fontId="27" type="noConversion"/>
  </si>
  <si>
    <t>3.7.7.10 As a A&amp;A user, I want newPOS transaction ID, location ID, and transaction time to be synchronised with CCTV, so that I can input receipt transaction ID to CCTV system to locate the specific CCTV footage.</t>
    <phoneticPr fontId="27" type="noConversion"/>
  </si>
  <si>
    <t>3.7.7.10 作为审计与安保用户，我希望新POS系统的交易ID、门店ID和交易时间能够与闭路电视系统同步，以便我可以通过输入小票上的交易ID，在闭路电视系统中定位到特定的监控录像片段。</t>
    <phoneticPr fontId="27" type="noConversion"/>
  </si>
  <si>
    <t>需要细节需求</t>
  </si>
  <si>
    <t>CCTV (Generic) 对接CCTV(Generic)</t>
    <phoneticPr fontId="27" type="noConversion"/>
  </si>
  <si>
    <t>待与Ethan确认最终实现方案</t>
    <phoneticPr fontId="27" type="noConversion"/>
  </si>
  <si>
    <t>4(Nice-to-have)</t>
  </si>
  <si>
    <t>3.7.7 Integrate with finance systems| Integrate Aspect 对接Aspect</t>
    <phoneticPr fontId="27" type="noConversion"/>
  </si>
  <si>
    <t xml:space="preserve">3.7.7.11 As a A&amp;A user, I need newPOS transactions to be synchronised with Aspect so that I can conduct payment audit and security </t>
    <phoneticPr fontId="27" type="noConversion"/>
  </si>
  <si>
    <t>3.7.7.11 作为审计与安保用户，我需要新POS系统的交易数据与Aspect系统同步，以便进行支付审计与安全监控。</t>
    <phoneticPr fontId="27" type="noConversion"/>
  </si>
  <si>
    <t xml:space="preserve"> 对接Aspect</t>
    <phoneticPr fontId="27" type="noConversion"/>
  </si>
  <si>
    <t>3.7.7 Integrate with finance systems| Automated NewPOS transaction Posting to SAP 自动同步交易信息至SAP</t>
    <phoneticPr fontId="27" type="noConversion"/>
  </si>
  <si>
    <t>3.7.7.2 As Finance Operator, I need all NewPOS transaction data to be posted to SAP by FI008, FI010,FI012,FI095 interface according to SAP interfiace specifications,
so that Financial posting can be conducted.</t>
  </si>
  <si>
    <r>
      <t xml:space="preserve">3.7.7.2 </t>
    </r>
    <r>
      <rPr>
        <sz val="14"/>
        <rFont val="宋体"/>
        <family val="2"/>
        <scheme val="minor"/>
      </rPr>
      <t>作为财务操作员，我需要所有 NewPOS 交易数据根据 SAP 接口规范通过 FI008、FI010、FI012、FI095 接口发布到 SAP 系统，以便进行财务过账。</t>
    </r>
    <phoneticPr fontId="27" type="noConversion"/>
  </si>
  <si>
    <t>自动同步交易信息至SAP</t>
    <phoneticPr fontId="27" type="noConversion"/>
  </si>
  <si>
    <t>3.7.7 Integrate with finance systems| Synchronisation of online Transaction data with Finance system 为线上订单抛帐</t>
    <phoneticPr fontId="27" type="noConversion"/>
  </si>
  <si>
    <t>3.7.7.3 As Finance Operator,  I need online sales/payment/refund/return data to be sychronized with NewPOS system,
so that I can ensure consistency in financial recording.</t>
  </si>
  <si>
    <t>FS-4
系统需要提供接口的双向交互能力，比如支持线上渠道的下单，线上的订单在线下门店修改和退单，且可以将变更相关的信息，或变更后的最新信息及时更新给原销售渠道，从而保证销售平台、各中间业务层和POS系统之间数据同步。</t>
  </si>
  <si>
    <t>3.7.7.3 作为财务操作员，我需要在线销售/支付/退款/退货数据与 NewPOS 系统同步，以便我能确保财务记录的一致性。"</t>
  </si>
  <si>
    <t>FS-4
系统需要提供接口的双向交互能力，比如支持线上渠道的下单，线上的订单在线下门店修改和退单，且可以将变更相关的信息，或变更后的最新信息及时更新给原销售渠道，从而保证销售平台、各中间业务层和POS系统之间数据同步。</t>
    <phoneticPr fontId="27" type="noConversion"/>
  </si>
  <si>
    <t xml:space="preserve"> 为线上订单抛帐</t>
    <phoneticPr fontId="27" type="noConversion"/>
  </si>
  <si>
    <t>3.7.7 Integrate with finance systems| NewPOS transaction posting response 接收SAP交易信息同步返回信息</t>
    <phoneticPr fontId="27" type="noConversion"/>
  </si>
  <si>
    <t>3.7.7.4 AS Finance Operator, I need to be able to query, manually download, or receive scheduled reports of SAP Webservice call response from Financial System,
so that I can do validate NewPOS related SAP data.</t>
  </si>
  <si>
    <t>3.7.7.4 作为财务系统操作员，我需要能够查询、手动下载或接收来自财务系统的 SAP Web 服务调用响应的定期报告，以便我可以验证 NewPOS 相关的 SAP 数据。</t>
    <phoneticPr fontId="27" type="noConversion"/>
  </si>
  <si>
    <t>接收SAP交易信息同步返回信息</t>
    <phoneticPr fontId="27" type="noConversion"/>
  </si>
  <si>
    <t>3.7.7 Integrate with finance systems| Manual NewPOS transaction posting to SAP 手工同步交易信息至SAP</t>
    <phoneticPr fontId="27" type="noConversion"/>
  </si>
  <si>
    <t>3.7.7.5 As Finance Operator, I want to be able to manually fetch transcations from NewPOS and manually send interface data to SAP.
so that I can conduct manual intervention during financial reconciliation discrepancies.</t>
  </si>
  <si>
    <t>3.7.7.5 作为财务操作员，我希望能够手动从 NewPOS 获取交易记录，并手动将接口数据发送到 SAP。以便我在财务对账出现差异时可以进行人工干预。</t>
    <phoneticPr fontId="27" type="noConversion"/>
  </si>
  <si>
    <t>手工同步交易信息至SAP</t>
    <phoneticPr fontId="27" type="noConversion"/>
  </si>
  <si>
    <t>3.7.7 Integrate with finance systems| SAP interface mapping reports SAP接口Mapping报表</t>
    <phoneticPr fontId="27" type="noConversion"/>
  </si>
  <si>
    <t>3.7.7.6 AS Finance Operator, I want to query, manually download, or have batch job handling of SAP interface mapping reports corresponding to SAP posting,
so that I can conduct validation for financial reconciliation.</t>
  </si>
  <si>
    <t>3.7.7.6 作为财务操作员，我希望能够查询、手动下载或通过批处理作业处理与 SAP 过账相对应的 SAP 接口映射报告，以便我可以进行财务对账的验证。</t>
    <phoneticPr fontId="27" type="noConversion"/>
  </si>
  <si>
    <t>SAP接口Mapping报表</t>
    <phoneticPr fontId="27" type="noConversion"/>
  </si>
  <si>
    <t>3.7.7 Integrate with finance systems| Integrate Payment Service 对接Payment Service - PIP</t>
    <phoneticPr fontId="27" type="noConversion"/>
  </si>
  <si>
    <t>3.7.7.7 As Finance operator, I need New POS will be able to integrate Payment Service - PIP for payment execution</t>
  </si>
  <si>
    <t>3.7.7.7 作为财务操作员，我需要新 POS 能够集成支付服务-PIP 以执行支付</t>
  </si>
  <si>
    <t>对接Payment Service - PIP</t>
    <phoneticPr fontId="27" type="noConversion"/>
  </si>
  <si>
    <t>这个在之前的基础功能调用估算过。
此处估算框架集成，调试密钥等沟通成本，文档查看成本，预留时间。</t>
    <phoneticPr fontId="27" type="noConversion"/>
  </si>
  <si>
    <t>建议30人天以上，支付对接涉及AA等复杂场景</t>
    <phoneticPr fontId="27" type="noConversion"/>
  </si>
  <si>
    <t>3.7.7 Integrate with finance systems| Direct Integration with PIP 直连Payment Service - PIP</t>
    <phoneticPr fontId="27" type="noConversion"/>
  </si>
  <si>
    <t>3.7.7.8 As Finance Operator, I want NewPOS system to directly communicate with PIP system for Scan-to-Pay payment requests, so that it does not have to go through BOT</t>
    <phoneticPr fontId="27" type="noConversion"/>
  </si>
  <si>
    <t>PCM-9</t>
  </si>
  <si>
    <t>3.7.7.8 作为财务操作员，我希望 NewPOS 系统能够直接与 PIP 系统进行扫码支付请求的通信，这样就不必通过 BOT。</t>
  </si>
  <si>
    <t>直连Payment Service - PIP</t>
    <phoneticPr fontId="27" type="noConversion"/>
  </si>
  <si>
    <r>
      <t xml:space="preserve">3.7.7 Integrate with finance systems| Integrate Airport Platform </t>
    </r>
    <r>
      <rPr>
        <sz val="14"/>
        <color rgb="FFFF0000"/>
        <rFont val="宋体"/>
        <family val="3"/>
        <charset val="134"/>
      </rPr>
      <t>对接Airport Platform</t>
    </r>
    <phoneticPr fontId="27" type="noConversion"/>
  </si>
  <si>
    <t>3.7.7.9 As Finance operator, I need New POS will be able to integrate Airport Platform for log transaction</t>
  </si>
  <si>
    <t>3.7.7.9 作为财务操作员，我需要新 POS 系统能够集成机场平台以记录交易</t>
  </si>
  <si>
    <t>POS推3张销售数据给FMP</t>
  </si>
  <si>
    <t>对接Airport Platform</t>
    <phoneticPr fontId="27" type="noConversion"/>
  </si>
  <si>
    <t>2(Nice-to-have)</t>
  </si>
  <si>
    <t>4. Joint business - Merch &amp; FnB 融合销售-商品和餐饮</t>
  </si>
  <si>
    <t>4.1 Joint sales &amp; operations 融合销售和运营</t>
  </si>
  <si>
    <t>4.1.1 Joint sales - Merch &amp; FnB|Unified shopping experience 统一购物体验</t>
    <phoneticPr fontId="27" type="noConversion"/>
  </si>
  <si>
    <t>4.1.1.1 As Ops admin, I need New POS will be able to unify shopping and order in one transaction, as to fulfill operations requirements efficiently.</t>
  </si>
  <si>
    <t>One POS on Merchandise and F&amp;B cross sales in the one check.</t>
  </si>
  <si>
    <r>
      <t xml:space="preserve">4.1.1.1 </t>
    </r>
    <r>
      <rPr>
        <sz val="14"/>
        <rFont val="宋体"/>
        <family val="2"/>
        <scheme val="minor"/>
      </rPr>
      <t>作为运维管理员，我需要新 POS 系统能够在一次交易中统一购物和订单，从而高效满足运营需求。</t>
    </r>
    <phoneticPr fontId="27" type="noConversion"/>
  </si>
  <si>
    <t>在一个结账单中进行商品和餐饮交叉销售的POS。</t>
    <phoneticPr fontId="27" type="noConversion"/>
  </si>
  <si>
    <t>统一购物体验,能够在一次交易中统一购物和订单</t>
    <phoneticPr fontId="27" type="noConversion"/>
  </si>
  <si>
    <t>4.1.1 Joint sales - Merch &amp; FnB|Add Merch &amp; FnB products into one shopping list 添加商品和餐品</t>
  </si>
  <si>
    <t>4.1.1.2 As Ops cashier, I need New POS will be able to add Merch &amp; FnB products to shopping list, as to improve guest experience and fulfill operations requirements efficiently.</t>
  </si>
  <si>
    <t>1. Combine both Merchandise and FnB meal, condiments, bundle, services into one shopping list.
2. Enable to scan barcode/tap button to add Merch &amp; FnB item into shopping , also support RFID for Merch). 
3. Enable an unified screen layout &amp; UI/UX for joint sales POS interaction</t>
  </si>
  <si>
    <t>4.1.1.2 作为收银员，我需要新 POS 系统能够将商品和餐饮产品添加到购物清单中，以提高宾客体验并高效满足运营需求。</t>
    <phoneticPr fontId="27" type="noConversion"/>
  </si>
  <si>
    <t>1. 将商品和餐饮食品、调味品、捆绑商品、服务合并到一个购物清单中。
2. 能够扫描条形码/点击按钮将商品和餐饮项目添加到购物中，也支持商品的RFID。
3. 为联合销售POS交互启用统一的屏幕布局和UI/UX</t>
  </si>
  <si>
    <t>新 POS 系统能够将商品和餐饮产品添加到购物清单中</t>
  </si>
  <si>
    <t>1. 将商品和餐饮食品、调味品、捆绑商品、服务合并到一个购物清单中。
2. 能够扫描条形码/点击按钮将商品和餐饮项目添加到购物中，也支持商品的RFID。
3. 为联合销售POS交互启用统一的屏幕布局和UI/UX</t>
    <phoneticPr fontId="27" type="noConversion"/>
  </si>
  <si>
    <t>4.1.1 Joint sales - Merch &amp; FnB|Apply Merch &amp; FnB mixed promotions 使用混合促销</t>
  </si>
  <si>
    <t>4.1.1.3 As Ops cashier, I need New POS will be able to apply Merch &amp; FnB mixed promotions, as to improve guest experience and fulfill operations requirements efficiently.</t>
  </si>
  <si>
    <t>Interface-Coupon, near real-time sync as current practice
1. Enable promotion/discount with coupon to be applied in a order for both merchandise and F&amp;B .
2. Calculate discount based on business type and predefined allocation.</t>
  </si>
  <si>
    <t>4.1.1.3 作为收银员，我需要新 POS 系统能够应用商品与餐饮混合促销，从而提升宾客体验并高效满足运营需求。</t>
  </si>
  <si>
    <t>接口-优惠券，接近实时同步为当前实践
1. 能够将带有优惠券的促销/折扣应用于商品和餐饮的订单中。
2. 根据业务类型和预定义的分配计算折扣。</t>
  </si>
  <si>
    <t>需要讨论混合促销的优惠计算规则</t>
  </si>
  <si>
    <t>由Coupon PM和DM一起计算COST
TO: Charlie，已经单独拉会澄清过，本条EPIC内容还需PM更新</t>
  </si>
  <si>
    <t>我需要新 POS 系统能够应用商品与餐饮混合促销，从而提升宾客体验并高效满足运营需求。</t>
    <phoneticPr fontId="27" type="noConversion"/>
  </si>
  <si>
    <t>4.1.1 Joint sales - Merch &amp; FnB|Unified checkout process 统一结账流程</t>
  </si>
  <si>
    <t>4.1.1.4 As Ops cashier, I need New POS will be able to unify checkout process, as to improve guest experience and fulfill operations requirements efficiently.</t>
  </si>
  <si>
    <t>Enable to process payment on one orders with both Merchandise and FnB products, with one order settlement and one receipt.</t>
  </si>
  <si>
    <t>4.1.1.4 作为收银员，我需要新 POS 系统能够统一结账流程，从而提升顾客体验并高效满足运营需求。</t>
  </si>
  <si>
    <t>能够使用一个订单结算和一个收据处理包含商品和餐饮产品的订单付款。</t>
  </si>
  <si>
    <t>我需要新 POS 系统能够统一结账流程，从而提升顾客体验并高效满足运营需求。</t>
    <phoneticPr fontId="27" type="noConversion"/>
  </si>
  <si>
    <t>能够使用一个订单结算和一个收据处理包含商品和餐饮产品的订单付款。</t>
    <phoneticPr fontId="27" type="noConversion"/>
  </si>
  <si>
    <t>4.1.2 Joint operation - Merch &amp; FnB|Configure POS terminals for joint operation 配置POS终端</t>
  </si>
  <si>
    <t>4.1.2.1 As Ops admin, I need New POS will be able to configure and switch POS terminals for joint sales, as to fulfill operations requirements efficiently.</t>
  </si>
  <si>
    <t>POS for joint sales can be configured and managed from the backend.</t>
  </si>
  <si>
    <r>
      <t xml:space="preserve">4.1.2.1 </t>
    </r>
    <r>
      <rPr>
        <sz val="14"/>
        <rFont val="宋体"/>
        <family val="2"/>
        <scheme val="minor"/>
      </rPr>
      <t>作为运维管理员，我需要新 POS 能够配置和切换 POS 终端以进行联合销售，从而高效满足运营需求。</t>
    </r>
  </si>
  <si>
    <t>用于联合销售的POS可以从后端进行配置和管理。</t>
  </si>
  <si>
    <t>POS 能够配置和切换 POS 终端以进行联合销售，从而高效满足运营需求。</t>
    <phoneticPr fontId="27" type="noConversion"/>
  </si>
  <si>
    <t>PM: 这里的联合销售是指POS切换到另一个门店进行收银么？</t>
    <phoneticPr fontId="27" type="noConversion"/>
  </si>
  <si>
    <t>4.2 Joint sales financial - revenue and accounting 融合财务-收入分割与核算</t>
  </si>
  <si>
    <t>4.2.1 Joint sales financial - revenue and accounting| Payment split of products of different business lines 按照业务线拆分支付</t>
  </si>
  <si>
    <t>4.2.1.1 As Finance admin, I want New POS to support one single payment for multiple products of different business lines,
so that guest can simply pay and go.</t>
  </si>
  <si>
    <t>Sa-3.2</t>
  </si>
  <si>
    <r>
      <t xml:space="preserve">4.2.1.1 </t>
    </r>
    <r>
      <rPr>
        <sz val="14"/>
        <rFont val="宋体"/>
        <family val="2"/>
        <scheme val="minor"/>
      </rPr>
      <t>作为财务管理员，我希望新 POS 系统能够支持为不同业务线的多个产品进行一次性支付，以便客人可以轻松付款离开。</t>
    </r>
  </si>
  <si>
    <t>调Payment Service合并支付</t>
  </si>
  <si>
    <t>EPIC Story与EPIC Title对不起来</t>
  </si>
  <si>
    <t>POS 系统能够支持为不同业务线的多个产品进行一次性支付，以便客人可以轻松付款离开。</t>
    <phoneticPr fontId="27" type="noConversion"/>
  </si>
  <si>
    <t>组合支付的金额是付给哪个主体？
目前不存在跨主体的情况</t>
  </si>
  <si>
    <t>3(Nice-to-have)</t>
  </si>
  <si>
    <t>5. Integrated FnB Operations 餐饮运营整合</t>
  </si>
  <si>
    <t>5.1 Integrated restaurant operations 餐厅运营整合</t>
  </si>
  <si>
    <t>5.1.1 Restaurant reservation |Integrated Table check for reservation 集成预定管理系统Table Check</t>
  </si>
  <si>
    <t>5.1.1.1 As FnB admin &amp; cashier, I need New POS will be able to integrated TableCheck for get reservation for open table , as to identify reserved guest/table efficiently.</t>
  </si>
  <si>
    <t>Interface-TableCheck, near real-time
1) Sync TSR reservations by reserved table # from reservation system. When guest arrived, New POS open start order on reserved table.
2) After order checked, sync table payment status and order back to reservation system.
* Also enable sync for BBB store reservation, initiate sales transactions by integrated guest reservations on new POS.</t>
    <phoneticPr fontId="27" type="noConversion"/>
  </si>
  <si>
    <t>Table Check</t>
  </si>
  <si>
    <t>5.1.1.1 作为餐饮部管理员和收银员，我需要新 POS 系统能够集成 TableCheck 以获取预订信息，从而高效识别已预订的客人/餐桌。</t>
  </si>
  <si>
    <t>Interface-TableCheck，近实时
1) 通过预订系统中的预留桌号同步 TSR 预订。当客人到达时，新 POS 系统会在预留桌上开始创建订单。
2) 订单审核后，同步表格支付状态并将订单返回至预订系统。
* 同时为 BBB 商店预订启用同步，通过新 POS 上的集成客人预订发起销售交易。</t>
    <phoneticPr fontId="27" type="noConversion"/>
  </si>
  <si>
    <t>仅用餐状态同步，预约状态不同步</t>
  </si>
  <si>
    <t>待重新拉会聊，上次会中遗漏此条</t>
  </si>
  <si>
    <t>POS 系统能够集成 TableCheck 以获取预订信息，从而高效识别已预订的客人/餐桌。</t>
    <phoneticPr fontId="27" type="noConversion"/>
  </si>
  <si>
    <t>5.1.2 Beverage label print|Configure beverage label format 设置饮料标签样式模版</t>
  </si>
  <si>
    <t>5.1.2.1 As FnB admin, I need New POS will be able to configure beverage label format for printing, as to comply with beverage operations requirements.</t>
  </si>
  <si>
    <t>5.1.2.1 作为餐饮管理员，我需要新 POS 系统能够配置饮料标签格式以便打印，以满足餐饮运营需求。</t>
  </si>
  <si>
    <t>POS 系统能够配置饮料标签格式以便打印，以满足餐饮运营需求。</t>
    <phoneticPr fontId="27" type="noConversion"/>
  </si>
  <si>
    <t>5.1.2 Beverage label print|Configure beverage label printer 设置饮料标签打印机</t>
  </si>
  <si>
    <t>5.1.2.2 As FnB admin &amp; cashier, I need New POS will be able to configure beverage label printer for store, as to comply with beverage operations requirements.</t>
  </si>
  <si>
    <t>Interface-饮料标签打印机, near real-time
Configure different beverage labels types to label printers</t>
  </si>
  <si>
    <t>5.1.2.2 作为餐饮部管理员和收银员，我需要新 POS 系统能够为店铺配置饮料标签打印机，以满足饮料运营需求。</t>
  </si>
  <si>
    <t>接口-饮料标签打印机，接近实时
配置不同的饮料标签类型到标签打印机</t>
  </si>
  <si>
    <t>POS 系统能够为店铺配置饮料标签打印机，以满足饮料运营需求。</t>
    <phoneticPr fontId="27" type="noConversion"/>
  </si>
  <si>
    <t>5.1.2 Beverage label print|Print beverage labels with order 根据订单打印饮料标签</t>
  </si>
  <si>
    <t>5.1.2.3 As FnB cashier, I need New POS will be able to print beverage labels after order payment, as to comply with beverage operations requirements.</t>
  </si>
  <si>
    <t>Interface-饮料标签打印机, near real-time
Print beverage label after order payment/MO order received.</t>
  </si>
  <si>
    <t>5.1.2.3 作为餐饮收银员，我需要新 POS 系统能够在订单付款后打印饮料标签，以符合饮料运营要求。</t>
  </si>
  <si>
    <t>接口-饮料标签打印机，接近实时
在订单付款/收到MO订单后打印饮料标签。</t>
  </si>
  <si>
    <t>POS 系统能够在订单付款后打印饮料标签，以符合饮料运营要求。</t>
    <phoneticPr fontId="27" type="noConversion"/>
  </si>
  <si>
    <t>接口-饮料标签打印机，接近实时
在订单付款/收到MO订单后打印饮料标签。</t>
    <phoneticPr fontId="27" type="noConversion"/>
  </si>
  <si>
    <t>5.2 Integrated mobile ordering 线上点单整合</t>
  </si>
  <si>
    <t>5.2.1 MO operations integration|Sync POS menu and food meals to MO 同步POS菜单及餐品至MO</t>
  </si>
  <si>
    <t>5.2.1.1 As FnB admin, I need new POS will be able to push its menu and meals to MO platform as foundation information</t>
  </si>
  <si>
    <t>Enable to sync product information to MO platform, without picture and product frontend display details.</t>
  </si>
  <si>
    <r>
      <t xml:space="preserve">5.2.1.1 </t>
    </r>
    <r>
      <rPr>
        <sz val="14"/>
        <rFont val="宋体"/>
        <family val="2"/>
        <scheme val="minor"/>
      </rPr>
      <t>作为餐饮管理员，我需要新的 POS 系统能够将菜单和菜品推送至 MO 平台作为基础信息</t>
    </r>
  </si>
  <si>
    <t>启用以将产品信息同步到 MO 平台，不包括图片和产品前端显示详细信息。</t>
  </si>
  <si>
    <t>POS 系统能够将菜单和菜品推送至 MO 平台作为基础信息</t>
    <phoneticPr fontId="27" type="noConversion"/>
  </si>
  <si>
    <t>5.2.1 MO operations integration|Sync POS discount rules to MO 同步POS折扣规则至MO</t>
  </si>
  <si>
    <t>5.2.1.2 As FnB admin, I need New POS will be able to push its discount rule setup to MO platform as foundation information</t>
  </si>
  <si>
    <t>Enable to sync POS discount rules to MO platform, refer as 2.2.1.1/2.2.1.2 for Merchandise</t>
  </si>
  <si>
    <r>
      <t xml:space="preserve">5.2.1.2 </t>
    </r>
    <r>
      <rPr>
        <sz val="14"/>
        <rFont val="宋体"/>
        <family val="2"/>
        <scheme val="minor"/>
      </rPr>
      <t>作为餐饮管理员，我需要新 POS 系统能够将其折扣规则设置推送到 MO 平台作为基础信息</t>
    </r>
  </si>
  <si>
    <t>启用以将 POS 折扣规则同步到 MO 平台，有关商品，请参阅 2.2.1.1/2.2.1.2</t>
  </si>
  <si>
    <t>POS 系统能够将其折扣规则设置推送到 MO 平台作为基础信息</t>
    <phoneticPr fontId="27" type="noConversion"/>
  </si>
  <si>
    <t>5.2.1 MO operations integration|Enhance MO discount to align with New POS 优化MO折扣执行(与New POS一致)</t>
  </si>
  <si>
    <t>5.2.1.3 As FnB admin, I need MO will be able to process discount rule setup from POS to keep same capability</t>
  </si>
  <si>
    <r>
      <t>Enhance MO discount processing capability,refer as</t>
    </r>
    <r>
      <rPr>
        <sz val="14"/>
        <color rgb="FFFF0000"/>
        <rFont val="宋体"/>
        <family val="3"/>
        <charset val="134"/>
      </rPr>
      <t xml:space="preserve"> 2.2.1.1/3.4.5.1</t>
    </r>
    <r>
      <rPr>
        <sz val="14"/>
        <rFont val="宋体"/>
        <family val="2"/>
        <scheme val="minor"/>
      </rPr>
      <t xml:space="preserve"> for Merchandise</t>
    </r>
    <phoneticPr fontId="27" type="noConversion"/>
  </si>
  <si>
    <t>5.2.1.3 作为餐饮管理员，我需要 MO 能够从 POS 处理折扣规则设置，以保持相同的功能能力</t>
  </si>
  <si>
    <r>
      <t>增强MO折扣处理能力，请参考</t>
    </r>
    <r>
      <rPr>
        <sz val="14"/>
        <color rgb="FFFF0000"/>
        <rFont val="宋体"/>
        <family val="3"/>
        <charset val="134"/>
      </rPr>
      <t>2.2.1.1/3.4.5.1</t>
    </r>
    <r>
      <rPr>
        <sz val="14"/>
        <rFont val="宋体"/>
        <family val="2"/>
        <scheme val="minor"/>
      </rPr>
      <t>商品</t>
    </r>
    <phoneticPr fontId="27" type="noConversion"/>
  </si>
  <si>
    <t>希望MO支持与POS促销一样的折扣规则。需要PM给出具体折扣规则 -- 见EPIC 2.2.1.1/3.4.5.1</t>
  </si>
  <si>
    <t>POS 处理折扣规则设置，以保持相同的功能能力</t>
    <phoneticPr fontId="27" type="noConversion"/>
  </si>
  <si>
    <t>增强MO折扣处理能力，请参考2.2.1.3/3.4.5.1商品</t>
  </si>
  <si>
    <t>5.2.1 MO operations integration|Sync restaurant saleable inventory from MO 同步MO的可售库存数量</t>
  </si>
  <si>
    <t>5.2.1.4 As FnB admin, I need New POS will be able to get MO saleable inventory, as to keep inventory on different channels consistent.</t>
  </si>
  <si>
    <t>Enable sync MO saleable inventory in near real-time t by location.</t>
  </si>
  <si>
    <r>
      <t xml:space="preserve">5.2.1.4 </t>
    </r>
    <r>
      <rPr>
        <sz val="14"/>
        <rFont val="宋体"/>
        <family val="2"/>
        <scheme val="minor"/>
      </rPr>
      <t>作为餐饮管理员，我需要新 POS 系统能够获取 MO 可销售库存，以保持不同渠道的库存一致性。</t>
    </r>
  </si>
  <si>
    <t>启用近乎实时地按位置同步 MO 可销售库存。</t>
  </si>
  <si>
    <t>要实现近实时库存同步，在不独立开发库存控制系统的前提下，完成这个需求需要多少effort（可以考虑POS集成MO库存扣减接口来确保库存的一致性）
@Zhu, Zoe X. @Liu, Lucky</t>
  </si>
  <si>
    <t>POS 系统能够获取 MO 可销售库存，以保持不同渠道的库存一致性。</t>
    <phoneticPr fontId="27" type="noConversion"/>
  </si>
  <si>
    <t xml:space="preserve">1(Minimum scope) </t>
  </si>
  <si>
    <t>6. Members and Consumer Activation 会员和消费者互动</t>
  </si>
  <si>
    <t>6.1 Digital profile 数字档案与画像</t>
  </si>
  <si>
    <t>6.1.1 Identify guest w/ entitlements|Scan a unified QR code to identify guest‘s AP 扫描顾客二维码识别身份</t>
  </si>
  <si>
    <t>6.1.1.1 As Consumer Activation, I need new POS scan guest unified QR code at counter, as to get guest identity for membership experience.</t>
  </si>
  <si>
    <t>1. Guest may need to identify themselves if the Profile has bound more than one AP/ticket, before show his/her QR code.
2. POS scan a unify QR code on guest APP/Wechat, to get the identity from profile(AP, Hotel guest, C33 member) with his/her personal information(Name/Birthday/Membership Status) 
3. POS get AP/ticket information(VID/GID/ticket admission photo/AP registration photo) which binded to the given profile.
4. Display basic guest info (e.g. name in profile), guest identity (e.g. AP, C33) and park admission related info (e.g. AP/TKT VID, admission/registration photo) on POS screen.</t>
    <phoneticPr fontId="27" type="noConversion"/>
  </si>
  <si>
    <r>
      <t xml:space="preserve">6.1.1.1 </t>
    </r>
    <r>
      <rPr>
        <sz val="14"/>
        <rFont val="宋体"/>
        <family val="2"/>
        <scheme val="minor"/>
      </rPr>
      <t>作为消费者激活，我需要在柜台扫描客人的统一二维码，以获取客人身份信息，从而获得会员体验。</t>
    </r>
    <phoneticPr fontId="27" type="noConversion"/>
  </si>
  <si>
    <r>
      <t xml:space="preserve">具体流程与技术需求如下：
1.  身份选择前置环节：
    </t>
    </r>
    <r>
      <rPr>
        <sz val="14"/>
        <rFont val="Times New Roman"/>
        <family val="2"/>
      </rPr>
      <t>◦</t>
    </r>
    <r>
      <rPr>
        <sz val="14"/>
        <rFont val="宋体"/>
        <family val="2"/>
        <scheme val="minor"/>
      </rPr>
      <t xml:space="preserve">   如果顾客的个人档案绑定了多张年票或门票，在出示二维码之前，系统需提示顾客先选择本次要使用的身份。
2.  二维码扫描与信息获取：
    </t>
    </r>
    <r>
      <rPr>
        <sz val="14"/>
        <rFont val="Times New Roman"/>
        <family val="2"/>
      </rPr>
      <t>◦</t>
    </r>
    <r>
      <rPr>
        <sz val="14"/>
        <rFont val="宋体"/>
        <family val="2"/>
        <scheme val="minor"/>
      </rPr>
      <t xml:space="preserve">   POS系统通过扫描顾客手机APP或微信内的统一二维码，从中央客户档案中获取其身份信息（如：年票持有者、酒店住客、Club 33会员）及个人资料（如：姓名、生日、会员状态）。
3.  票务数据绑定：
    </t>
    </r>
    <r>
      <rPr>
        <sz val="14"/>
        <rFont val="Times New Roman"/>
        <family val="2"/>
      </rPr>
      <t>◦</t>
    </r>
    <r>
      <rPr>
        <sz val="14"/>
        <rFont val="宋体"/>
        <family val="2"/>
        <scheme val="minor"/>
      </rPr>
      <t xml:space="preserve">   POS系统应能获取与该档案绑定的年票/门票信息，包括：
        </t>
    </r>
    <r>
      <rPr>
        <sz val="14"/>
        <rFont val="Apple Color Emoji"/>
        <family val="2"/>
      </rPr>
      <t>▪</t>
    </r>
    <r>
      <rPr>
        <sz val="14"/>
        <rFont val="宋体"/>
        <family val="2"/>
        <scheme val="minor"/>
      </rPr>
      <t xml:space="preserve">   虚拟ID（VID）/ 团体ID（GID）
        </t>
    </r>
    <r>
      <rPr>
        <sz val="14"/>
        <rFont val="Apple Color Emoji"/>
        <family val="2"/>
      </rPr>
      <t>▪</t>
    </r>
    <r>
      <rPr>
        <sz val="14"/>
        <rFont val="宋体"/>
        <family val="2"/>
        <scheme val="minor"/>
      </rPr>
      <t xml:space="preserve">   门票入园照片
        </t>
    </r>
    <r>
      <rPr>
        <sz val="14"/>
        <rFont val="Apple Color Emoji"/>
        <family val="2"/>
      </rPr>
      <t>▪</t>
    </r>
    <r>
      <rPr>
        <sz val="14"/>
        <rFont val="宋体"/>
        <family val="2"/>
        <scheme val="minor"/>
      </rPr>
      <t xml:space="preserve">   年票注册照片
4.  POS界面信息显示：
    </t>
    </r>
    <r>
      <rPr>
        <sz val="14"/>
        <rFont val="Times New Roman"/>
        <family val="2"/>
      </rPr>
      <t>◦</t>
    </r>
    <r>
      <rPr>
        <sz val="14"/>
        <rFont val="宋体"/>
        <family val="2"/>
        <scheme val="minor"/>
      </rPr>
      <t xml:space="preserve">   扫描成功后，POS屏幕需清晰显示以下信息：
        </t>
    </r>
    <r>
      <rPr>
        <sz val="14"/>
        <rFont val="Apple Color Emoji"/>
        <family val="2"/>
      </rPr>
      <t>▪</t>
    </r>
    <r>
      <rPr>
        <sz val="14"/>
        <rFont val="宋体"/>
        <family val="2"/>
        <scheme val="minor"/>
      </rPr>
      <t xml:space="preserve">   基本资料：档案中的姓名等。
        </t>
    </r>
    <r>
      <rPr>
        <sz val="14"/>
        <rFont val="Apple Color Emoji"/>
        <family val="2"/>
      </rPr>
      <t>▪</t>
    </r>
    <r>
      <rPr>
        <sz val="14"/>
        <rFont val="宋体"/>
        <family val="2"/>
        <scheme val="minor"/>
      </rPr>
      <t xml:space="preserve">   顾客身份：如年票、C33会员等。
        </t>
    </r>
    <r>
      <rPr>
        <sz val="14"/>
        <rFont val="Apple Color Emoji"/>
        <family val="2"/>
      </rPr>
      <t>▪</t>
    </r>
    <r>
      <rPr>
        <sz val="14"/>
        <rFont val="宋体"/>
        <family val="2"/>
        <scheme val="minor"/>
      </rPr>
      <t xml:space="preserve">   入园相关信息：如年票/门票的虚拟ID（VID）、入园/注册照片。</t>
    </r>
    <phoneticPr fontId="27" type="noConversion"/>
  </si>
  <si>
    <t>二维码只有动码
3.profile绑了多张卡之后，客户需要切到具体AP和ticket提供新的二维码
从ticketing获取对应swid获取绑定的AP和tickets</t>
  </si>
  <si>
    <r>
      <t>POS系统能够在柜台扫描顾客的统一二维码，以获取顾客身份信息，从而提供会员体验。</t>
    </r>
    <r>
      <rPr>
        <sz val="14"/>
        <rFont val="Times New Roman"/>
        <family val="3"/>
      </rPr>
      <t>​​</t>
    </r>
    <phoneticPr fontId="27" type="noConversion"/>
  </si>
  <si>
    <r>
      <t xml:space="preserve">具体流程与技术需求如下：
1.  身份选择前置环节：
    </t>
    </r>
    <r>
      <rPr>
        <sz val="14"/>
        <rFont val="Times New Roman"/>
        <family val="2"/>
      </rPr>
      <t>◦</t>
    </r>
    <r>
      <rPr>
        <sz val="14"/>
        <rFont val="宋体"/>
        <family val="2"/>
        <scheme val="minor"/>
      </rPr>
      <t xml:space="preserve">   如果顾客的个人档案绑定了多张年票或门票，在出示二维码之前，系统需提示顾客先选择本次要使用的身份。
2.  二维码扫描与信息获取：
    </t>
    </r>
    <r>
      <rPr>
        <sz val="14"/>
        <rFont val="Times New Roman"/>
        <family val="2"/>
      </rPr>
      <t>◦</t>
    </r>
    <r>
      <rPr>
        <sz val="14"/>
        <rFont val="宋体"/>
        <family val="2"/>
        <scheme val="minor"/>
      </rPr>
      <t xml:space="preserve">   POS系统通过扫描顾客手机APP或微信内的统一二维码，从中央客户档案中获取其身份信息（如：年票持有者、酒店住客、Club 33会员）及个人资料（如：姓名、生日、会员状态）。
3.  票务数据绑定：
    </t>
    </r>
    <r>
      <rPr>
        <sz val="14"/>
        <rFont val="Times New Roman"/>
        <family val="2"/>
      </rPr>
      <t>◦</t>
    </r>
    <r>
      <rPr>
        <sz val="14"/>
        <rFont val="宋体"/>
        <family val="2"/>
        <scheme val="minor"/>
      </rPr>
      <t xml:space="preserve">   POS系统应能获取与该档案绑定的年票/门票信息，包括：
        </t>
    </r>
    <r>
      <rPr>
        <sz val="14"/>
        <rFont val="Apple Color Emoji"/>
        <family val="2"/>
      </rPr>
      <t>▪</t>
    </r>
    <r>
      <rPr>
        <sz val="14"/>
        <rFont val="宋体"/>
        <family val="2"/>
        <scheme val="minor"/>
      </rPr>
      <t xml:space="preserve">   虚拟ID（VID）/ 团体ID（GID）
        </t>
    </r>
    <r>
      <rPr>
        <sz val="14"/>
        <rFont val="Apple Color Emoji"/>
        <family val="2"/>
      </rPr>
      <t>▪</t>
    </r>
    <r>
      <rPr>
        <sz val="14"/>
        <rFont val="宋体"/>
        <family val="2"/>
        <scheme val="minor"/>
      </rPr>
      <t xml:space="preserve">   门票入园照片
        </t>
    </r>
    <r>
      <rPr>
        <sz val="14"/>
        <rFont val="Apple Color Emoji"/>
        <family val="2"/>
      </rPr>
      <t>▪</t>
    </r>
    <r>
      <rPr>
        <sz val="14"/>
        <rFont val="宋体"/>
        <family val="2"/>
        <scheme val="minor"/>
      </rPr>
      <t xml:space="preserve">   年票注册照片
4.  POS界面信息显示：
    </t>
    </r>
    <r>
      <rPr>
        <sz val="14"/>
        <rFont val="Times New Roman"/>
        <family val="2"/>
      </rPr>
      <t>◦</t>
    </r>
    <r>
      <rPr>
        <sz val="14"/>
        <rFont val="宋体"/>
        <family val="2"/>
        <scheme val="minor"/>
      </rPr>
      <t xml:space="preserve">   扫描成功后，POS屏幕需清晰显示以下信息：
        </t>
    </r>
    <r>
      <rPr>
        <sz val="14"/>
        <rFont val="Apple Color Emoji"/>
        <family val="2"/>
      </rPr>
      <t>▪</t>
    </r>
    <r>
      <rPr>
        <sz val="14"/>
        <rFont val="宋体"/>
        <family val="2"/>
        <scheme val="minor"/>
      </rPr>
      <t xml:space="preserve">   基本资料：档案中的姓名等。
        </t>
    </r>
    <r>
      <rPr>
        <sz val="14"/>
        <rFont val="Apple Color Emoji"/>
        <family val="2"/>
      </rPr>
      <t>▪</t>
    </r>
    <r>
      <rPr>
        <sz val="14"/>
        <rFont val="宋体"/>
        <family val="2"/>
        <scheme val="minor"/>
      </rPr>
      <t xml:space="preserve">   顾客身份：如年票、C33会员等。
        </t>
    </r>
    <r>
      <rPr>
        <sz val="14"/>
        <rFont val="Apple Color Emoji"/>
        <family val="2"/>
      </rPr>
      <t>▪</t>
    </r>
    <r>
      <rPr>
        <sz val="14"/>
        <rFont val="宋体"/>
        <family val="2"/>
        <scheme val="minor"/>
      </rPr>
      <t xml:space="preserve">   入园相关信息：如年票/门票的虚拟ID（VID）、入园/注册照片。
无缝的顾客识别。通过扫描一个统一的二维码，POS员工可以立即了解顾客的身份和状态，从而能够主动提供与其身份相匹配的个性化服务、优惠和问候（如生日祝福、会员专属折扣），极大提升顾客体验和运营效率。</t>
    </r>
    <phoneticPr fontId="27" type="noConversion"/>
  </si>
  <si>
    <t>6.1.1 Identify guest w/ entitlements|Display customized greeting message by allocated guest group 根据身份和会员分组展示问候信息</t>
  </si>
  <si>
    <t>6.1.1.2 As Consumer Activation, I need new POS display customized message by guest group allocated, as to provide conversational greeting.</t>
  </si>
  <si>
    <t>1. Sync guest segmentation from Profile/CDM by synced SWID - based on current guest segmentation criteria. 
2. Get conversational celebration/greeting info by guest‘s segmentation, LoB, and location with pre-defined ranking from new POS.
3. Display customized message by guest group and/or guest identity on POS screen (Format need to be pre-defined)
4. Information display format depends on POS hardware, existing POS screen may not be able to display all of them, so it needs prioritized by display criteria's. 
Detail in Ranking as: Lv1 = Birthday month,  Lv2 = AP/Membership/Hotel guests/C33/CM by ranking, Lv1+Lv2 = Birthday month + AP/Birthday month + Membership/Birthday month + Hotel guests/Birthday month + Club 33/Birthday month + CM. If the guest belongs to both level 1 and level 2, the greeting messages only based on the highest priority group in each level.</t>
    <phoneticPr fontId="27" type="noConversion"/>
  </si>
  <si>
    <t>Profile/CDM</t>
  </si>
  <si>
    <r>
      <t xml:space="preserve">6.1.1.2 </t>
    </r>
    <r>
      <rPr>
        <sz val="14"/>
        <rFont val="宋体"/>
        <family val="2"/>
        <scheme val="minor"/>
      </rPr>
      <t>作为消费者激活，我需要根据分配的宾客组定制新的 POS 显示信息，以便提供对话式问候。</t>
    </r>
  </si>
  <si>
    <t>1.根据当前访客分段条件，通过同步的 SWID 从配置文件/CDM 同步访客分段。
2. 通过客人的细分、LoB 和位置获取对话庆祝/问候信息，并从新 POS 中预定义排名。
3. 在 POS 屏幕上按客人群体和/或客人身份显示定制消息（格式需要预先定义）
4.信息显示格式取决于 POS 硬件，现有 POS 屏幕可能无法显示所有信息，因此需要按显示标准进行优先级排序。
排名详情为：Lv1 = 生日月份，Lv2 = AP/会员/酒店客人/C33/CM 排名，Lv1+Lv2 = 生日月份 + AP/生日月份 + 会员/生日月份 + 酒店客人/生日月份 + 俱乐部 33/生日月份 + CM。如果访客同时属于 1 级和 2 级，则问候消息仅基于每个级别中优先级最高的组。</t>
    <phoneticPr fontId="27" type="noConversion"/>
  </si>
  <si>
    <t>游客分组由CDM给到Profile，在Profile 1.0 R2实现，肯定在POS Launch之前完成</t>
  </si>
  <si>
    <t xml:space="preserve">Segmentation detail - Charlie Done
</t>
  </si>
  <si>
    <t>作为消费者激活部门，我需要新POS系统能够根据分配的客群显示定制化信息，以提供对话式问候</t>
    <phoneticPr fontId="27" type="noConversion"/>
  </si>
  <si>
    <t>具体需求如下：
1. 通过同步的SWID从客户档案/CDM系统同步客群细分数据（基于当前客群细分标准）
2. 根据客群细分、LOB及门店位置，结合预设优先级从新POS获取对话式庆祝/问候信息
3. 在POS屏幕上按客群和/或客户身份显示定制化信息（需预定义显示格式）
4. 信息显示格式取决于POS硬件，现有POS屏幕可能无法完整显示所有内容，因此需要按显示标准进行优先级排序
优先级排序规则如下：
• 第一层级 = 生日当月客户
• 第二层级 = 年票会员/普通会员/酒店住客/俱乐部33会员/内部员工（按此顺序排列）
• 叠加层级 = 生日当月+年票/生日当月+普通会员/生日当月+酒店住客/生日当月+俱乐部33/生日当月+内部员工
如客户同时满足第一和第二层级条件，问候信息将仅基于每个层级中最高优先级的客群进行显示。</t>
    <phoneticPr fontId="27" type="noConversion"/>
  </si>
  <si>
    <t>6.1.1 Identify guest w/ entitlements|Scan a unified QR code to identify guest‘s Ticket 扫描顾客门票识别身份</t>
  </si>
  <si>
    <t>6.1.1.3 As Consumer Activation, I need new POS scan guest ticket QR code at counter, as to get guest identity for purchase validation.</t>
  </si>
  <si>
    <r>
      <t>1. POS scan</t>
    </r>
    <r>
      <rPr>
        <sz val="14"/>
        <color theme="1"/>
        <rFont val="宋体"/>
        <family val="2"/>
        <scheme val="minor"/>
      </rPr>
      <t xml:space="preserve"> </t>
    </r>
    <r>
      <rPr>
        <sz val="14"/>
        <color theme="1"/>
        <rFont val="Calibri"/>
        <family val="2"/>
      </rPr>
      <t>QR code on park ticket</t>
    </r>
    <r>
      <rPr>
        <sz val="14"/>
        <color theme="1"/>
        <rFont val="宋体"/>
        <family val="2"/>
        <scheme val="minor"/>
      </rPr>
      <t>, to get ticket holder identity with his/her personal information(</t>
    </r>
    <r>
      <rPr>
        <sz val="14"/>
        <color theme="1"/>
        <rFont val="Calibri"/>
        <family val="2"/>
      </rPr>
      <t>Name</t>
    </r>
    <r>
      <rPr>
        <sz val="14"/>
        <color theme="1"/>
        <rFont val="宋体"/>
        <family val="2"/>
        <scheme val="minor"/>
      </rPr>
      <t>/admission pho</t>
    </r>
    <r>
      <rPr>
        <sz val="14"/>
        <color theme="1"/>
        <rFont val="Calibri"/>
        <family val="2"/>
      </rPr>
      <t>to/TKT GID)</t>
    </r>
    <r>
      <rPr>
        <sz val="14"/>
        <color theme="1"/>
        <rFont val="宋体"/>
        <family val="2"/>
        <scheme val="minor"/>
      </rPr>
      <t>.</t>
    </r>
    <r>
      <rPr>
        <sz val="14"/>
        <rFont val="宋体"/>
        <family val="2"/>
        <scheme val="minor"/>
      </rPr>
      <t xml:space="preserve">
2. Display basic guest info (e.g. VID), guest identity (e.g. name, GID) and park admission related info (e.g. pho</t>
    </r>
    <r>
      <rPr>
        <sz val="14"/>
        <color theme="1"/>
        <rFont val="宋体"/>
        <family val="2"/>
        <scheme val="minor"/>
      </rPr>
      <t>t</t>
    </r>
    <r>
      <rPr>
        <sz val="14"/>
        <color theme="1"/>
        <rFont val="Calibri"/>
        <family val="2"/>
      </rPr>
      <t>o).</t>
    </r>
  </si>
  <si>
    <r>
      <t xml:space="preserve">6.1.1.3 </t>
    </r>
    <r>
      <rPr>
        <sz val="14"/>
        <rFont val="宋体"/>
        <family val="2"/>
        <scheme val="minor"/>
      </rPr>
      <t>作为消费者激活部门，我需要新POS系统能够在柜台扫描游客门票二维码，以获取游客身份信息用于购买资格验证。</t>
    </r>
    <phoneticPr fontId="27" type="noConversion"/>
  </si>
  <si>
    <t>1. POS系统扫描园区门票上的二维码，获取持票人身份信息及其个人资料（姓名/入园照片/门票团体ID）。
2. 在POS屏幕上显示游客基本信息（如虚拟ID）、游客身份信息（如姓名、团体ID）及园区入园相关信息（如照片）。
```</t>
    <phoneticPr fontId="27" type="noConversion"/>
  </si>
  <si>
    <t>确认获取ticketing信息的solution - 见3.3.1.1</t>
  </si>
  <si>
    <t>作为消费者激活部门，我需要新POS系统能够在柜台扫描游客门票二维码，以获取游客身份信息用于购买资格验证。</t>
    <phoneticPr fontId="27" type="noConversion"/>
  </si>
  <si>
    <t>6.1.2 Enhance entitlement/benefit experience by conversational promotion|Display guest's Merch/FnB entitlement/benefit(coupon) 展示顾客已有的权益和优惠券</t>
  </si>
  <si>
    <t>6.1.2.1 As Consumer Activation, I need new POS display guest's entitlements/benefits list, as improve membership experience and as foundation to drive yield.</t>
  </si>
  <si>
    <t xml:space="preserve">Interface - Profile/Coupon, near real-time sync
1. POS show guest‘s claimed entitiements with LoB and location filter and pre-defined ranking in Lv.1-Cash Coupon/Discount Coupon/Voucher, Lv.2-DPA&amp;DCS/EPEP/Hotel stay
2. For coupon display on POS screen - view all available coupons under guest profile. Coupons need to be filtered by category (FnB/Merch), location and coupon status.
3. List available coupons by pre-defined rules (based on expire date and discount amount)
4. Information display format depends on POS hardware, existing POS screen may not be able to display all of them, so it needs prioritized by display criteria's. </t>
  </si>
  <si>
    <t>Coupon | UIS</t>
  </si>
  <si>
    <t>6.1.2.1 作为消费者激活，我需要新的 POS 显示来展示客人的权益/福利列表，以提升会员体验并作为推动收益的基础。</t>
  </si>
  <si>
    <r>
      <t xml:space="preserve">接口要求：需与客户档案/优惠券系统实现近实时同步
功能细则：
1.  权益展示逻辑：
</t>
    </r>
    <r>
      <rPr>
        <sz val="14"/>
        <rFont val="Times New Roman"/>
        <family val="2"/>
      </rPr>
      <t>◦</t>
    </r>
    <r>
      <rPr>
        <sz val="14"/>
        <rFont val="宋体"/>
        <family val="2"/>
        <scheme val="minor"/>
      </rPr>
      <t xml:space="preserve">   POS系统需根据业务线及门店位置进行筛选
</t>
    </r>
    <r>
      <rPr>
        <sz val="14"/>
        <rFont val="Times New Roman"/>
        <family val="2"/>
      </rPr>
      <t>◦</t>
    </r>
    <r>
      <rPr>
        <sz val="14"/>
        <rFont val="宋体"/>
        <family val="2"/>
        <scheme val="minor"/>
      </rPr>
      <t xml:space="preserve">   按预设优先级展示顾客已申领的权益：
</t>
    </r>
    <r>
      <rPr>
        <sz val="14"/>
        <rFont val="Apple Color Emoji"/>
        <family val="2"/>
      </rPr>
      <t>▪</t>
    </r>
    <r>
      <rPr>
        <sz val="14"/>
        <rFont val="宋体"/>
        <family val="2"/>
        <scheme val="minor"/>
      </rPr>
      <t xml:space="preserve">   一级优先级：现金券/折扣券/代金券
</t>
    </r>
    <r>
      <rPr>
        <sz val="14"/>
        <rFont val="Apple Color Emoji"/>
        <family val="2"/>
      </rPr>
      <t>▪</t>
    </r>
    <r>
      <rPr>
        <sz val="14"/>
        <rFont val="宋体"/>
        <family val="2"/>
        <scheme val="minor"/>
      </rPr>
      <t xml:space="preserve">   二级优先级：DPA&amp;DCS/EPEP/酒店住宿权益
2.  优惠券展示规则：
    </t>
    </r>
    <r>
      <rPr>
        <sz val="14"/>
        <rFont val="Times New Roman"/>
        <family val="2"/>
      </rPr>
      <t>◦</t>
    </r>
    <r>
      <rPr>
        <sz val="14"/>
        <rFont val="宋体"/>
        <family val="2"/>
        <scheme val="minor"/>
      </rPr>
      <t xml:space="preserve">   显示客户档案下所有可用优惠券
    </t>
    </r>
    <r>
      <rPr>
        <sz val="14"/>
        <rFont val="Times New Roman"/>
        <family val="2"/>
      </rPr>
      <t>◦</t>
    </r>
    <r>
      <rPr>
        <sz val="14"/>
        <rFont val="宋体"/>
        <family val="2"/>
        <scheme val="minor"/>
      </rPr>
      <t xml:space="preserve">   支持三重筛选条件：品类（餐饮/商品）、适用门店、券状态
3.  排序机制：
    </t>
    </r>
    <r>
      <rPr>
        <sz val="14"/>
        <rFont val="Times New Roman"/>
        <family val="2"/>
      </rPr>
      <t>◦</t>
    </r>
    <r>
      <rPr>
        <sz val="14"/>
        <rFont val="宋体"/>
        <family val="2"/>
        <scheme val="minor"/>
      </rPr>
      <t xml:space="preserve">   可用优惠券按预设规则排序（主要依据到期时间和折扣金额）
4.  显示适配要求：
    </t>
    </r>
    <r>
      <rPr>
        <sz val="14"/>
        <rFont val="Times New Roman"/>
        <family val="2"/>
      </rPr>
      <t>◦</t>
    </r>
    <r>
      <rPr>
        <sz val="14"/>
        <rFont val="宋体"/>
        <family val="2"/>
        <scheme val="minor"/>
      </rPr>
      <t xml:space="preserve">   显示格式需适配POS硬件性能
    </t>
    </r>
    <r>
      <rPr>
        <sz val="14"/>
        <rFont val="Times New Roman"/>
        <family val="2"/>
      </rPr>
      <t>◦</t>
    </r>
    <r>
      <rPr>
        <sz val="14"/>
        <rFont val="宋体"/>
        <family val="2"/>
        <scheme val="minor"/>
      </rPr>
      <t xml:space="preserve">   现有POS屏幕若显示空间有限，需按既定显示标准进行内容优先级优化
</t>
    </r>
    <phoneticPr fontId="27" type="noConversion"/>
  </si>
  <si>
    <t>获取用户权益信息包括PFC-DPA&amp;DCS/EPEP/Coupon/Voucher/Hotel stay</t>
  </si>
  <si>
    <t>Coupon &amp; UIS</t>
  </si>
  <si>
    <t>确认是否从UIS拿优惠券- Lucky &amp; Tim
确认是否从UIS拿，拿的权益有哪些 - Lucky &amp; Tim &amp; Charlie</t>
  </si>
  <si>
    <t>6.1.2.1 作为消费者激活部门，我需要新POS系统能够展示顾客的权益/优惠列表，以提升会员体验并作为促进收益的基础。</t>
    <phoneticPr fontId="27" type="noConversion"/>
  </si>
  <si>
    <r>
      <t xml:space="preserve">
接口要求：需与客户档案/优惠券系统实现近实时同步
功能细则：
1.  权益展示逻辑：
</t>
    </r>
    <r>
      <rPr>
        <sz val="14"/>
        <rFont val="Times New Roman"/>
        <family val="2"/>
      </rPr>
      <t>◦</t>
    </r>
    <r>
      <rPr>
        <sz val="14"/>
        <rFont val="宋体"/>
        <family val="2"/>
        <scheme val="minor"/>
      </rPr>
      <t xml:space="preserve">   POS系统需根据业务线及门店位置进行筛选
</t>
    </r>
    <r>
      <rPr>
        <sz val="14"/>
        <rFont val="Times New Roman"/>
        <family val="2"/>
      </rPr>
      <t>◦</t>
    </r>
    <r>
      <rPr>
        <sz val="14"/>
        <rFont val="宋体"/>
        <family val="2"/>
        <scheme val="minor"/>
      </rPr>
      <t xml:space="preserve">   按预设优先级展示顾客已申领的权益：
</t>
    </r>
    <r>
      <rPr>
        <sz val="14"/>
        <rFont val="Apple Color Emoji"/>
        <family val="2"/>
      </rPr>
      <t>▪</t>
    </r>
    <r>
      <rPr>
        <sz val="14"/>
        <rFont val="宋体"/>
        <family val="2"/>
        <scheme val="minor"/>
      </rPr>
      <t xml:space="preserve">   一级优先级：现金券/折扣券/代金券
</t>
    </r>
    <r>
      <rPr>
        <sz val="14"/>
        <rFont val="Apple Color Emoji"/>
        <family val="2"/>
      </rPr>
      <t>▪</t>
    </r>
    <r>
      <rPr>
        <sz val="14"/>
        <rFont val="宋体"/>
        <family val="2"/>
        <scheme val="minor"/>
      </rPr>
      <t xml:space="preserve">   二级优先级：DPA&amp;DCS/EPEP/酒店住宿权益
2.  优惠券展示规则：
    </t>
    </r>
    <r>
      <rPr>
        <sz val="14"/>
        <rFont val="Times New Roman"/>
        <family val="2"/>
      </rPr>
      <t>◦</t>
    </r>
    <r>
      <rPr>
        <sz val="14"/>
        <rFont val="宋体"/>
        <family val="2"/>
        <scheme val="minor"/>
      </rPr>
      <t xml:space="preserve">   显示客户档案下所有可用优惠券
    </t>
    </r>
    <r>
      <rPr>
        <sz val="14"/>
        <rFont val="Times New Roman"/>
        <family val="2"/>
      </rPr>
      <t>◦</t>
    </r>
    <r>
      <rPr>
        <sz val="14"/>
        <rFont val="宋体"/>
        <family val="2"/>
        <scheme val="minor"/>
      </rPr>
      <t xml:space="preserve">   支持三重筛选条件：品类（餐饮/商品）、适用门店、券状态
3.  排序机制：
    </t>
    </r>
    <r>
      <rPr>
        <sz val="14"/>
        <rFont val="Times New Roman"/>
        <family val="2"/>
      </rPr>
      <t>◦</t>
    </r>
    <r>
      <rPr>
        <sz val="14"/>
        <rFont val="宋体"/>
        <family val="2"/>
        <scheme val="minor"/>
      </rPr>
      <t xml:space="preserve">   可用优惠券按预设规则排序（主要依据到期时间和折扣金额）
4.  显示适配要求：
    </t>
    </r>
    <r>
      <rPr>
        <sz val="14"/>
        <rFont val="Times New Roman"/>
        <family val="2"/>
      </rPr>
      <t>◦</t>
    </r>
    <r>
      <rPr>
        <sz val="14"/>
        <rFont val="宋体"/>
        <family val="2"/>
        <scheme val="minor"/>
      </rPr>
      <t xml:space="preserve">   显示格式需适配POS硬件性能
    </t>
    </r>
    <r>
      <rPr>
        <sz val="14"/>
        <rFont val="Times New Roman"/>
        <family val="2"/>
      </rPr>
      <t>◦</t>
    </r>
    <r>
      <rPr>
        <sz val="14"/>
        <rFont val="宋体"/>
        <family val="2"/>
        <scheme val="minor"/>
      </rPr>
      <t xml:space="preserve">   现有POS屏幕若显示空间有限，需按既定显示标准进行内容优先级优化
技术实现要点：
• 建立与Profile/Coupon系统的实时数据同步机制
• 设计可配置的优先级规则引擎
• 实现响应式界面布局，适配不同硬件屏幕
• 开发智能内容压缩算法，确保关键信息优先展示</t>
    </r>
    <phoneticPr fontId="27" type="noConversion"/>
  </si>
  <si>
    <t>6.1.2 Enhance entitlement/benefit experience by conversational promotion|Recommend benefits for up-sales &amp; cross-sale 推荐加购凑单以享受更多折扣</t>
  </si>
  <si>
    <t>6.1.2.2 As Consumer Activation, I need new POS highlight available coupon and potential discount with calculation, as to drive yield by up-sale/cross-sell.</t>
  </si>
  <si>
    <t>Interface - Coupon, near real-time sync
1. List available coupons by pre-defined rules (based on expire date, discount amount and applicable products), change the display order of coupons in the list when CM views available coupons while scanning/selecting items.
2. POS highlight available coupon to remind cashier if meet coupon's criteria &amp; threshold.
3. Highlight recommended promtion/coupons on the top of the list and display reminder on main screen for better upsell (e.g. inform the guest if he extra purchase XX RMB to meet XX threshold so that he can use XX coupon).
4. Recommended promtion/coupons are listed by max discount amount calcuation in sequence: Lv.1 - Product level promotion,  Lv.2 - Order level promotion/discount,  Lv.3 - guest identity(e.g. AP) promotion.
Example:
Lv.1 - Product level promotion 加购饮料/商品可减X元(不依赖优惠券，POS计算)
Lv.2 - Order level promotion/discount 本单满XXX可减XX元/本单满XXX可换购省XX元(可能依赖优惠券，可能需要Coupon计算)
Lv.3 - guest identity‘s promotion 本单满XXX可使用年卡已有优惠券省XX元(依赖优惠券，需要Coupon计算)</t>
  </si>
  <si>
    <r>
      <t xml:space="preserve">6.1.2.2 </t>
    </r>
    <r>
      <rPr>
        <sz val="14"/>
        <rFont val="宋体"/>
        <family val="2"/>
        <scheme val="minor"/>
      </rPr>
      <t>作为消费者激活，我需要新的 POS 系统突出显示可用优惠券和潜在折扣及其计算，以便通过追加销售/交叉销售来提高收益。</t>
    </r>
    <phoneticPr fontId="27" type="noConversion"/>
  </si>
  <si>
    <t>界面 - 优惠券，近实时同步
1. 通过预定义规则列出可用优惠券（基于过期日期、折扣金额和适用产品），当 CM 在扫描/选择商品时查看可用优惠券，可更改优惠券列表的显示顺序。
2. POS 高亮显示可用优惠券，提醒收银员是否符合优惠券的条件和门槛。
3. 在列表顶部突出显示推荐的促销/优惠券，并在主屏幕上显示提醒，以促进追加销售（例如，告知客人如果额外消费 XX 元即可达到 XX 门槛，从而可以使用 XX 优惠券）。
4. 推荐的促销/优惠券按最大折扣金额计算顺序列出：Lv.1 - 产品级别促销，Lv.2 - 订单级别促销/折扣，Lv.3 - 客户身份（如 AP）促销。
示例：
Lv.1 - 商品等级促销 加购饮料/商品可减 X 元(不依赖优惠券，POS 计算)
Lv.2 - 订单层级促销/折扣 本单满 XXX 可减 XX 元/本单满 XXX 可换购省 X 元(可能依赖优惠券，可能需要 Coupon 计算)
Lv.3 - 访客身份促销 本单满 XXX 可使用年卡已有优惠券省 XX 元(依赖优惠券，需要 Coupon 计算)</t>
    <phoneticPr fontId="27" type="noConversion"/>
  </si>
  <si>
    <t>1. 应该由Coupon提供接口获取优惠券加购数据
2. 展示文案是否也能Coupon提供?
Lv1级别最高</t>
  </si>
  <si>
    <t>Recommandation detail - Charlie Done
展示文案是否由Coupon提供，待DM确认?
目前Coupon没有这种文案</t>
  </si>
  <si>
    <t>6.1.2.2 作为消费者激活部门，我需要新POS系统能够高亮显示可用优惠券及潜在折扣并进行计算，以通过追加销售/交叉销售提升收益。</t>
    <phoneticPr fontId="27" type="noConversion"/>
  </si>
  <si>
    <r>
      <t xml:space="preserve">接口要求：需与优惠券系统实现近实时同步
功能细则：
1.  智能排序机制：
    </t>
    </r>
    <r>
      <rPr>
        <sz val="14"/>
        <rFont val="Times New Roman"/>
        <family val="2"/>
      </rPr>
      <t>◦</t>
    </r>
    <r>
      <rPr>
        <sz val="14"/>
        <rFont val="宋体"/>
        <family val="2"/>
        <scheme val="minor"/>
      </rPr>
      <t xml:space="preserve">   按预设规则（基于到期日、折扣金额及适用商品）列出可用优惠券
    </t>
    </r>
    <r>
      <rPr>
        <sz val="14"/>
        <rFont val="Times New Roman"/>
        <family val="2"/>
      </rPr>
      <t>◦</t>
    </r>
    <r>
      <rPr>
        <sz val="14"/>
        <rFont val="宋体"/>
        <family val="2"/>
        <scheme val="minor"/>
      </rPr>
      <t xml:space="preserve">   当员工扫描/选择商品时，动态调整优惠券列表的显示顺序
2.  自动提醒功能：
    </t>
    </r>
    <r>
      <rPr>
        <sz val="14"/>
        <rFont val="Times New Roman"/>
        <family val="2"/>
      </rPr>
      <t>◦</t>
    </r>
    <r>
      <rPr>
        <sz val="14"/>
        <rFont val="宋体"/>
        <family val="2"/>
        <scheme val="minor"/>
      </rPr>
      <t xml:space="preserve">   当交易满足优惠券使用条件及门槛时，POS系统需高亮提示收银员
3.  升级销售引导：
    </t>
    </r>
    <r>
      <rPr>
        <sz val="14"/>
        <rFont val="Times New Roman"/>
        <family val="2"/>
      </rPr>
      <t>◦</t>
    </r>
    <r>
      <rPr>
        <sz val="14"/>
        <rFont val="宋体"/>
        <family val="2"/>
        <scheme val="minor"/>
      </rPr>
      <t xml:space="preserve">   将推荐促销/优惠券置顶显示，并在主屏幕显示提醒信息
    </t>
    </r>
    <r>
      <rPr>
        <sz val="14"/>
        <rFont val="Times New Roman"/>
        <family val="2"/>
      </rPr>
      <t>◦</t>
    </r>
    <r>
      <rPr>
        <sz val="14"/>
        <rFont val="宋体"/>
        <family val="2"/>
        <scheme val="minor"/>
      </rPr>
      <t xml:space="preserve">   示例：提示顾客"再加购XX元即可满足XX门槛，使用XX优惠券立减XX元"
4.  分层推荐逻辑（按最大折扣金额计算排序）：
    </t>
    </r>
    <r>
      <rPr>
        <sz val="14"/>
        <rFont val="Times New Roman"/>
        <family val="2"/>
      </rPr>
      <t>◦</t>
    </r>
    <r>
      <rPr>
        <sz val="14"/>
        <rFont val="宋体"/>
        <family val="2"/>
        <scheme val="minor"/>
      </rPr>
      <t xml:space="preserve">   一级优先级：商品层级促销（如加购饮料/商品立减X元，由POS直接计算）
    </t>
    </r>
    <r>
      <rPr>
        <sz val="14"/>
        <rFont val="Times New Roman"/>
        <family val="2"/>
      </rPr>
      <t>◦</t>
    </r>
    <r>
      <rPr>
        <sz val="14"/>
        <rFont val="宋体"/>
        <family val="2"/>
        <scheme val="minor"/>
      </rPr>
      <t xml:space="preserve">   二级优先级：订单层级促销/折扣（如满XXX减XX元/满XXX换购省XX元，可能依赖优惠券系统计算）
    </t>
    </r>
    <r>
      <rPr>
        <sz val="14"/>
        <rFont val="Times New Roman"/>
        <family val="2"/>
      </rPr>
      <t>◦</t>
    </r>
    <r>
      <rPr>
        <sz val="14"/>
        <rFont val="宋体"/>
        <family val="2"/>
        <scheme val="minor"/>
      </rPr>
      <t xml:space="preserve">   三级优先级：客群身份促销（如满XXX可使用年卡优惠券省XX元，需依赖优惠券系统计算）
技术实现要点：
• 建立优惠券适用性实时计算引擎
• 开发动态排序算法，根据购物车内容实时调整推荐优先级
• 设计分层提醒机制，确保推荐逻辑清晰可控
• 实现主屏幕弹窗提示功能，强化升级销售机会触达</t>
    </r>
    <phoneticPr fontId="27" type="noConversion"/>
  </si>
  <si>
    <t>6.1.2 Enhance entitlement/benefit experience by conversational promotion|Help guest apply coupon to get discount 帮助游客使用已有的权益</t>
  </si>
  <si>
    <t>6.1.2.3 As Consumer Activation, I need new POS will be able to help guest apply coupon with guest confirmation, as to better guest experience in up-sale/cross-sell.</t>
  </si>
  <si>
    <t xml:space="preserve">1. After confirmed, cashier select a claimed coupon on POS screen to apply on current transaction.
2. Clearly show the number of coupons used and total discount amount (e.g. use maximum XXX coupons and get XX RMB deducted based on items picked/scanned)
3. Without guest facing screen, cast may only confirm orally. </t>
  </si>
  <si>
    <t>6.1.2.3 作为消费者激活部门，我需要新POS系统能够在顾客确认后协助其使用优惠券，以提升追加销售/交叉销售过程中的顾客体验。</t>
    <phoneticPr fontId="27" type="noConversion"/>
  </si>
  <si>
    <r>
      <t xml:space="preserve">1.  优惠券应用：经顾客确认后，收银员可在POS屏幕选择顾客已领取的优惠券，应用于当前交易。
2.  折扣信息透明化：清晰展示已使用优惠券数量及总折扣金额。
    </t>
    </r>
    <r>
      <rPr>
        <sz val="14"/>
        <rFont val="Times New Roman"/>
        <family val="2"/>
      </rPr>
      <t>◦</t>
    </r>
    <r>
      <rPr>
        <sz val="14"/>
        <rFont val="宋体"/>
        <family val="2"/>
        <scheme val="minor"/>
      </rPr>
      <t xml:space="preserve">   示例提示："本次交易最多可使用XXX张优惠券，根据所选/所扫商品，共计减免XX元。"
3.  确认方式灵活性：在无顾客确认屏的情况下，允许收银员通过口头方式与顾客确认优惠券使用意向。</t>
    </r>
    <phoneticPr fontId="27" type="noConversion"/>
  </si>
  <si>
    <t>直接帮用户用券不需要再扫券码，需要口头与用户沟通用券情况</t>
  </si>
  <si>
    <t>Apply detail - Charlie Done
多张券使用场景，需要确认交互界面，后续在详细设计时再确认</t>
  </si>
  <si>
    <r>
      <t xml:space="preserve">1.  优惠券应用：经顾客确认后，收银员可在POS屏幕选择顾客已领取的优惠券，应用于当前交易。
2.  折扣信息透明化：清晰展示已使用优惠券数量及总折扣金额。
    </t>
    </r>
    <r>
      <rPr>
        <sz val="14"/>
        <rFont val="Times New Roman"/>
        <family val="2"/>
      </rPr>
      <t>◦</t>
    </r>
    <r>
      <rPr>
        <sz val="14"/>
        <rFont val="宋体"/>
        <family val="2"/>
        <scheme val="minor"/>
      </rPr>
      <t xml:space="preserve">   示例提示："本次交易最多可使用XXX张优惠券，根据所选/所扫商品，共计减免XX元。"
3.  确认方式灵活性：在无顾客确认屏的情况下，允许收银员通过口头方式与顾客确认优惠券使用意向。
在确保顾客知情同意的前提下，简化优惠券核销流程，提升优惠券使用率与顾客满意度。</t>
    </r>
    <phoneticPr fontId="27" type="noConversion"/>
  </si>
  <si>
    <t>6.1.3 Enhance guest engagement after order settled|Sync transaction with guest identity to guest order center 交易后推送订单至游客身份账户</t>
  </si>
  <si>
    <t>6.1.3.1 As Consumer Activation, I need new POS sync order detail with guest identity to guest order center in near real-time, as foundation for consumer activation to drive yield.</t>
  </si>
  <si>
    <t>Interface-Order Service, near real-time sync
1. New POS sync order detail with guest identity to order center in near real-time. 
2. New POS trigger order detail pushing to guest facing channel(APP/WeChat) as digital receipt in near real-time.
3. If transaction doesn't contains guest identity, the order need to sync with empty identity.</t>
  </si>
  <si>
    <t>6.1.3.1 作为消费者激活部门，我需要新POS系统能够将包含顾客身份信息的订单详情准实时同步至顾客订单中心，为消费者激活及收益提升奠定数据基础。</t>
    <phoneticPr fontId="27" type="noConversion"/>
  </si>
  <si>
    <r>
      <t xml:space="preserve">接口 - 订单服务，近乎实时同步
1.  数据同步机制
    </t>
    </r>
    <r>
      <rPr>
        <sz val="14"/>
        <rFont val="Times New Roman"/>
        <family val="2"/>
      </rPr>
      <t>◦</t>
    </r>
    <r>
      <rPr>
        <sz val="14"/>
        <rFont val="宋体"/>
        <family val="2"/>
        <scheme val="minor"/>
      </rPr>
      <t xml:space="preserve">   新POS系统需将包含顾客身份标识的订单详情准实时同步至订单中心。
2.  数字化回单推送
    </t>
    </r>
    <r>
      <rPr>
        <sz val="14"/>
        <rFont val="Times New Roman"/>
        <family val="2"/>
      </rPr>
      <t>◦</t>
    </r>
    <r>
      <rPr>
        <sz val="14"/>
        <rFont val="宋体"/>
        <family val="2"/>
        <scheme val="minor"/>
      </rPr>
      <t xml:space="preserve">   新POS系统需准实时触发订单信息向顾客端渠道推送，在APP/微信等平台生成数字化回单。
3.  匿名订单处理
    </t>
    </r>
    <r>
      <rPr>
        <sz val="14"/>
        <rFont val="Times New Roman"/>
        <family val="2"/>
      </rPr>
      <t>◦</t>
    </r>
    <r>
      <rPr>
        <sz val="14"/>
        <rFont val="宋体"/>
        <family val="2"/>
        <scheme val="minor"/>
      </rPr>
      <t xml:space="preserve">   若交易未关联顾客身份信息，订单仍需同步至订单中心，但身份标识字段可为空。</t>
    </r>
    <phoneticPr fontId="27" type="noConversion"/>
  </si>
  <si>
    <r>
      <t xml:space="preserve">接口要求：需与订单服务实现准实时同步
核心功能：
1.  数据同步机制
    </t>
    </r>
    <r>
      <rPr>
        <sz val="14"/>
        <rFont val="Times New Roman"/>
        <family val="2"/>
      </rPr>
      <t>◦</t>
    </r>
    <r>
      <rPr>
        <sz val="14"/>
        <rFont val="宋体"/>
        <family val="2"/>
        <scheme val="minor"/>
      </rPr>
      <t xml:space="preserve">   新POS系统需将包含顾客身份标识的订单详情准实时同步至订单中心。
2.  数字化回单推送
    </t>
    </r>
    <r>
      <rPr>
        <sz val="14"/>
        <rFont val="Times New Roman"/>
        <family val="2"/>
      </rPr>
      <t>◦</t>
    </r>
    <r>
      <rPr>
        <sz val="14"/>
        <rFont val="宋体"/>
        <family val="2"/>
        <scheme val="minor"/>
      </rPr>
      <t xml:space="preserve">   新POS系统需准实时触发订单信息向顾客端渠道推送，在APP/微信等平台生成数字化回单。
3.  匿名订单处理
    </t>
    </r>
    <r>
      <rPr>
        <sz val="14"/>
        <rFont val="Times New Roman"/>
        <family val="2"/>
      </rPr>
      <t>◦</t>
    </r>
    <r>
      <rPr>
        <sz val="14"/>
        <rFont val="宋体"/>
        <family val="2"/>
        <scheme val="minor"/>
      </rPr>
      <t xml:space="preserve">   若交易未关联顾客身份信息，订单仍需同步至订单中心，但身份标识字段可为空。
技术实现要点：
• 建立高可用性的订单数据同步管道，确保数据低延迟传输。
• 设计健壮的消息触发机制，保证数字化回单推送的及时性与可靠性。
• 订单中心需具备处理包含匿名订单的混合数据流能力。</t>
    </r>
    <phoneticPr fontId="27" type="noConversion"/>
  </si>
  <si>
    <t>6.1.3 Enhance guest engagement after order settled|Push benefits after transaction settled 交易后给游客推送权益</t>
  </si>
  <si>
    <t>6.1.3.2 As MKT Consumer Activation, I need new POS will be able to trigger coupon issuance by guest identity in near real-time, as to drive yield by up-sale/cross-sell.</t>
  </si>
  <si>
    <t>Interface - Coupon, near real-time sync
1. Checking with pre-defined rule in transaction product, amount with location and date after payment.
2. If transaction meet criteria, New POS trigger designated coupon issuance to guest profile in near real-time.
3. Show promotion detail on screen, display information can be configured (e.g. by location, by SKU, by total amount)
 - Display promotion message (plain text) on POS when the transaction is completed (e.g. if it's ticket guest, CM can promote one day ticket upgrade to AP)
 - Promotion message might be different by LoB (FnB/Merch) and Location
 - Message content and display priority can be configured
Pre-defined rule in:
Product - a)buy X, b)buy X*#n, c)buy X*#n in a category, d) buy X*#n and Y*#m, e) buy X*#n and Y*#m in a category
Amount - a)spend X, b)spend X in a category, 
Location - in XX location, 
Date - from A date to B date.</t>
    <phoneticPr fontId="27" type="noConversion"/>
  </si>
  <si>
    <r>
      <t xml:space="preserve">6.1.3.2 </t>
    </r>
    <r>
      <rPr>
        <sz val="14"/>
        <rFont val="宋体"/>
        <family val="2"/>
        <scheme val="minor"/>
      </rPr>
      <t>作为 MKT 消费者激活，我需要新的 POS 系统能够根据客人身份近乎实时地触发优惠券发放，从而通过追加销售/交叉销售来提高收益。</t>
    </r>
    <phoneticPr fontId="27" type="noConversion"/>
  </si>
  <si>
    <r>
      <t xml:space="preserve">接口要求：需与优惠券系统实现准实时同步
1.  规则匹配检查：在支付完成后，系统将根据预设规则，校验交易中的商品、金额、门店地点及日期是否符合条件。
2.  优惠券触发发放：若交易满足条件，新POS系统将准实时触发向该顾客档案发放指定优惠券。
3.  屏幕促销信息展示：在POS屏幕上显示促销详情，展示信息可配置（例如，按门店、按SKU、按总金额）。
    </t>
    </r>
    <r>
      <rPr>
        <sz val="14"/>
        <rFont val="Times New Roman"/>
        <family val="2"/>
      </rPr>
      <t>◦</t>
    </r>
    <r>
      <rPr>
        <sz val="14"/>
        <rFont val="宋体"/>
        <family val="2"/>
        <scheme val="minor"/>
      </rPr>
      <t xml:space="preserve">   交易完成后，在POS上显示促销信息（纯文本）。例如，若为单日票游客，员工可推荐升级为年票。
    </t>
    </r>
    <r>
      <rPr>
        <sz val="14"/>
        <rFont val="Times New Roman"/>
        <family val="2"/>
      </rPr>
      <t>◦</t>
    </r>
    <r>
      <rPr>
        <sz val="14"/>
        <rFont val="宋体"/>
        <family val="2"/>
        <scheme val="minor"/>
      </rPr>
      <t xml:space="preserve">   促销信息可根据业务线（餐饮/商品）和门店地点有所不同。
    </t>
    </r>
    <r>
      <rPr>
        <sz val="14"/>
        <rFont val="Times New Roman"/>
        <family val="2"/>
      </rPr>
      <t>◦</t>
    </r>
    <r>
      <rPr>
        <sz val="14"/>
        <rFont val="宋体"/>
        <family val="2"/>
        <scheme val="minor"/>
      </rPr>
      <t xml:space="preserve">   信息内容及显示优先级可配置。
</t>
    </r>
    <r>
      <rPr>
        <sz val="14"/>
        <rFont val="Times New Roman"/>
        <family val="2"/>
      </rPr>
      <t>​​</t>
    </r>
    <r>
      <rPr>
        <sz val="14"/>
        <rFont val="宋体"/>
        <family val="2"/>
        <scheme val="minor"/>
      </rPr>
      <t>商品</t>
    </r>
    <r>
      <rPr>
        <sz val="14"/>
        <rFont val="Times New Roman"/>
        <family val="2"/>
      </rPr>
      <t>​​</t>
    </r>
    <r>
      <rPr>
        <sz val="14"/>
        <rFont val="宋体"/>
        <family val="2"/>
        <scheme val="minor"/>
      </rPr>
      <t xml:space="preserve">：a) 购买X商品，b) 购买X商品n件，c) 在一个品类中购买X商品n件，d) 购买X商品n件和Y商品m件，e) 在一个品类中购买X商品n件和Y商品m件。
</t>
    </r>
    <r>
      <rPr>
        <sz val="14"/>
        <rFont val="Times New Roman"/>
        <family val="2"/>
      </rPr>
      <t>​​</t>
    </r>
    <r>
      <rPr>
        <sz val="14"/>
        <rFont val="宋体"/>
        <family val="2"/>
        <scheme val="minor"/>
      </rPr>
      <t>金额</t>
    </r>
    <r>
      <rPr>
        <sz val="14"/>
        <rFont val="Times New Roman"/>
        <family val="2"/>
      </rPr>
      <t>​​</t>
    </r>
    <r>
      <rPr>
        <sz val="14"/>
        <rFont val="宋体"/>
        <family val="2"/>
        <scheme val="minor"/>
      </rPr>
      <t xml:space="preserve">：a) 消费满X元，b) 在某个品类消费满X元。
</t>
    </r>
    <r>
      <rPr>
        <sz val="14"/>
        <rFont val="Times New Roman"/>
        <family val="2"/>
      </rPr>
      <t>​​</t>
    </r>
    <r>
      <rPr>
        <sz val="14"/>
        <rFont val="宋体"/>
        <family val="2"/>
        <scheme val="minor"/>
      </rPr>
      <t>地点</t>
    </r>
    <r>
      <rPr>
        <sz val="14"/>
        <rFont val="Times New Roman"/>
        <family val="2"/>
      </rPr>
      <t>​​</t>
    </r>
    <r>
      <rPr>
        <sz val="14"/>
        <rFont val="宋体"/>
        <family val="2"/>
        <scheme val="minor"/>
      </rPr>
      <t xml:space="preserve">：在XX门店。
</t>
    </r>
    <r>
      <rPr>
        <sz val="14"/>
        <rFont val="Times New Roman"/>
        <family val="2"/>
      </rPr>
      <t>​​</t>
    </r>
    <r>
      <rPr>
        <sz val="14"/>
        <rFont val="宋体"/>
        <family val="2"/>
        <scheme val="minor"/>
      </rPr>
      <t>日期</t>
    </r>
    <r>
      <rPr>
        <sz val="14"/>
        <rFont val="Times New Roman"/>
        <family val="2"/>
      </rPr>
      <t>​​</t>
    </r>
    <r>
      <rPr>
        <sz val="14"/>
        <rFont val="宋体"/>
        <family val="2"/>
        <scheme val="minor"/>
      </rPr>
      <t>：从A日期到B日期。</t>
    </r>
    <phoneticPr fontId="27" type="noConversion"/>
  </si>
  <si>
    <t>1.交易完成后达到指定条件触发送券(近实时)
2. 送券信息在页面展示出来
3. 展示的送券信息可后台配置
solution: 触发条件和送券信息展示由New POS后台配置</t>
  </si>
  <si>
    <t>Post-payment coupon detail - Charlie Done
待Lucky拉会，与Joyce, Yujun聊具体solution</t>
  </si>
  <si>
    <t>6.1.3.2 作为市场营销部消费者激活部门，我需要新POS系统能够基于顾客身份准实时触发优惠券发放，以通过追加销售/交叉销售提升收益。</t>
    <phoneticPr fontId="27" type="noConversion"/>
  </si>
  <si>
    <r>
      <t xml:space="preserve">接口要求：需与优惠券系统实现准实时同步
核心功能与流程：
1.  规则匹配检查：在支付完成后，系统将根据预设规则，校验交易中的商品、金额、门店地点及日期是否符合条件。
2.  优惠券触发发放：若交易满足条件，新POS系统将准实时触发向该顾客档案发放指定优惠券。
3.  屏幕促销信息展示：在POS屏幕上显示促销详情，展示信息可配置（例如，按门店、按SKU、按总金额）。
    </t>
    </r>
    <r>
      <rPr>
        <sz val="14"/>
        <rFont val="Times New Roman"/>
        <family val="2"/>
      </rPr>
      <t>◦</t>
    </r>
    <r>
      <rPr>
        <sz val="14"/>
        <rFont val="宋体"/>
        <family val="2"/>
        <scheme val="minor"/>
      </rPr>
      <t xml:space="preserve">   交易完成后，在POS上显示促销信息（纯文本）。例如，若为单日票游客，员工可推荐升级为年票。
    </t>
    </r>
    <r>
      <rPr>
        <sz val="14"/>
        <rFont val="Times New Roman"/>
        <family val="2"/>
      </rPr>
      <t>◦</t>
    </r>
    <r>
      <rPr>
        <sz val="14"/>
        <rFont val="宋体"/>
        <family val="2"/>
        <scheme val="minor"/>
      </rPr>
      <t xml:space="preserve">   促销信息可根据业务线（餐饮/商品）和门店地点有所不同。
    </t>
    </r>
    <r>
      <rPr>
        <sz val="14"/>
        <rFont val="Times New Roman"/>
        <family val="2"/>
      </rPr>
      <t>◦</t>
    </r>
    <r>
      <rPr>
        <sz val="14"/>
        <rFont val="宋体"/>
        <family val="2"/>
        <scheme val="minor"/>
      </rPr>
      <t xml:space="preserve">   信息内容及显示优先级可配置。
</t>
    </r>
    <r>
      <rPr>
        <sz val="14"/>
        <rFont val="Times New Roman"/>
        <family val="2"/>
      </rPr>
      <t>​​</t>
    </r>
    <r>
      <rPr>
        <sz val="14"/>
        <rFont val="宋体"/>
        <family val="2"/>
        <scheme val="minor"/>
      </rPr>
      <t>商品</t>
    </r>
    <r>
      <rPr>
        <sz val="14"/>
        <rFont val="Times New Roman"/>
        <family val="2"/>
      </rPr>
      <t>​​</t>
    </r>
    <r>
      <rPr>
        <sz val="14"/>
        <rFont val="宋体"/>
        <family val="2"/>
        <scheme val="minor"/>
      </rPr>
      <t xml:space="preserve">：a) 购买X商品，b) 购买X商品n件，c) 在一个品类中购买X商品n件，d) 购买X商品n件和Y商品m件，e) 在一个品类中购买X商品n件和Y商品m件。
</t>
    </r>
    <r>
      <rPr>
        <sz val="14"/>
        <rFont val="Times New Roman"/>
        <family val="2"/>
      </rPr>
      <t>​​</t>
    </r>
    <r>
      <rPr>
        <sz val="14"/>
        <rFont val="宋体"/>
        <family val="2"/>
        <scheme val="minor"/>
      </rPr>
      <t>金额</t>
    </r>
    <r>
      <rPr>
        <sz val="14"/>
        <rFont val="Times New Roman"/>
        <family val="2"/>
      </rPr>
      <t>​​</t>
    </r>
    <r>
      <rPr>
        <sz val="14"/>
        <rFont val="宋体"/>
        <family val="2"/>
        <scheme val="minor"/>
      </rPr>
      <t xml:space="preserve">：a) 消费满X元，b) 在某个品类消费满X元。
</t>
    </r>
    <r>
      <rPr>
        <sz val="14"/>
        <rFont val="Times New Roman"/>
        <family val="2"/>
      </rPr>
      <t>​​</t>
    </r>
    <r>
      <rPr>
        <sz val="14"/>
        <rFont val="宋体"/>
        <family val="2"/>
        <scheme val="minor"/>
      </rPr>
      <t>地点</t>
    </r>
    <r>
      <rPr>
        <sz val="14"/>
        <rFont val="Times New Roman"/>
        <family val="2"/>
      </rPr>
      <t>​​</t>
    </r>
    <r>
      <rPr>
        <sz val="14"/>
        <rFont val="宋体"/>
        <family val="2"/>
        <scheme val="minor"/>
      </rPr>
      <t xml:space="preserve">：在XX门店。
</t>
    </r>
    <r>
      <rPr>
        <sz val="14"/>
        <rFont val="Times New Roman"/>
        <family val="2"/>
      </rPr>
      <t>​​</t>
    </r>
    <r>
      <rPr>
        <sz val="14"/>
        <rFont val="宋体"/>
        <family val="2"/>
        <scheme val="minor"/>
      </rPr>
      <t>日期</t>
    </r>
    <r>
      <rPr>
        <sz val="14"/>
        <rFont val="Times New Roman"/>
        <family val="2"/>
      </rPr>
      <t>​​</t>
    </r>
    <r>
      <rPr>
        <sz val="14"/>
        <rFont val="宋体"/>
        <family val="2"/>
        <scheme val="minor"/>
      </rPr>
      <t>：从A日期到B日期。</t>
    </r>
    <phoneticPr fontId="27" type="noConversion"/>
  </si>
  <si>
    <t>6.2 Enhance DataMart and analysis 增强数据集市和分析</t>
  </si>
  <si>
    <t>6.2.1 Operations &amp; Commercial data analysis|Sync transactions to IE DataMart for operation analysis 分析运营效率-IE Datamart</t>
  </si>
  <si>
    <t>6.2.1.1 As IE analyst, I need New POS will be able to sync operational indicators from transactions to IE DataMart, as to analyze store and restaurant operation efficiency.</t>
  </si>
  <si>
    <t>Interface-IE Datamart, daily
1. Datamart will need to capture order, refund, and return details for sales items through POS.
2. Datamart will need to capture details on membership, coupon, and discount usage through POS.</t>
  </si>
  <si>
    <r>
      <t xml:space="preserve">6.2.1.1 </t>
    </r>
    <r>
      <rPr>
        <sz val="14"/>
        <rFont val="宋体"/>
        <family val="2"/>
        <scheme val="minor"/>
      </rPr>
      <t>作为 IE 分析师，我需要新 POS 系统能够将交易中的运营指标同步到 IE DataMart，以便分析门店和餐厅的运营效率。</t>
    </r>
  </si>
  <si>
    <t>接口-IE 数据集市，每日
1. 数据集市需要捕获通过 POS 销售商品的订单、退款和退货详细信息。
2. 数据集市需要捕获通过 POS 使用的会员资格、优惠券和折扣的详细信息。</t>
  </si>
  <si>
    <t>6.2.1.1 作为IE分析师，我需要新POS系统能够将交易中的运营指标同步至IE数据仓库，以便分析门店及餐厅的运营效率。</t>
    <phoneticPr fontId="27" type="noConversion"/>
  </si>
  <si>
    <t>接口要求：IE数据仓库，每日同步
数据同步需求：
1.  交易数据捕获：数据仓库需能通过POS系统捕获销售商品的订单、退款及退货详情。
2.  营销数据捕获：数据仓库需能通过POS系统捕获会员、优惠券及折扣使用的详细信息。</t>
    <phoneticPr fontId="27" type="noConversion"/>
  </si>
  <si>
    <t>6.2.1 Operations &amp; Commercial data analysis|Sync transactions to Consumer DataMart for commercial analysis 分析交易数据-Consumer DataMart</t>
  </si>
  <si>
    <t>6.2.1.2 As Consumer Activation, I need New POS will be able to sync transaction data to Consumer DataMart, as to commercial indicator analysis.</t>
  </si>
  <si>
    <t xml:space="preserve">Interface-Consumer DataMart, daily
Sync the transaction to SHDR Consumer DataMart to issue coupon after payment on POS to drive post-sale in guest group level (connecting with CDP/CDM and E-coupon) </t>
  </si>
  <si>
    <t>6.2.1.2 作为消费者激活部门，我需要新POS系统能够将交易数据同步至消费者数据仓库，以进行商业指标分析。</t>
    <phoneticPr fontId="27" type="noConversion"/>
  </si>
  <si>
    <t>接口要求：消费者数据仓库，每日同步
数据同步目标：
将POS支付完成的交易数据同步至上海迪士尼度假区消费者数据仓库，旨在基于客群层级（通过与CDP/CDM及电子优惠券系统联动）发放优惠券，以驱动售后销售。</t>
    <phoneticPr fontId="27" type="noConversion"/>
  </si>
  <si>
    <t>6.2.1 Operations &amp; Commercial data analysis|Sync customer data w/ transactions to Javis/CDM for guest analysis 分析顾客行为-Javis/CDM</t>
  </si>
  <si>
    <t>6.2.1.3 As Consumer Activation, I need New POS will be able to sync customer data w/ transactions to Javis/CDM, as to analyze guest behavior.</t>
  </si>
  <si>
    <t xml:space="preserve">Interface-Javis/CDM, daily
Data Collection &amp; Analysis from POS: Data trace back to Jarvis/CDM/Data Mart in real-time base. </t>
  </si>
  <si>
    <r>
      <t xml:space="preserve">6.2.1.3 </t>
    </r>
    <r>
      <rPr>
        <sz val="14"/>
        <rFont val="宋体"/>
        <family val="2"/>
        <scheme val="minor"/>
      </rPr>
      <t>作为消费者激活，我需要新 POS 系统能够将客户数据与交易同步至 Javis/CDM，以便分析客人行为。</t>
    </r>
  </si>
  <si>
    <t>接口 - Javis/CDM，每日
从 POS 进行数据收集和分析：数据实时追溯到 Jarvis/CDM/Data Mart。</t>
  </si>
  <si>
    <t>6.2.1.3 作为消费者激活部门，我需要新POS系统能够将客户数据及交易记录同步至Jarvis/CDM系统，以便分析游客行为。</t>
    <phoneticPr fontId="27" type="noConversion"/>
  </si>
  <si>
    <t>接口要求：Jarvis/CDM系统，每日同步
数据采集与分析：
POS系统产生的数据需实时回传至Jarvis/CDM/数据仓库平台。</t>
    <phoneticPr fontId="27" type="noConversion"/>
  </si>
  <si>
    <t>6.2.2 Finance data analysis| Sync transaction to A&amp;A DataMart for Audit 同步交易审计所需数据</t>
  </si>
  <si>
    <t>6.2.2.1 As Finance operator, I need New POS will be able to sync transaction for Audit in A&amp;A DataMart</t>
  </si>
  <si>
    <r>
      <t xml:space="preserve">POS should provide the following data to A&amp;A Data Mart:
</t>
    </r>
    <r>
      <rPr>
        <b/>
        <sz val="14"/>
        <rFont val="宋体"/>
        <family val="2"/>
        <scheme val="minor"/>
      </rPr>
      <t xml:space="preserve">1) Order details: order type/order number/time/product name/SKU/amount/store/promotion/membership/payment/quantity/price/daily settlement/discount amount/discount type/register id/cashier id/payment Tin#/NSA or Complimentary Voucher id (for return
transactions, the original transaction number, store number, and POS number should be added).
2) Time information: order placement time/payment time/return and exchange time/refund time.
</t>
    </r>
    <r>
      <rPr>
        <sz val="14"/>
        <rFont val="宋体"/>
        <family val="2"/>
        <scheme val="minor"/>
      </rPr>
      <t>3) Membership information: the corresponding membership type/level/name/membership identity (i.e.. AP vid, C33 membership id, swid, etc.)
4) Promotion information: the type/name/promotion ID/coupon ID/amount/commodity/usage time/usage frequency/Event id/promotion type/promotion name of all promotion items corresponding to this order.
5) Payment information: payment amount/time/payment method/cash drawer opening and closing Log.
6) Abnormal information: abnormal order info/abnormal type/abnormal cause/abnormal details.
7) Abnormal types: including but not limited to, abnormal membership type/abnormal promotion amount/return and exchange/refund/manual provision of promotion/manual price modification/manual inventory modification/opening the cash drawer without payment/manual entrance of product code/manual selection of payment method.</t>
    </r>
  </si>
  <si>
    <r>
      <t xml:space="preserve">6.2.2.1 </t>
    </r>
    <r>
      <rPr>
        <sz val="14"/>
        <rFont val="宋体"/>
        <family val="2"/>
        <scheme val="minor"/>
      </rPr>
      <t>作为财务操作员，我需要新 POS 系统能够在 A&amp;A DataMart 中同步交易以供审计使用</t>
    </r>
    <phoneticPr fontId="27" type="noConversion"/>
  </si>
  <si>
    <t>POS 应向 A&amp;A 数据集市提供以下数据：
1) 订单详细信息：订单类型/订单号/时间/产品名称/SKU/金额/商店/促销/会员资格/付款/数量/价格/每日结算/折扣金额/折扣类型/收银机 ID/收银员 ID/付款税号/NSA 或免费凭证 ID（对于退货交易，应添加原始交易号、商店号和 POS 号）。
2) 时间信息：下单时间/付款时间/退货和换货时间/退款时间。
3) 会员信息：相应的会员类型/级别/姓名/会员身份（即 AP vid、C33 会员 ID、swid 等）
4) 促销信息：与此订单对应的所有促销商品的类型/名称/促销 ID/优惠券 ID/金额/商品/使用时间/使用频率/活动 ID/促销类型/促销名称。
5) 付款信息：付款金额/时间/付款方式/收银机抽屉打开和关闭日志。
6) 异常信息：异常订单信息/异常类型/异常原因/异常详细信息。
7) 异常类型：包括但不限于异常会员类型/异常促销金额/退货和换货/退款/手动提供促销/手动修改价格/手动修改库存/在未付款的情况下打开收银机抽屉/手动输入产品代码/手动选择付款方式。</t>
  </si>
  <si>
    <t>数据从jarvis出</t>
  </si>
  <si>
    <t>1)  订单明细数据  
    订单类型/订单编号/时间戳/商品名称/SKU编码/交易金额/门店代码/促销活动/会员信息/支付方式/商品数量/单价/日结记录/折扣金额/折扣类型/收银机编号/收银员编号/支付交易码/NSA或赠券编号  
    （针对退货交易，需补充原交易编号、原门店编号及原POS终端号）
2)  时间维度数据  
    下单时间/支付完成时间/退换货操作时间/退款执行时间
3)  会员关联数据  
    会员类型/会员等级/会员姓名/会员身份标识（如年票VID、Club33会员ID、SWID等）
4)  促销活动数据  
    促销类型/促销名称/促销活动ID/优惠券ID/优惠金额/适用商品/使用时间/使用频次/活动事件ID/促销分类/促销方案名称
5)  支付轨迹数据  
    支付金额/支付时间/支付渠道/钱箱开关日志记录
6)  异常监控数据  
    异常订单信息/异常分类/异常触发原因/异常详情描述
7)  异常类型枚举  
    包括但不限于：  
    会员身份类型异常/促销金额计算异常/退换货流程异常/退款操作异常/手工促销授权记录/人工改价操作记录/库存手动调整记录/非支付场景钱箱开启/商品编码手动输入/支付方式人工选择异常</t>
    <phoneticPr fontId="27" type="noConversion"/>
  </si>
  <si>
    <t>Sprint Buffer</t>
  </si>
  <si>
    <t>QA Ratio of Developer</t>
  </si>
  <si>
    <t xml:space="preserve">Front Ratio of Developer </t>
  </si>
  <si>
    <t xml:space="preserve">Backend Ratio of Developer </t>
  </si>
  <si>
    <t>DM Tech Ratio of Developer</t>
  </si>
  <si>
    <t>OTE Ratio</t>
  </si>
  <si>
    <t>Type</t>
  </si>
  <si>
    <t>Hour</t>
  </si>
  <si>
    <t>RMB</t>
  </si>
  <si>
    <t>USD</t>
  </si>
  <si>
    <t>Role(ND)</t>
  </si>
  <si>
    <t>Days</t>
  </si>
  <si>
    <t>Hours</t>
  </si>
  <si>
    <t>Cost/H</t>
  </si>
  <si>
    <t>Rate</t>
  </si>
  <si>
    <t>Back-End</t>
  </si>
  <si>
    <t>Shopping Cart</t>
  </si>
  <si>
    <t>Front-End</t>
  </si>
  <si>
    <t>Other</t>
  </si>
  <si>
    <t>QA</t>
  </si>
  <si>
    <t>Total</t>
  </si>
  <si>
    <t>USD/Month</t>
  </si>
  <si>
    <t>Team Cost</t>
  </si>
  <si>
    <t>Timeline ND Cost</t>
  </si>
  <si>
    <t>Planned ND Capex Cost</t>
  </si>
  <si>
    <t>Planned CM Capex Cost</t>
    <phoneticPr fontId="37" type="noConversion"/>
  </si>
  <si>
    <t>Planned CM OTE Cost</t>
  </si>
  <si>
    <t>Planned OTHER ASSET Capex Cost</t>
    <phoneticPr fontId="37" type="noConversion"/>
  </si>
  <si>
    <t xml:space="preserve"> </t>
    <phoneticPr fontId="37" type="noConversion"/>
  </si>
  <si>
    <t>Planned OTHER ASSET OTE Cost</t>
    <phoneticPr fontId="37" type="noConversion"/>
  </si>
  <si>
    <t>Min Over Cost</t>
    <phoneticPr fontId="37" type="noConversion"/>
  </si>
  <si>
    <t>Max Over Cost</t>
    <phoneticPr fontId="37" type="noConversion"/>
  </si>
  <si>
    <t>Min Over Cost(CAPEX Only)</t>
    <phoneticPr fontId="37" type="noConversion"/>
  </si>
  <si>
    <t>BRD Overview</t>
  </si>
  <si>
    <t>BRD Detailed Requirement</t>
  </si>
  <si>
    <t>EPIC Title</t>
  </si>
  <si>
    <t>EPIC Story</t>
  </si>
  <si>
    <t>Task / Description</t>
  </si>
  <si>
    <t>CAPEX/
OTE</t>
  </si>
  <si>
    <t>Release</t>
  </si>
  <si>
    <t>Vendor/SHDR</t>
  </si>
  <si>
    <t>Cost Type</t>
  </si>
  <si>
    <t>Asset</t>
  </si>
  <si>
    <t>Team</t>
  </si>
  <si>
    <t>Role list</t>
  </si>
  <si>
    <t>Contractor (Y/N)</t>
  </si>
  <si>
    <t>Contractor Level</t>
  </si>
  <si>
    <t>New Hiring (Y/N)</t>
  </si>
  <si>
    <t>Refresh/Replacement
(Y/N)</t>
  </si>
  <si>
    <t>Labor Hours/
Quantities</t>
  </si>
  <si>
    <t>Rate / Unit Price
RMB</t>
  </si>
  <si>
    <t>Amount
RMB</t>
  </si>
  <si>
    <t>Amount
USD</t>
  </si>
  <si>
    <t>Comments</t>
  </si>
  <si>
    <t>1. Card Manufacture 礼品卡制造</t>
  </si>
  <si>
    <t xml:space="preserve">1.1 Card Foundation Data Mgmt. and Purchase  </t>
  </si>
  <si>
    <t>1.1.2 Card Foundation Data|sales information</t>
  </si>
  <si>
    <t>1.1.2 As Tmall Gift Card operation, I need define card data format, as manage card foundation data with sales information
作为天猫礼品卡运营，需要定义礼品卡数据格式，以便实现按卡号管理的礼品卡数据基础</t>
  </si>
  <si>
    <t>Requirment Analysis</t>
  </si>
  <si>
    <t>CAPEX</t>
  </si>
  <si>
    <t>Release 1</t>
  </si>
  <si>
    <t>SHDR</t>
  </si>
  <si>
    <t>Labor</t>
  </si>
  <si>
    <t>Tmall Gift Card</t>
  </si>
  <si>
    <t>Digital Product</t>
  </si>
  <si>
    <t>Product Manager</t>
  </si>
  <si>
    <t>N</t>
  </si>
  <si>
    <t>Project Management</t>
  </si>
  <si>
    <t>OTE</t>
  </si>
  <si>
    <t>Digital Engineering</t>
  </si>
  <si>
    <t>Front-End Development</t>
  </si>
  <si>
    <t xml:space="preserve">Vendor </t>
  </si>
  <si>
    <t>Front-end Developer</t>
  </si>
  <si>
    <t>Level 4 (5-8Years)</t>
  </si>
  <si>
    <t>Y</t>
  </si>
  <si>
    <t>Back-End Development</t>
  </si>
  <si>
    <t>Back-end Developer</t>
  </si>
  <si>
    <t>Function Testing</t>
  </si>
  <si>
    <t>Quality Assurance</t>
  </si>
  <si>
    <t>Project</t>
  </si>
  <si>
    <t>Resource Name</t>
  </si>
  <si>
    <t>Total 
person
/ Days</t>
  </si>
  <si>
    <t>Total 
person
/ hours</t>
  </si>
  <si>
    <t>Rate
(usd)</t>
  </si>
  <si>
    <t>Cost (usd)</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</si>
  <si>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</si>
  <si>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</si>
  <si>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</si>
  <si>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</si>
  <si>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</si>
  <si>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</si>
  <si>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</si>
  <si>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</si>
  <si>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</si>
  <si>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</si>
  <si>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</si>
  <si>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</si>
  <si>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</si>
  <si>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</si>
  <si>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</si>
  <si>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</si>
  <si>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</si>
  <si>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</si>
  <si>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</si>
  <si>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</si>
  <si>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</si>
  <si>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</si>
  <si>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</si>
  <si>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</si>
  <si>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</si>
  <si>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</si>
  <si>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</si>
  <si>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</si>
  <si>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Sprint 1</t>
  </si>
  <si>
    <t>Sprint 2</t>
  </si>
  <si>
    <t>Sprint 3</t>
  </si>
  <si>
    <t>Sprint 4</t>
  </si>
  <si>
    <t>Sprint 5</t>
  </si>
  <si>
    <t>Sprint 6</t>
  </si>
  <si>
    <t>Sprint 7</t>
  </si>
  <si>
    <t>Sprint 8</t>
  </si>
  <si>
    <t>Sprint 9</t>
  </si>
  <si>
    <t>Sprint 10</t>
  </si>
  <si>
    <t>Sprint 11</t>
  </si>
  <si>
    <t>Sprint 12</t>
  </si>
  <si>
    <t>Sprint 13</t>
  </si>
  <si>
    <t>Sprint 14</t>
  </si>
  <si>
    <t>Sprint 15</t>
  </si>
  <si>
    <t>Sprint 16</t>
  </si>
  <si>
    <t>Sprint 17</t>
  </si>
  <si>
    <t>Sprint 18</t>
  </si>
  <si>
    <t>Sprint 19</t>
  </si>
  <si>
    <t>Sprint 20</t>
  </si>
  <si>
    <t>Sprint 21</t>
  </si>
  <si>
    <t>Sprint 22</t>
  </si>
  <si>
    <t>Sprint 23</t>
  </si>
  <si>
    <t>Development</t>
  </si>
  <si>
    <t>SIT</t>
    <phoneticPr fontId="18" type="noConversion"/>
  </si>
  <si>
    <t>UAT</t>
  </si>
  <si>
    <t>Oversight &amp; Sharing Service</t>
  </si>
  <si>
    <t>Holiday</t>
    <phoneticPr fontId="18" type="noConversion"/>
  </si>
  <si>
    <t>RT</t>
  </si>
  <si>
    <t>Holiday</t>
  </si>
  <si>
    <t>不超过1个月</t>
  </si>
  <si>
    <t>total</t>
  </si>
  <si>
    <t>Product Manager</t>
    <phoneticPr fontId="18" type="noConversion"/>
  </si>
  <si>
    <t>TBD</t>
  </si>
  <si>
    <t>Delivery Manager</t>
  </si>
  <si>
    <t>System Engineering</t>
  </si>
  <si>
    <t>Security/Network</t>
  </si>
  <si>
    <t>SDET/RM</t>
  </si>
  <si>
    <t>Total:</t>
  </si>
  <si>
    <t>RFID  Tracking Platform</t>
  </si>
  <si>
    <t>Back-End</t>
    <phoneticPr fontId="18" type="noConversion"/>
  </si>
  <si>
    <t>Front-End</t>
    <phoneticPr fontId="18" type="noConversion"/>
  </si>
  <si>
    <t xml:space="preserve"> Total: </t>
  </si>
  <si>
    <t>`</t>
  </si>
  <si>
    <t>Onsite-QA App</t>
  </si>
  <si>
    <t xml:space="preserve">Allocated Effort (man-day): </t>
  </si>
  <si>
    <t xml:space="preserve">Forecast Effort (man-day): </t>
  </si>
  <si>
    <t xml:space="preserve">Delta: </t>
  </si>
  <si>
    <t>Summary</t>
  </si>
  <si>
    <t>Development Cost</t>
  </si>
  <si>
    <t>Note</t>
  </si>
  <si>
    <t>The timeline is subject to changed and for reference only</t>
  </si>
  <si>
    <t>Row Labels</t>
  </si>
  <si>
    <t>Sum of Labor Hours/
Quantities</t>
  </si>
  <si>
    <t>Sum of Amount
USD</t>
  </si>
  <si>
    <t>Coupon Commerce</t>
  </si>
  <si>
    <t>Solution Manager</t>
  </si>
  <si>
    <t>Ticketing Commerce</t>
  </si>
  <si>
    <t>(blank)</t>
  </si>
  <si>
    <t>Product Designer</t>
  </si>
  <si>
    <t>Producer</t>
  </si>
  <si>
    <t>Enterprise Architecture</t>
  </si>
  <si>
    <t>Solution Architect</t>
  </si>
  <si>
    <t>Information Security</t>
  </si>
  <si>
    <t>Security/Compliance</t>
  </si>
  <si>
    <t>PMO</t>
  </si>
  <si>
    <t>Incident Analyst</t>
  </si>
  <si>
    <t>Release Manager</t>
  </si>
  <si>
    <t>Quality Operations</t>
  </si>
  <si>
    <t>WDP&amp;R Technology</t>
  </si>
  <si>
    <t>Grand Total</t>
  </si>
  <si>
    <t>No.
序号</t>
  </si>
  <si>
    <t>Quotation Item
报价项</t>
  </si>
  <si>
    <t>Description
内容说明</t>
  </si>
  <si>
    <t>Unit
计费单位</t>
  </si>
  <si>
    <t>Quantity
数量</t>
  </si>
  <si>
    <t>Unit Price(VAT Inc)
含税单价</t>
  </si>
  <si>
    <t>Total Price(VAT Inc)
含税总价</t>
  </si>
  <si>
    <t>Tax Rate
税率</t>
  </si>
  <si>
    <t>Filling Instructions
填写说明</t>
  </si>
  <si>
    <t>Standard Software
标品软件</t>
  </si>
  <si>
    <t>1. Deploy the standard software server and client in Party A’s own environment.
2. Provide a complete user manual.
3. Provide functional specification documentation for the standard software.
4. Deliver the full source code, including source code files, architecture description, deployment documents, test cases, training materials, and all other deliverables covering the software development lifecycle.
1. 在甲方自有环境部署标品软件服务端和客户端
2. 提供软件完整操作手册
3. 提供标品软件功能说明文档
4. 提供完整源码交付：含源码、架构说明、部署文档、测试用例、培训材料等软件生命周期的所有交付材料
Comments: The acquisition of the source code is solely intended for internal use and dedicated to expanding functionalities through development. We assure that it will not be utilized for any commercial purposes.
注：源码的购买仅用于内部功能扩展开发使用，承诺不用于任何商业用途。</t>
  </si>
  <si>
    <t>套</t>
  </si>
  <si>
    <t>Please fill in the quantity, unit price (tax included), and tax rate.
The total price (tax included) will be auto-calculated; no need to fill it in.
For non-standard software, please enter 0 for the quantity.
请填写数量，含税单价，税率
含税总价不需要填写，自动生成
无标品软件提供的，数量填0
有标品软件，请填写单位(如套)</t>
  </si>
  <si>
    <r>
      <rPr>
        <b/>
        <sz val="14"/>
        <color theme="1"/>
        <rFont val="宋体"/>
        <family val="3"/>
        <charset val="134"/>
      </rPr>
      <t>标品软件包含</t>
    </r>
    <r>
      <rPr>
        <b/>
        <sz val="14"/>
        <color theme="1"/>
        <rFont val="Calibri (Body)"/>
        <family val="1"/>
      </rPr>
      <t>RFP</t>
    </r>
    <r>
      <rPr>
        <b/>
        <sz val="14"/>
        <color theme="1"/>
        <rFont val="宋体"/>
        <family val="3"/>
        <charset val="134"/>
      </rPr>
      <t>功能列表</t>
    </r>
  </si>
  <si>
    <t>RFP Section
RFP章节</t>
  </si>
  <si>
    <t>Function Module
功能模块</t>
  </si>
  <si>
    <t>Function Name
功能名称</t>
  </si>
  <si>
    <t>EPIC</t>
    <phoneticPr fontId="78" type="noConversion"/>
  </si>
  <si>
    <t>公式例子</t>
    <phoneticPr fontId="78" type="noConversion"/>
  </si>
  <si>
    <t>price</t>
    <phoneticPr fontId="78" type="noConversion"/>
  </si>
  <si>
    <t>3.2.1.1 
3.2.2.1
3.2.4.1 
3.2.5.1 
3.2.6.1</t>
    <phoneticPr fontId="78" type="noConversion"/>
  </si>
  <si>
    <t>Log-in/Log out
Change Password修改密码
Lock Account</t>
  </si>
  <si>
    <t>刷卡登录功能需要定制化</t>
    <phoneticPr fontId="37" type="noConversion"/>
  </si>
  <si>
    <t>3.2.1.2
3.2.2.2
3.2.4.2 
3.2.5.2 
3.2.6.2</t>
    <phoneticPr fontId="37" type="noConversion"/>
  </si>
  <si>
    <t>Store Open/Closed 
开关店</t>
  </si>
  <si>
    <t>Store Open开店
Store Close 关店</t>
  </si>
  <si>
    <t>Product Item Management 
商品项管理</t>
  </si>
  <si>
    <t>3.2.6.4</t>
  </si>
  <si>
    <t>Table Management
桌台管理</t>
  </si>
  <si>
    <t>Table Management桌台管理
Open Table开桌台</t>
  </si>
  <si>
    <t>Create Order创建订单
Settlement结算
Order Landing落单
Store Pickup门店自提</t>
  </si>
  <si>
    <t>Order Management 
订单管理</t>
  </si>
  <si>
    <t>Merch and F&amp;B Cross-sell Stores
商品&amp;餐饮综合门店</t>
  </si>
  <si>
    <t>System Admin 
系统管理</t>
  </si>
  <si>
    <t>3.2.13.1 ~ 3.2.13.9的功能</t>
  </si>
  <si>
    <t>Project Category</t>
  </si>
  <si>
    <t>Commercial</t>
  </si>
  <si>
    <t>Unified Gift Card - Card Foundation Data Mgt</t>
  </si>
  <si>
    <t>system tpye ultimately</t>
    <phoneticPr fontId="37" type="noConversion"/>
  </si>
  <si>
    <t>system type2</t>
    <phoneticPr fontId="37" type="noConversion"/>
  </si>
  <si>
    <t>task sum count</t>
    <phoneticPr fontId="37" type="noConversion"/>
  </si>
  <si>
    <t>Android</t>
    <phoneticPr fontId="37" type="noConversion"/>
  </si>
  <si>
    <t xml:space="preserve"> &amp; QA &amp; PM &amp; DM &amp; UI</t>
    <phoneticPr fontId="37" type="noConversion"/>
  </si>
  <si>
    <t>Android &amp; Back-End</t>
    <phoneticPr fontId="37" type="noConversion"/>
  </si>
  <si>
    <t>Android &amp; Front-End &amp; Back-End</t>
    <phoneticPr fontId="37" type="noConversion"/>
  </si>
  <si>
    <t>Front-End &amp; Back-End</t>
    <phoneticPr fontId="37" type="noConversion"/>
  </si>
  <si>
    <t>&amp; QA &amp; PM &amp; DM</t>
  </si>
  <si>
    <t xml:space="preserve">Android &amp; Back-End       </t>
    <phoneticPr fontId="27" type="noConversion"/>
  </si>
  <si>
    <t xml:space="preserve"> &amp; QA &amp; PM &amp; DM</t>
    <phoneticPr fontId="37" type="noConversion"/>
  </si>
  <si>
    <t>Role</t>
  </si>
  <si>
    <t>Group</t>
  </si>
  <si>
    <t>CM</t>
  </si>
  <si>
    <t>Contractor</t>
  </si>
  <si>
    <t>CM
RMB</t>
  </si>
  <si>
    <t>Contractor
RMB</t>
  </si>
  <si>
    <t>Group A</t>
  </si>
  <si>
    <t>Project Coordinator</t>
  </si>
  <si>
    <t>Operation Engineer</t>
  </si>
  <si>
    <t>Group B</t>
  </si>
  <si>
    <t>Network Engineer</t>
  </si>
  <si>
    <t xml:space="preserve">DC Facility Engineer </t>
  </si>
  <si>
    <t>System Engineer</t>
  </si>
  <si>
    <t>Group C</t>
  </si>
  <si>
    <t>Database Engineer</t>
  </si>
  <si>
    <t>Data Engineer</t>
  </si>
  <si>
    <t>Group D</t>
  </si>
  <si>
    <t>iOS Developer</t>
  </si>
  <si>
    <t>Android Developer</t>
  </si>
  <si>
    <t>Java Developer</t>
  </si>
  <si>
    <t>Group E</t>
  </si>
  <si>
    <t>Problem Analyst</t>
  </si>
  <si>
    <t>Group G</t>
  </si>
  <si>
    <t>Business Analyst</t>
  </si>
  <si>
    <t>Group H</t>
  </si>
  <si>
    <t>Copywriter</t>
  </si>
  <si>
    <t>EUS</t>
  </si>
  <si>
    <t>Group I</t>
  </si>
  <si>
    <t>PMO Specialist</t>
  </si>
  <si>
    <t>Group F</t>
  </si>
  <si>
    <t xml:space="preserve">Quality Assurance(Entry Level Trainee) </t>
  </si>
  <si>
    <t>N/A</t>
  </si>
  <si>
    <t xml:space="preserve">Developer(Entry Level Trainee) </t>
  </si>
  <si>
    <t>Financial System</t>
  </si>
  <si>
    <t>Finance Team</t>
  </si>
  <si>
    <t>Time spent by EPIC</t>
    <phoneticPr fontId="78" type="noConversion"/>
  </si>
  <si>
    <t>2.8.3.1
2.8.3.2
2.8.3.3
2.8.3.4</t>
    <phoneticPr fontId="37" type="noConversion"/>
  </si>
  <si>
    <t xml:space="preserve">count day总和 985
价格公式例子 91/所有的总和*4420000
注意此处EPIC的编号重复，内容不一样
</t>
    <phoneticPr fontId="37" type="noConversion"/>
  </si>
  <si>
    <t>3.2.2.2 中应急支付</t>
    <phoneticPr fontId="37" type="noConversion"/>
  </si>
  <si>
    <t>3.2.1.3
3.2.4.3 
3.2.5.3 
3.2.6.3</t>
    <phoneticPr fontId="37" type="noConversion"/>
  </si>
  <si>
    <t>Menu Management菜单管理
Search 餐品查询
Product Modify商品编辑</t>
    <phoneticPr fontId="37" type="noConversion"/>
  </si>
  <si>
    <t>3.2.6.4</t>
    <phoneticPr fontId="37" type="noConversion"/>
  </si>
  <si>
    <t xml:space="preserve">3.2.1.5 
3.2.2.5
3.2.4.5 
3.2.5.5
3.2.6.6 </t>
    <phoneticPr fontId="37" type="noConversion"/>
  </si>
  <si>
    <t>Order 
订单操作</t>
    <phoneticPr fontId="37" type="noConversion"/>
  </si>
  <si>
    <t xml:space="preserve">3.2.1.6 
3.2.2.6
3.2.3.3 
3.2.4.6
3.2.5.6
3.2.6.7
3.2.7.3 </t>
    <phoneticPr fontId="37" type="noConversion"/>
  </si>
  <si>
    <t>Return退货
Exchange换货
Suspend Order挂单
Search 查询</t>
    <phoneticPr fontId="37" type="noConversion"/>
  </si>
  <si>
    <t>3.2.3.1 
3.2.7.1
3.2.3.4</t>
    <phoneticPr fontId="37" type="noConversion"/>
  </si>
  <si>
    <t>Online Order Creation 
线上订单创建
Exception handling on order integration
异常处理</t>
    <phoneticPr fontId="37" type="noConversion"/>
  </si>
  <si>
    <t>Master data sychonization and validation餐品主档同步和餐品校验
Previlege Validation权益校验
Order Payment订单支付
Exception handling on order integration
异常处理</t>
    <phoneticPr fontId="37" type="noConversion"/>
  </si>
  <si>
    <t>3.2.8</t>
    <phoneticPr fontId="37" type="noConversion"/>
  </si>
  <si>
    <t>3.2.9.1
3.2.9.3
3.2.9.4</t>
    <phoneticPr fontId="37" type="noConversion"/>
  </si>
  <si>
    <t xml:space="preserve">Inventory Management 
库存管理 </t>
    <phoneticPr fontId="37" type="noConversion"/>
  </si>
  <si>
    <t>Inventory Synchronization库存同步
Inventory Search库存查询
Inventory Monitor &amp; Alert库存监控机制</t>
    <phoneticPr fontId="37" type="noConversion"/>
  </si>
  <si>
    <t>3.6.3.1 
3.6.3.2 
3.6.3.3</t>
    <phoneticPr fontId="37" type="noConversion"/>
  </si>
  <si>
    <t>3.2.10.1
3.2.10.2
3.2.10.3
3.2.10.4</t>
    <phoneticPr fontId="37" type="noConversion"/>
  </si>
  <si>
    <t>Product Management 
商品管理</t>
    <phoneticPr fontId="37" type="noConversion"/>
  </si>
  <si>
    <t>Product Creation商品创建
Master Data Management 商品主档信息管理
Product Search &amp; Product List商品查询&amp;商品列表
Monitoring and Alert监控和预警</t>
    <phoneticPr fontId="78" type="noConversion"/>
  </si>
  <si>
    <t>3.2.11.1
3.2.11.2
3.2.11.3
3.2.11.4
3.2.11.5</t>
    <phoneticPr fontId="37" type="noConversion"/>
  </si>
  <si>
    <t xml:space="preserve">Promotion Management 
促销管理 </t>
    <phoneticPr fontId="37" type="noConversion"/>
  </si>
  <si>
    <t>Promotion Creation创建促销
Promotion Types 促销类型
Promotion List促销列表
Promotion Quota Control促销额度管理
Promotion Rules Setting促销规则管理</t>
    <phoneticPr fontId="37" type="noConversion"/>
  </si>
  <si>
    <t xml:space="preserve">2.2.1.1  
2.2.1.2  
2.2.1.3  
</t>
    <phoneticPr fontId="37" type="noConversion"/>
  </si>
  <si>
    <t xml:space="preserve">3.2.13 </t>
    <phoneticPr fontId="37" type="noConversion"/>
  </si>
  <si>
    <t>2.8.3.1  
2.8.3.2  
2.8.3.3   
2.8.3.4 在EPIC中重复号，需要看内容才能理解</t>
    <phoneticPr fontId="37" type="noConversion"/>
  </si>
  <si>
    <t>Additional Notes：
补充说明：</t>
  </si>
  <si>
    <t>The custom development section includes function adaptation, custom feature development, and integration with SHDR’s internal systems.
定制开发部分包含功能适配、功能开发、SHDR内部系统对接等。</t>
  </si>
  <si>
    <t>Workload (Man-Days)
工作量（人天）</t>
  </si>
  <si>
    <t>EIPC</t>
    <phoneticPr fontId="78" type="noConversion"/>
  </si>
  <si>
    <t>day</t>
    <phoneticPr fontId="78" type="noConversion"/>
  </si>
  <si>
    <t>3.2.1.1 
3.2.4.1 
3.2.5.1 
3.2.6.1</t>
    <phoneticPr fontId="78" type="noConversion"/>
  </si>
  <si>
    <r>
      <rPr>
        <sz val="11"/>
        <color theme="1"/>
        <rFont val="Calibri"/>
        <family val="2"/>
      </rPr>
      <t xml:space="preserve">User Account
</t>
    </r>
    <r>
      <rPr>
        <sz val="11"/>
        <color theme="1"/>
        <rFont val="宋体"/>
        <family val="3"/>
        <charset val="134"/>
      </rPr>
      <t>账号</t>
    </r>
  </si>
  <si>
    <t>Slash card 刷卡登录</t>
    <phoneticPr fontId="78" type="noConversion"/>
  </si>
  <si>
    <t>2.8.3.2</t>
    <phoneticPr fontId="78" type="noConversion"/>
  </si>
  <si>
    <t>3.2.1.2
3.2.4.2 
3.2.5.2 
3.2.6.2</t>
    <phoneticPr fontId="78" type="noConversion"/>
  </si>
  <si>
    <r>
      <t xml:space="preserve">Store Open/Closed
</t>
    </r>
    <r>
      <rPr>
        <sz val="11"/>
        <color theme="1"/>
        <rFont val="宋体"/>
        <family val="3"/>
        <charset val="134"/>
      </rPr>
      <t>开关店</t>
    </r>
    <phoneticPr fontId="78" type="noConversion"/>
  </si>
  <si>
    <r>
      <t>POS Support offline mode POS</t>
    </r>
    <r>
      <rPr>
        <sz val="11"/>
        <color theme="1"/>
        <rFont val="Microsoft YaHei"/>
        <family val="2"/>
        <charset val="134"/>
      </rPr>
      <t>支持离线交易</t>
    </r>
    <r>
      <rPr>
        <sz val="11"/>
        <color theme="1"/>
        <rFont val="Calibri"/>
        <family val="2"/>
      </rPr>
      <t xml:space="preserve">
</t>
    </r>
    <r>
      <rPr>
        <sz val="11"/>
        <color theme="1"/>
        <rFont val="Microsoft YaHei"/>
        <family val="2"/>
        <charset val="134"/>
      </rPr>
      <t>查看钱箱报表</t>
    </r>
    <phoneticPr fontId="78" type="noConversion"/>
  </si>
  <si>
    <t>2.6.2.3
2.3.3.4</t>
    <phoneticPr fontId="78" type="noConversion"/>
  </si>
  <si>
    <t>3.2.1.3
3.2.4.3 
3.2.5.3 
3.2.6.3</t>
    <phoneticPr fontId="78" type="noConversion"/>
  </si>
  <si>
    <r>
      <t xml:space="preserve">Product Items Management
</t>
    </r>
    <r>
      <rPr>
        <sz val="11"/>
        <color theme="1"/>
        <rFont val="宋体"/>
        <family val="3"/>
        <charset val="134"/>
      </rPr>
      <t>商品项管理</t>
    </r>
    <phoneticPr fontId="78" type="noConversion"/>
  </si>
  <si>
    <r>
      <t xml:space="preserve">Search Functions
</t>
    </r>
    <r>
      <rPr>
        <sz val="11"/>
        <color theme="1"/>
        <rFont val="Microsoft YaHei"/>
        <family val="2"/>
        <charset val="134"/>
      </rPr>
      <t>搜索功能</t>
    </r>
    <r>
      <rPr>
        <sz val="11"/>
        <color theme="1"/>
        <rFont val="Calibri"/>
        <family val="2"/>
      </rPr>
      <t xml:space="preserve">
Store inventory view and editing require authurization
</t>
    </r>
    <r>
      <rPr>
        <sz val="11"/>
        <color theme="1"/>
        <rFont val="Microsoft YaHei"/>
        <family val="2"/>
        <charset val="134"/>
      </rPr>
      <t>门店库存的查看和编辑需要授权</t>
    </r>
    <phoneticPr fontId="78" type="noConversion"/>
  </si>
  <si>
    <r>
      <rPr>
        <sz val="11"/>
        <color theme="1"/>
        <rFont val="Calibri"/>
        <family val="2"/>
      </rPr>
      <t xml:space="preserve">Reservation
</t>
    </r>
    <r>
      <rPr>
        <sz val="11"/>
        <color theme="1"/>
        <rFont val="Microsoft YaHei"/>
        <family val="2"/>
        <charset val="134"/>
      </rPr>
      <t>预定信息</t>
    </r>
  </si>
  <si>
    <r>
      <rPr>
        <sz val="11"/>
        <color theme="1"/>
        <rFont val="Calibri"/>
        <family val="2"/>
      </rPr>
      <t xml:space="preserve">Order Management
</t>
    </r>
    <r>
      <rPr>
        <sz val="11"/>
        <color theme="1"/>
        <rFont val="宋体"/>
        <family val="3"/>
        <charset val="134"/>
      </rPr>
      <t>订单管理</t>
    </r>
  </si>
  <si>
    <r>
      <rPr>
        <sz val="11"/>
        <color theme="1"/>
        <rFont val="Calibri"/>
        <family val="2"/>
      </rPr>
      <t xml:space="preserve">Order Transmit
</t>
    </r>
    <r>
      <rPr>
        <sz val="11"/>
        <color theme="1"/>
        <rFont val="Microsoft YaHei"/>
        <family val="2"/>
        <charset val="134"/>
      </rPr>
      <t>订单下发</t>
    </r>
    <r>
      <rPr>
        <sz val="11"/>
        <color theme="1"/>
        <rFont val="Calibri"/>
        <family val="2"/>
      </rPr>
      <t xml:space="preserve">
Check &amp; Order Modify 
</t>
    </r>
    <r>
      <rPr>
        <sz val="11"/>
        <color theme="1"/>
        <rFont val="Microsoft YaHei"/>
        <family val="2"/>
        <charset val="134"/>
      </rPr>
      <t>订单</t>
    </r>
    <r>
      <rPr>
        <sz val="11"/>
        <color theme="1"/>
        <rFont val="Calibri"/>
        <family val="2"/>
      </rPr>
      <t>&amp;</t>
    </r>
    <r>
      <rPr>
        <sz val="11"/>
        <color theme="1"/>
        <rFont val="Microsoft YaHei"/>
        <family val="2"/>
        <charset val="134"/>
      </rPr>
      <t>账单编辑</t>
    </r>
  </si>
  <si>
    <r>
      <rPr>
        <sz val="11"/>
        <color theme="1"/>
        <rFont val="Calibri"/>
        <family val="2"/>
      </rPr>
      <t xml:space="preserve">Order Landing
</t>
    </r>
    <r>
      <rPr>
        <sz val="11"/>
        <color theme="1"/>
        <rFont val="宋体"/>
        <family val="3"/>
        <charset val="134"/>
      </rPr>
      <t>落单</t>
    </r>
  </si>
  <si>
    <r>
      <rPr>
        <sz val="11"/>
        <color theme="1"/>
        <rFont val="Calibri"/>
        <family val="2"/>
      </rPr>
      <t xml:space="preserve">Hardware Peripherals
</t>
    </r>
    <r>
      <rPr>
        <sz val="11"/>
        <color theme="1"/>
        <rFont val="宋体"/>
        <family val="3"/>
        <charset val="134"/>
      </rPr>
      <t>硬件外设</t>
    </r>
  </si>
  <si>
    <r>
      <rPr>
        <sz val="11"/>
        <color theme="1"/>
        <rFont val="Calibri"/>
        <family val="2"/>
      </rPr>
      <t xml:space="preserve">Product Management
</t>
    </r>
    <r>
      <rPr>
        <sz val="11"/>
        <color theme="1"/>
        <rFont val="宋体"/>
        <family val="3"/>
        <charset val="134"/>
      </rPr>
      <t>商品管理</t>
    </r>
  </si>
  <si>
    <r>
      <rPr>
        <sz val="11"/>
        <color theme="1"/>
        <rFont val="Calibri"/>
        <family val="2"/>
      </rPr>
      <t xml:space="preserve">Configuration 
</t>
    </r>
    <r>
      <rPr>
        <sz val="11"/>
        <color theme="1"/>
        <rFont val="Microsoft YaHei"/>
        <family val="2"/>
        <charset val="134"/>
      </rPr>
      <t>功能配置</t>
    </r>
  </si>
  <si>
    <r>
      <rPr>
        <sz val="11"/>
        <color theme="1"/>
        <rFont val="Calibri"/>
        <family val="2"/>
      </rPr>
      <t xml:space="preserve">Promotion Management 
</t>
    </r>
    <r>
      <rPr>
        <sz val="11"/>
        <color theme="1"/>
        <rFont val="宋体"/>
        <family val="3"/>
        <charset val="134"/>
      </rPr>
      <t>促销管理</t>
    </r>
    <r>
      <rPr>
        <sz val="11"/>
        <color theme="1"/>
        <rFont val="Calibri"/>
        <family val="2"/>
      </rPr>
      <t xml:space="preserve"> </t>
    </r>
  </si>
  <si>
    <t xml:space="preserve">3.2.12.1 </t>
  </si>
  <si>
    <r>
      <rPr>
        <sz val="11"/>
        <color theme="1"/>
        <rFont val="Calibri"/>
        <family val="2"/>
      </rPr>
      <t xml:space="preserve">System Admin
</t>
    </r>
    <r>
      <rPr>
        <sz val="11"/>
        <color theme="1"/>
        <rFont val="宋体"/>
        <family val="3"/>
        <charset val="134"/>
      </rPr>
      <t>系统管理</t>
    </r>
  </si>
  <si>
    <r>
      <rPr>
        <sz val="11"/>
        <color theme="1"/>
        <rFont val="Calibri"/>
        <family val="2"/>
      </rPr>
      <t xml:space="preserve">Role management
</t>
    </r>
    <r>
      <rPr>
        <sz val="11"/>
        <color theme="1"/>
        <rFont val="宋体"/>
        <family val="3"/>
        <charset val="134"/>
      </rPr>
      <t>角色管理</t>
    </r>
  </si>
  <si>
    <r>
      <rPr>
        <sz val="11"/>
        <color theme="1"/>
        <rFont val="Calibri"/>
        <family val="2"/>
      </rPr>
      <t xml:space="preserve">User Journal
</t>
    </r>
    <r>
      <rPr>
        <sz val="11"/>
        <color theme="1"/>
        <rFont val="宋体"/>
        <family val="3"/>
        <charset val="134"/>
      </rPr>
      <t>操作日志管理</t>
    </r>
  </si>
  <si>
    <t>3.3.5</t>
  </si>
  <si>
    <r>
      <rPr>
        <sz val="11"/>
        <color theme="1"/>
        <rFont val="Calibri"/>
        <family val="2"/>
      </rPr>
      <t xml:space="preserve">System Integration Requirements </t>
    </r>
    <r>
      <rPr>
        <sz val="11"/>
        <color theme="1"/>
        <rFont val="宋体"/>
        <family val="3"/>
        <charset val="134"/>
      </rPr>
      <t>系统集成需求</t>
    </r>
  </si>
  <si>
    <t>推送销售数据到UDS（Kornos）</t>
  </si>
  <si>
    <t>Inquire%Verify Member Information
查询验证会员信息</t>
  </si>
  <si>
    <t>Inventory Updates Interface
库存更新接口(Merch)</t>
  </si>
  <si>
    <t>Order Placement Interface
订单落单接口</t>
  </si>
  <si>
    <t>Order Query Interface
订单查询接口</t>
  </si>
  <si>
    <t>Product Query Interface
商品查询接口</t>
  </si>
  <si>
    <r>
      <rPr>
        <sz val="11"/>
        <rFont val="Calibri"/>
        <family val="2"/>
      </rPr>
      <t>POS</t>
    </r>
    <r>
      <rPr>
        <sz val="11"/>
        <rFont val="宋体"/>
        <family val="3"/>
        <charset val="134"/>
      </rPr>
      <t>推送订单信息</t>
    </r>
    <r>
      <rPr>
        <sz val="11"/>
        <rFont val="Calibri"/>
        <family val="2"/>
      </rPr>
      <t>Coupon</t>
    </r>
    <r>
      <rPr>
        <sz val="11"/>
        <rFont val="宋体"/>
        <family val="3"/>
        <charset val="134"/>
      </rPr>
      <t>接口</t>
    </r>
  </si>
  <si>
    <t>Product Information Synchronous Interface
商品信息同步接口</t>
  </si>
  <si>
    <t>Promotional Activities Qurey Interface
促销活动查询接口</t>
  </si>
  <si>
    <t>Member promotion quota management interface
会员促销额度管理接口</t>
  </si>
  <si>
    <t>Javis reads the full data of the POS
Javis读取POS全量数据</t>
  </si>
  <si>
    <t>Push the account Information to Hotel Systm
推送房账信息给Hotel System</t>
  </si>
  <si>
    <t>Payment Status Query Interface
支付状态查询接口</t>
  </si>
  <si>
    <t>Refund Interface
退款接口</t>
  </si>
  <si>
    <t>RFP 更新（需求新增及删除部分）10.17</t>
  </si>
  <si>
    <t>3.2.1.2.1
3.2.2.2.1
3.2.4.2.1
3.2.5.2.1
3.2.6.2.1</t>
  </si>
  <si>
    <t>Store Open开店</t>
  </si>
  <si>
    <t>Remove the startup receipt printing function
去掉打印开机小票功能</t>
  </si>
  <si>
    <t>5种场景</t>
  </si>
  <si>
    <t>3.2.1.2.2
3.2.2.2.2
3.2.4.2.2
3.2.5.2.2
3.2.6.2.2</t>
  </si>
  <si>
    <t>Store Close 关店</t>
  </si>
  <si>
    <t>Guest log in游客登录</t>
  </si>
  <si>
    <t>Previlege Recommendation权益推荐</t>
  </si>
  <si>
    <t>Recommend add-on purchases to enjoy more discounts
推荐加购凑单以享受更多折扣</t>
  </si>
  <si>
    <t>促销中心</t>
  </si>
  <si>
    <t>3.2.1.5.1
3.2.2.5.1</t>
  </si>
  <si>
    <t>Create Order创建订单</t>
  </si>
  <si>
    <t>3.2.1.5.2
3.2.2.5.2
3.2.4.5.2
3.2.5.5.2
3.2.6.6.2</t>
  </si>
  <si>
    <t>Settlement结算</t>
  </si>
  <si>
    <t>Remove facial payment function
去掉人脸支付功能</t>
  </si>
  <si>
    <t>3.2.1.5.2
3.2.2.5.2
3.2.4.5.2</t>
  </si>
  <si>
    <t>对接酒店支付系统，查询押金</t>
  </si>
  <si>
    <t>3.2.1.5.4</t>
  </si>
  <si>
    <t>Store Pickup门店自提</t>
  </si>
  <si>
    <t>Remove store pickup function
删除门店自提功能</t>
  </si>
  <si>
    <t>Order Management 订单管理</t>
  </si>
  <si>
    <t>3.2.2.5.5</t>
  </si>
  <si>
    <t xml:space="preserve"> Exchange game prizes游戏兑奖</t>
  </si>
  <si>
    <t>Deposit for stroller童车押金</t>
  </si>
  <si>
    <t>Order Transmit订单下发</t>
  </si>
  <si>
    <t>F&amp;B create Order餐饮创建订单</t>
  </si>
  <si>
    <t>3.2.4.6.4
3.2.5.6.4
3.2.6.7.5</t>
  </si>
  <si>
    <t>F&amp;B order transmit餐饮订单下发</t>
  </si>
  <si>
    <t>3.2.5.5.2
3.2.6.6.2</t>
  </si>
  <si>
    <t>F&amp;B Settlement餐饮结算</t>
  </si>
  <si>
    <t>3.2.7.2</t>
  </si>
  <si>
    <t>Order Landing  落单</t>
  </si>
  <si>
    <t>3.2.10.2</t>
  </si>
  <si>
    <t>Master Data Management 
商品主档信息管理</t>
  </si>
  <si>
    <t>Merch supply chain integration - SIMBA
商品供应链-SIMBA</t>
  </si>
  <si>
    <t>3.2.13.1</t>
  </si>
  <si>
    <t>Role Management 角色管理</t>
  </si>
  <si>
    <t>Audit privilege on permission isolation权限隔离和审计</t>
  </si>
  <si>
    <t>Financial foundation data management
财务主数据管理</t>
  </si>
  <si>
    <t>Financial foundation data management财务主数据管理</t>
  </si>
  <si>
    <t>Enhanced in finance operations &amp; control
财务运营和控制增强</t>
  </si>
  <si>
    <t>3.2.14</t>
  </si>
  <si>
    <t>3.2.15</t>
  </si>
  <si>
    <t>Members and Consumer Activation会员和消费者互动</t>
  </si>
  <si>
    <t>3.3.1
3.3.5</t>
  </si>
  <si>
    <t>Overall Infrastructure Requirements 总体架构需
System Integration Requirements 系统集成需求</t>
  </si>
  <si>
    <t>1. Remove OMS (Online Order System) integration requirement
删除OMS   OMS 系统（线上订单系统）集成需求
2. Remove Parking System integration requirement
删除Parking   停车收费系统 集成需求</t>
  </si>
  <si>
    <t>PMS – Opera Hotel Property Management System (Room Charge)+D33
PMS – Opera 酒店资产管理系统（挂房账）</t>
  </si>
  <si>
    <t>上述工作量评估中已包含</t>
  </si>
  <si>
    <t>Total合计：</t>
  </si>
  <si>
    <t>功能等同于以下两个功能模块
3.2.1 Merchandise Store零售门店
3.2.4 F&amp;B Quick Service Resturant 餐饮快餐</t>
    <phoneticPr fontId="37" type="noConversion"/>
  </si>
  <si>
    <t>Asset Function</t>
    <phoneticPr fontId="27" type="noConversion"/>
  </si>
  <si>
    <t>2.6.1 Location management|Configure FnB operation information 配置餐饮运营信息</t>
    <phoneticPr fontId="27" type="noConversion"/>
  </si>
  <si>
    <t>2.7.1.3 As FnB admin, I need New POS will be able to configure FnB meal &amp; set foundation data, as to process daily sales operations.</t>
    <phoneticPr fontId="27" type="noConversion"/>
  </si>
  <si>
    <t xml:space="preserve">2.7.1.3 </t>
    <phoneticPr fontId="37" type="noConversion"/>
  </si>
  <si>
    <t>2.7.1.1
2.7.1.2
2.7.1.4
2.7.1.5</t>
    <phoneticPr fontId="37" type="noConversion"/>
  </si>
  <si>
    <t>2.5.1.1 As Merch admin, I need New POS will be able to configure Merch receipt template with layout and contents by store and transaction type, as to deliver Merch sales receipt to guest.</t>
    <phoneticPr fontId="27" type="noConversion"/>
  </si>
  <si>
    <t>2.9.2.1 As Ops admin &amp; cashier, I need New POS will be able to configure receipt printer with detail settings, as to fulfill operations sustainment requirements.</t>
    <phoneticPr fontId="27" type="noConversion"/>
  </si>
  <si>
    <t>5.1.2.1 As FnB admin, I need New POS will be able to configure beverage label format for printing, as to comply with beverage operations requirements.</t>
    <phoneticPr fontId="27" type="noConversion"/>
  </si>
  <si>
    <t>2.11.3.1 As Finance operator,  I want to configure financial master data(e.g company code, GL account, CC, PC.ect) corresponding to Merch/FnB products, transactions, location/terminal, revenue type etc. by single-item or batch upload, so that NewPOS sale &amp; payment data can be correctly posted to SAP.</t>
    <phoneticPr fontId="27" type="noConversion"/>
  </si>
  <si>
    <t>2.11.3.2 As Finance Operator, 
I want to add, edit, or delete additional financial attributes to Merch and FnB product master data so that I can conduct Financial analysis and not affect operational processes.</t>
    <phoneticPr fontId="27" type="noConversion"/>
  </si>
  <si>
    <t>2.11.4.1 As a Finance admin, I want to search, and filter Financial Reports and Logs via different criteria, and view and download these Reports and Logs from New POS, so that I can conduct Financial Reconciliation and Finance Posting</t>
    <phoneticPr fontId="27" type="noConversion"/>
  </si>
  <si>
    <t xml:space="preserve">3.2.13.10 </t>
    <phoneticPr fontId="37" type="noConversion"/>
  </si>
  <si>
    <t>2.11.3.1
2.11.3.2
2.11.4.1
2.11.4.2
2.11.4.3
2.11.4.4
2.11.4.5</t>
    <phoneticPr fontId="37" type="noConversion"/>
  </si>
  <si>
    <t>2.10 Operational reports 运营报表</t>
    <phoneticPr fontId="27" type="noConversion"/>
  </si>
  <si>
    <t>2.10.1 Sales report|Merch sales/management reports 商品销售报表</t>
    <phoneticPr fontId="27" type="noConversion"/>
  </si>
  <si>
    <t>2.10.1.1 As Ops admin &amp; cashier, I need New POS will be able to customized reports output format and result fields, as to fulfill operations reporting requirements.</t>
    <phoneticPr fontId="27" type="noConversion"/>
  </si>
  <si>
    <t>2.10.1.1
2.10.1.2
2.10.1.3</t>
    <phoneticPr fontId="37" type="noConversion"/>
  </si>
  <si>
    <t>3.2.12.2</t>
    <phoneticPr fontId="37" type="noConversion"/>
  </si>
  <si>
    <r>
      <t xml:space="preserve">Self-defined Report
</t>
    </r>
    <r>
      <rPr>
        <sz val="11"/>
        <color theme="1"/>
        <rFont val="宋体"/>
        <family val="3"/>
        <charset val="134"/>
      </rPr>
      <t>自定义报表功能</t>
    </r>
    <phoneticPr fontId="37" type="noConversion"/>
  </si>
  <si>
    <t xml:space="preserve">3.2.13.1 </t>
    <phoneticPr fontId="37" type="noConversion"/>
  </si>
  <si>
    <t>2.8.2.4 As Ops admin &amp; cashier, I need New POS will be able to comply with audit requirements on different roles' permission , as an essential part of daily operations management.</t>
    <phoneticPr fontId="27" type="noConversion"/>
  </si>
  <si>
    <t>3.2.13.2</t>
    <phoneticPr fontId="37" type="noConversion"/>
  </si>
  <si>
    <t>2.8.3.2 作为运维管理员，我需要新 POS 系统能够记录用户在运营中的操作，包括位置、终端编号和时间戳，作为日常运营管理的重要组成部分。</t>
    <phoneticPr fontId="27" type="noConversion"/>
  </si>
  <si>
    <t>3.2.13.3</t>
    <phoneticPr fontId="37" type="noConversion"/>
  </si>
  <si>
    <t>2.8.3.4 作为运维管理员，我需要新 POS 系统能够查看和导出两年内的用户登录记录，作为日常运营管理的重要组成部分。</t>
    <phoneticPr fontId="27" type="noConversion"/>
  </si>
  <si>
    <t>2.8.2.4 作为运营管理员和收银员，我需要新 POS 系统能够满足不同角色权限的审计要求，作为日常运营管理的重要组成部分。</t>
    <phoneticPr fontId="27" type="noConversion"/>
  </si>
  <si>
    <t>2.8.3.4 As Ops admin, I need New POS will be able to view and export user log in two years, as an essential part of daily operations management.</t>
    <phoneticPr fontId="27" type="noConversion"/>
  </si>
  <si>
    <t>2.8.3.4</t>
    <phoneticPr fontId="37" type="noConversion"/>
  </si>
  <si>
    <t>2.8.3.2  
2.8.3.3</t>
    <phoneticPr fontId="37" type="noConversion"/>
  </si>
  <si>
    <t xml:space="preserve">2.8.3.1
2.8.2.4 </t>
    <phoneticPr fontId="37" type="noConversion"/>
  </si>
  <si>
    <r>
      <t xml:space="preserve">Table Management
</t>
    </r>
    <r>
      <rPr>
        <sz val="11"/>
        <color theme="1"/>
        <rFont val="宋体"/>
        <family val="3"/>
        <charset val="134"/>
      </rPr>
      <t>桌台管理</t>
    </r>
    <phoneticPr fontId="37" type="noConversion"/>
  </si>
  <si>
    <t>5.1.1.1 As FnB admin &amp; cashier, I need New POS will be able to integrated TableCheck for get reservation for open table , as to identify reserved guest/table efficiently.</t>
    <phoneticPr fontId="27" type="noConversion"/>
  </si>
  <si>
    <t>3.2.6.4.1</t>
    <phoneticPr fontId="37" type="noConversion"/>
  </si>
  <si>
    <t>3.5.1.1
2.6.1.7</t>
    <phoneticPr fontId="78" type="noConversion"/>
  </si>
  <si>
    <t>3.2.1.4
3.2.4.4
3.2.5.4
3.2.6.5</t>
    <phoneticPr fontId="37" type="noConversion"/>
  </si>
  <si>
    <r>
      <t xml:space="preserve">Order Operation
</t>
    </r>
    <r>
      <rPr>
        <sz val="11"/>
        <color theme="1"/>
        <rFont val="宋体"/>
        <family val="3"/>
        <charset val="134"/>
      </rPr>
      <t>订单操作</t>
    </r>
    <phoneticPr fontId="37" type="noConversion"/>
  </si>
  <si>
    <t>3.2.2.5.1</t>
    <phoneticPr fontId="37" type="noConversion"/>
  </si>
  <si>
    <r>
      <t>RFID Add product
RFID</t>
    </r>
    <r>
      <rPr>
        <sz val="11"/>
        <color theme="1"/>
        <rFont val="Microsoft YaHei"/>
        <family val="2"/>
        <charset val="134"/>
      </rPr>
      <t>添加商品</t>
    </r>
    <r>
      <rPr>
        <sz val="11"/>
        <color theme="1"/>
        <rFont val="Calibri"/>
        <family val="2"/>
      </rPr>
      <t xml:space="preserve">
Modify Price
</t>
    </r>
    <r>
      <rPr>
        <sz val="11"/>
        <color theme="1"/>
        <rFont val="Microsoft YaHei"/>
        <family val="2"/>
        <charset val="134"/>
      </rPr>
      <t>修改价格</t>
    </r>
    <r>
      <rPr>
        <sz val="11"/>
        <color theme="1"/>
        <rFont val="Calibri"/>
        <family val="2"/>
      </rPr>
      <t xml:space="preserve">
Modify Inventory
</t>
    </r>
    <r>
      <rPr>
        <sz val="11"/>
        <color theme="1"/>
        <rFont val="Microsoft YaHei"/>
        <family val="2"/>
        <charset val="134"/>
      </rPr>
      <t>修改库存</t>
    </r>
    <phoneticPr fontId="37" type="noConversion"/>
  </si>
  <si>
    <t>3.6.6.2</t>
    <phoneticPr fontId="37" type="noConversion"/>
  </si>
  <si>
    <t xml:space="preserve">3.2.1.6.5
3.2.3.4
3.2.4.6.4
3.2.5.6.4
3.2.6.7.4
3.2.6.7.5
3.2.7.4 </t>
    <phoneticPr fontId="37" type="noConversion"/>
  </si>
  <si>
    <t>2.4.1.1
2.4.1.2
2.4.1.3
2.4.1.4</t>
    <phoneticPr fontId="37" type="noConversion"/>
  </si>
  <si>
    <t xml:space="preserve">3.2.3.2
3.2.7.2 </t>
    <phoneticPr fontId="37" type="noConversion"/>
  </si>
  <si>
    <r>
      <t xml:space="preserve">Inventory Management
</t>
    </r>
    <r>
      <rPr>
        <sz val="11"/>
        <color theme="1"/>
        <rFont val="宋体"/>
        <family val="3"/>
        <charset val="134"/>
      </rPr>
      <t>库存管理</t>
    </r>
    <phoneticPr fontId="37" type="noConversion"/>
  </si>
  <si>
    <t>3.2.9.2</t>
    <phoneticPr fontId="37" type="noConversion"/>
  </si>
  <si>
    <t>3.6.2.1
3.6.2.2
3.6.2.3</t>
    <phoneticPr fontId="37" type="noConversion"/>
  </si>
  <si>
    <r>
      <t xml:space="preserve">Hardware Peripherals
</t>
    </r>
    <r>
      <rPr>
        <sz val="11"/>
        <color theme="1"/>
        <rFont val="宋体"/>
        <family val="3"/>
        <charset val="134"/>
      </rPr>
      <t>硬件外设</t>
    </r>
    <phoneticPr fontId="37" type="noConversion"/>
  </si>
  <si>
    <t>3.2.1.7
3.2.4.7 
3.2.5.7
3.2.6.8</t>
    <phoneticPr fontId="37" type="noConversion"/>
  </si>
  <si>
    <t>2.9.1.3 作为运维管理员，我希望 New POS 能够兼容主流外设设备，并能够在不同的软件平台上进行设备的部署与管理，以满足运维保障的要求。</t>
    <phoneticPr fontId="27" type="noConversion"/>
  </si>
  <si>
    <t xml:space="preserve">2.9.1.3 </t>
    <phoneticPr fontId="37" type="noConversion"/>
  </si>
  <si>
    <t>3.2.10.5</t>
    <phoneticPr fontId="37" type="noConversion"/>
  </si>
  <si>
    <r>
      <t xml:space="preserve">Store Repleishment 
</t>
    </r>
    <r>
      <rPr>
        <sz val="11"/>
        <color theme="1"/>
        <rFont val="Microsoft YaHei"/>
        <family val="2"/>
        <charset val="134"/>
      </rPr>
      <t>店间补货</t>
    </r>
    <r>
      <rPr>
        <sz val="11"/>
        <color theme="1"/>
        <rFont val="Calibri"/>
        <family val="2"/>
      </rPr>
      <t xml:space="preserve">
Warehouse Repleishment
</t>
    </r>
    <r>
      <rPr>
        <sz val="11"/>
        <color theme="1"/>
        <rFont val="Microsoft YaHei"/>
        <family val="2"/>
        <charset val="134"/>
      </rPr>
      <t>仓库补货</t>
    </r>
    <r>
      <rPr>
        <sz val="11"/>
        <color theme="1"/>
        <rFont val="Calibri"/>
        <family val="2"/>
      </rPr>
      <t xml:space="preserve"> (</t>
    </r>
    <r>
      <rPr>
        <sz val="11"/>
        <color theme="1"/>
        <rFont val="Microsoft YaHei"/>
        <family val="2"/>
        <charset val="134"/>
      </rPr>
      <t>产品安全溯源系统</t>
    </r>
    <r>
      <rPr>
        <sz val="11"/>
        <color theme="1"/>
        <rFont val="Calibri"/>
        <family val="2"/>
      </rPr>
      <t>)</t>
    </r>
    <phoneticPr fontId="37" type="noConversion"/>
  </si>
  <si>
    <t>3.6.3.1 
3.5.2.2</t>
    <phoneticPr fontId="37" type="noConversion"/>
  </si>
  <si>
    <r>
      <t xml:space="preserve">Receive SIMBA pushes Product
Data interface
</t>
    </r>
    <r>
      <rPr>
        <sz val="11"/>
        <rFont val="Microsoft YaHei"/>
        <family val="2"/>
        <charset val="134"/>
      </rPr>
      <t>接收</t>
    </r>
    <r>
      <rPr>
        <sz val="11"/>
        <rFont val="Calibri"/>
        <family val="2"/>
      </rPr>
      <t>SIMBA</t>
    </r>
    <r>
      <rPr>
        <sz val="11"/>
        <rFont val="Microsoft YaHei"/>
        <family val="2"/>
        <charset val="134"/>
      </rPr>
      <t>推送的</t>
    </r>
    <r>
      <rPr>
        <sz val="11"/>
        <rFont val="Calibri"/>
        <family val="2"/>
      </rPr>
      <t xml:space="preserve">
</t>
    </r>
    <r>
      <rPr>
        <sz val="11"/>
        <rFont val="Microsoft YaHei"/>
        <family val="2"/>
        <charset val="134"/>
      </rPr>
      <t>商品信息接口</t>
    </r>
    <phoneticPr fontId="37" type="noConversion"/>
  </si>
  <si>
    <r>
      <t xml:space="preserve">Inventory Query Interface
</t>
    </r>
    <r>
      <rPr>
        <sz val="11"/>
        <color rgb="FF000000"/>
        <rFont val="Microsoft YaHei"/>
        <family val="2"/>
        <charset val="134"/>
      </rPr>
      <t>库存查询接口（</t>
    </r>
    <r>
      <rPr>
        <sz val="11"/>
        <color rgb="FF000000"/>
        <rFont val="Calibri"/>
        <family val="2"/>
      </rPr>
      <t>Merch</t>
    </r>
    <r>
      <rPr>
        <sz val="11"/>
        <color rgb="FF000000"/>
        <rFont val="Microsoft YaHei"/>
        <family val="2"/>
        <charset val="134"/>
      </rPr>
      <t>）</t>
    </r>
    <phoneticPr fontId="37" type="noConversion"/>
  </si>
  <si>
    <t>3.6.1.3</t>
    <phoneticPr fontId="37" type="noConversion"/>
  </si>
  <si>
    <t xml:space="preserve">3.6.1.1
3.6.1.2
</t>
    <phoneticPr fontId="37" type="noConversion"/>
  </si>
  <si>
    <r>
      <t xml:space="preserve">Create Order Interface
</t>
    </r>
    <r>
      <rPr>
        <sz val="11"/>
        <color rgb="FF000000"/>
        <rFont val="微软雅黑"/>
        <family val="2"/>
        <charset val="134"/>
      </rPr>
      <t>创建订单接口</t>
    </r>
    <phoneticPr fontId="37" type="noConversion"/>
  </si>
  <si>
    <t>3.3.5</t>
    <phoneticPr fontId="37" type="noConversion"/>
  </si>
  <si>
    <t>3.2.1.2.1
3.2.2.2.1
3.2.4.2.1
3.2.5.2.1
3.2.6.2.1</t>
    <phoneticPr fontId="37" type="noConversion"/>
  </si>
  <si>
    <t>Add emergency payment function
新增应急支付功能</t>
    <phoneticPr fontId="37" type="noConversion"/>
  </si>
  <si>
    <t>2.3.3.1
2.3.3.2
2.3.3.3</t>
    <phoneticPr fontId="37" type="noConversion"/>
  </si>
  <si>
    <t>1. Daily settlement每日结算
2. Upload daily settlement
上传检查日结信息
3. Drop pending order in draft box关闭暂存订单</t>
    <phoneticPr fontId="37" type="noConversion"/>
  </si>
  <si>
    <t>2.6.1.3
2.6.1.4
2.6.2.4</t>
    <phoneticPr fontId="37" type="noConversion"/>
  </si>
  <si>
    <t>1. Add multiple identity recognition types: Annual Pass, SMED, HEP, Employee, and C33 Member
添加几种身份识别：年卡、SMED、HEP、员工、C33会员
2. Display guest greeting messages by group
分组展示游客问候信息</t>
    <phoneticPr fontId="37" type="noConversion"/>
  </si>
  <si>
    <t>3.2.1.4.1
3.2.2.4.1
3.2.4.4.1
3.2.5.4.1
3.2.6.5.1</t>
    <phoneticPr fontId="37" type="noConversion"/>
  </si>
  <si>
    <t>3.3.1.1
3.3.1.2
3.3.1.3
3.3.1.4
6.1.1.2</t>
    <phoneticPr fontId="37" type="noConversion"/>
  </si>
  <si>
    <t>3.2.1.4.3
3.2.2.4.3
3.2.4.4.3
3.2.5.4.3
3.2.6.5.3</t>
    <phoneticPr fontId="37" type="noConversion"/>
  </si>
  <si>
    <t>6.1.2.2</t>
    <phoneticPr fontId="37" type="noConversion"/>
  </si>
  <si>
    <t>1. Check product sales status
检查商品售卖状态
2. Enter promotional additional information
填写促销附加信息</t>
    <phoneticPr fontId="37" type="noConversion"/>
  </si>
  <si>
    <t>2.1.1.5
2.2.2.3</t>
    <phoneticPr fontId="37" type="noConversion"/>
  </si>
  <si>
    <t>1. Support room charge payment for hotel guests
酒店客户支持挂房账支付
2. Anti-counterfeit tape code verification during return
退货时防伪胶带数字验证</t>
    <phoneticPr fontId="37" type="noConversion"/>
  </si>
  <si>
    <t>2.3.2.4
2.3.2.5</t>
    <phoneticPr fontId="37" type="noConversion"/>
  </si>
  <si>
    <t>2.1.1.1  
2.1.1.2  
2.1.1.3  
2.1.1.4  
2.1.2.1  
2.1.2.2  
2.1.2.3  
2.1.2.4  
2.1.2.5 
2.2.2.1
2.2.2.2
2.2.2.4
2.3.1.1
2.3.1.2
2.3.1.3
2.3.1.4
2.3.1.5
2.3.2.1
2.3.2.2
2.3.2.3
2.3.2.4</t>
    <phoneticPr fontId="37" type="noConversion"/>
  </si>
  <si>
    <t>1. Enhance return and refund functions
退换货退款功能增强
2. Record and synchronize sales orders to SAP
销售订单记录并同步至SAP</t>
    <phoneticPr fontId="37" type="noConversion"/>
  </si>
  <si>
    <t>3.2.1.6
3.2.2.6
3.2.4.6
3.2.5.6
3.2.6.7</t>
    <phoneticPr fontId="37" type="noConversion"/>
  </si>
  <si>
    <t>2.4.3.1
2.4.3.6
2.4.3.4
2.4.3.5
2.4.3.7</t>
    <phoneticPr fontId="37" type="noConversion"/>
  </si>
  <si>
    <t xml:space="preserve">
2.4.3.2
2.4.3.3
2.4.2.1
2.4.2.2
</t>
    <phoneticPr fontId="37" type="noConversion"/>
  </si>
  <si>
    <t xml:space="preserve"> Exchange game prizes游戏兑奖</t>
    <phoneticPr fontId="37" type="noConversion"/>
  </si>
  <si>
    <t>3.1.2.2</t>
    <phoneticPr fontId="37" type="noConversion"/>
  </si>
  <si>
    <t>Deposit for stroller童车押金</t>
    <phoneticPr fontId="37" type="noConversion"/>
  </si>
  <si>
    <t>3.1.2.3</t>
    <phoneticPr fontId="37" type="noConversion"/>
  </si>
  <si>
    <t>Online order integration exception handling, reporting, and logging
线上订单集成异常处理、报表、日志</t>
    <phoneticPr fontId="37" type="noConversion"/>
  </si>
  <si>
    <t>3.6.2.4</t>
    <phoneticPr fontId="37" type="noConversion"/>
  </si>
  <si>
    <t>2.4.1.1
2.4.1.2
2.4.1.3
2.4.1.4
2.4.1.5
3.6.4.1
3.6.5.1</t>
    <phoneticPr fontId="37" type="noConversion"/>
  </si>
  <si>
    <t>3.2.3.4</t>
    <phoneticPr fontId="37" type="noConversion"/>
  </si>
  <si>
    <t>1. service fee function 服务费功能
2. Inventory alert库存预警</t>
    <phoneticPr fontId="37" type="noConversion"/>
  </si>
  <si>
    <t>2.3.4.1
2.3.4.2
2.3.4.3</t>
    <phoneticPr fontId="37" type="noConversion"/>
  </si>
  <si>
    <t>3.2.4.5.1
3.2.5.5.1
3.2.6.6.1</t>
    <phoneticPr fontId="37" type="noConversion"/>
  </si>
  <si>
    <t>Kitchen receipt餐饮厨房小票</t>
    <phoneticPr fontId="37" type="noConversion"/>
  </si>
  <si>
    <t>F&amp;B cettlement 餐饮结算</t>
    <phoneticPr fontId="37" type="noConversion"/>
  </si>
  <si>
    <t>3.2.4.5.2
3.2.5.5.2
3.2.6.6.2</t>
    <phoneticPr fontId="37" type="noConversion"/>
  </si>
  <si>
    <t>2.5.3.1
2.5.3.2
2.5.3.3</t>
    <phoneticPr fontId="37" type="noConversion"/>
  </si>
  <si>
    <t>Sync order information to KDS screen同步订单信息至厨房屏幕</t>
    <phoneticPr fontId="37" type="noConversion"/>
  </si>
  <si>
    <t>3.6.3.3</t>
    <phoneticPr fontId="37" type="noConversion"/>
  </si>
  <si>
    <t>1. Support room charge payment for hotel guests 
酒店客户支持挂房账支付
2. Enable amount allocation(AA) after payment 支付分摊(AA)</t>
    <phoneticPr fontId="37" type="noConversion"/>
  </si>
  <si>
    <t>2.6.1.6
2.1.3.1
2.1.3.2
2.1.3.6
2.3.2.4</t>
    <phoneticPr fontId="37" type="noConversion"/>
  </si>
  <si>
    <t>2.1.3.5
2.3.2.6</t>
    <phoneticPr fontId="37" type="noConversion"/>
  </si>
  <si>
    <t>Table Management 桌台管理</t>
    <phoneticPr fontId="37" type="noConversion"/>
  </si>
  <si>
    <t>1. Integrate with TableCheck reservation management system
集成预定管理系统Table Check
2. Add support for buffet ordering 新增支持自助餐点单
3.Add support for banquet ordering 新增宴会点单
4. Support room charge支持挂房账</t>
    <phoneticPr fontId="37" type="noConversion"/>
  </si>
  <si>
    <t>3.1.2.4</t>
    <phoneticPr fontId="37" type="noConversion"/>
  </si>
  <si>
    <t>5.1.1.1
2.1.3.2
2.1.3.4</t>
    <phoneticPr fontId="37" type="noConversion"/>
  </si>
  <si>
    <t>Integrate with MO to synchronize available inventory and invoice status
与MO集成，同步可售库存及发票状态</t>
    <phoneticPr fontId="37" type="noConversion"/>
  </si>
  <si>
    <t>Joint sales financial - revenue and accounting 融合财务-收入分割与核算</t>
    <phoneticPr fontId="37" type="noConversion"/>
  </si>
  <si>
    <r>
      <t xml:space="preserve">Store Management
</t>
    </r>
    <r>
      <rPr>
        <sz val="11"/>
        <color theme="1"/>
        <rFont val="宋体"/>
        <family val="3"/>
        <charset val="134"/>
      </rPr>
      <t>门店管理</t>
    </r>
    <phoneticPr fontId="37" type="noConversion"/>
  </si>
  <si>
    <t>Customize Part 中重复</t>
    <phoneticPr fontId="37" type="noConversion"/>
  </si>
  <si>
    <r>
      <t xml:space="preserve">Workstation Management
</t>
    </r>
    <r>
      <rPr>
        <sz val="11"/>
        <color theme="1"/>
        <rFont val="宋体"/>
        <family val="3"/>
        <charset val="134"/>
      </rPr>
      <t>工作终端管理</t>
    </r>
    <phoneticPr fontId="37" type="noConversion"/>
  </si>
  <si>
    <r>
      <t>POS Workstation Management
POS</t>
    </r>
    <r>
      <rPr>
        <sz val="11"/>
        <color theme="1"/>
        <rFont val="宋体"/>
        <family val="3"/>
        <charset val="134"/>
      </rPr>
      <t>终端管理</t>
    </r>
    <phoneticPr fontId="37" type="noConversion"/>
  </si>
  <si>
    <r>
      <t xml:space="preserve">Store Information Management
</t>
    </r>
    <r>
      <rPr>
        <sz val="11"/>
        <color theme="1"/>
        <rFont val="宋体"/>
        <family val="3"/>
        <charset val="134"/>
      </rPr>
      <t>门店基础信息管理</t>
    </r>
    <phoneticPr fontId="37" type="noConversion"/>
  </si>
  <si>
    <t>2.6.1.5</t>
    <phoneticPr fontId="37" type="noConversion"/>
  </si>
  <si>
    <r>
      <t xml:space="preserve">Printer Setting
</t>
    </r>
    <r>
      <rPr>
        <sz val="11"/>
        <color theme="1"/>
        <rFont val="宋体"/>
        <family val="3"/>
        <charset val="134"/>
      </rPr>
      <t>打印机设置</t>
    </r>
    <phoneticPr fontId="37" type="noConversion"/>
  </si>
  <si>
    <t>2.9.2.1
2.9.2.2</t>
    <phoneticPr fontId="37" type="noConversion"/>
  </si>
  <si>
    <t>2.9.1.1
2.9.1.3</t>
    <phoneticPr fontId="37" type="noConversion"/>
  </si>
  <si>
    <r>
      <t xml:space="preserve">POS Report POS
</t>
    </r>
    <r>
      <rPr>
        <sz val="11"/>
        <color theme="1"/>
        <rFont val="宋体"/>
        <family val="3"/>
        <charset val="134"/>
      </rPr>
      <t>报表</t>
    </r>
    <phoneticPr fontId="37" type="noConversion"/>
  </si>
  <si>
    <r>
      <t xml:space="preserve">Account management
</t>
    </r>
    <r>
      <rPr>
        <sz val="11"/>
        <color theme="1"/>
        <rFont val="宋体"/>
        <family val="3"/>
        <charset val="134"/>
      </rPr>
      <t>账号管理</t>
    </r>
    <phoneticPr fontId="37" type="noConversion"/>
  </si>
  <si>
    <r>
      <t xml:space="preserve">Report Creation 
</t>
    </r>
    <r>
      <rPr>
        <sz val="11"/>
        <color theme="1"/>
        <rFont val="宋体"/>
        <family val="3"/>
        <charset val="134"/>
      </rPr>
      <t>创建报表</t>
    </r>
    <phoneticPr fontId="37" type="noConversion"/>
  </si>
  <si>
    <t>2.11.4.1
2.11.4.2
2.11.4.3
2.11.4.5</t>
    <phoneticPr fontId="37" type="noConversion"/>
  </si>
  <si>
    <r>
      <t xml:space="preserve">Commodity Trading Push Interface
</t>
    </r>
    <r>
      <rPr>
        <sz val="11"/>
        <color theme="1"/>
        <rFont val="Microsoft YaHei"/>
        <family val="2"/>
        <charset val="134"/>
      </rPr>
      <t>商品交易推送接口</t>
    </r>
    <phoneticPr fontId="37" type="noConversion"/>
  </si>
  <si>
    <r>
      <t>POS Docking CCTV
POS</t>
    </r>
    <r>
      <rPr>
        <sz val="11"/>
        <color theme="1"/>
        <rFont val="Microsoft YaHei"/>
        <family val="2"/>
        <charset val="134"/>
      </rPr>
      <t>对接</t>
    </r>
    <r>
      <rPr>
        <sz val="11"/>
        <color theme="1"/>
        <rFont val="Calibri"/>
        <family val="2"/>
      </rPr>
      <t>CCTV</t>
    </r>
    <phoneticPr fontId="37" type="noConversion"/>
  </si>
  <si>
    <t>3.7.7.10</t>
    <phoneticPr fontId="37" type="noConversion"/>
  </si>
  <si>
    <r>
      <t xml:space="preserve">
Coupon Query Interface
</t>
    </r>
    <r>
      <rPr>
        <sz val="11"/>
        <rFont val="Microsoft YaHei"/>
        <family val="2"/>
        <charset val="134"/>
      </rPr>
      <t>券查询口</t>
    </r>
    <phoneticPr fontId="37" type="noConversion"/>
  </si>
  <si>
    <t>去除</t>
    <phoneticPr fontId="37" type="noConversion"/>
  </si>
  <si>
    <t>5.2.1.4</t>
    <phoneticPr fontId="37" type="noConversion"/>
  </si>
  <si>
    <t>Merch and F&amp;B Cross-sell Stores
商品&amp;餐饮综合门店</t>
    <phoneticPr fontId="37" type="noConversion"/>
  </si>
  <si>
    <t xml:space="preserve">4.2.1.1 </t>
    <phoneticPr fontId="37" type="noConversion"/>
  </si>
  <si>
    <t>Add purchase limit function
新增限购功能</t>
    <phoneticPr fontId="37" type="noConversion"/>
  </si>
  <si>
    <t>3.2.1.1 
3.2.1.2
3.2.1.3
3.2.1.4</t>
    <phoneticPr fontId="37" type="noConversion"/>
  </si>
  <si>
    <t>Integrate with retail supply chain system
对接零售供应链系统</t>
    <phoneticPr fontId="37" type="noConversion"/>
  </si>
  <si>
    <t>3.2.10.6</t>
    <phoneticPr fontId="37" type="noConversion"/>
  </si>
  <si>
    <t>和系统数据同步21行 雷同</t>
    <phoneticPr fontId="37" type="noConversion"/>
  </si>
  <si>
    <t>Enhanced in finance operations &amp; control财务运营和控制增强</t>
    <phoneticPr fontId="37" type="noConversion"/>
  </si>
  <si>
    <t>3.2.13.11</t>
    <phoneticPr fontId="37" type="noConversion"/>
  </si>
  <si>
    <t>3.7.2.3
3.7.3.1
3.7.3.10
3.7.3.11
3.7.3.12
3.7.3.2
3.7.3.3
3.7.3.9
3.7.5.1
3.7.5.2
3.7.5.3
3.7.5.4
3.7.6.1
3.7.7.10
3.7.7.11
3.7.7.3
3.7.7.7
3.7.7.9</t>
    <phoneticPr fontId="37" type="noConversion"/>
  </si>
  <si>
    <t>Terminals and peripherals  management终端与外设管理</t>
    <phoneticPr fontId="37" type="noConversion"/>
  </si>
  <si>
    <t>Terminals and peripherals  终端与外设</t>
    <phoneticPr fontId="37" type="noConversion"/>
  </si>
  <si>
    <t>2.9.1.4
2.9.2.1
2.9.2.4
5.1.2.2</t>
    <phoneticPr fontId="37" type="noConversion"/>
  </si>
  <si>
    <t>Members and Consumer Activation
会员和消费者互动</t>
    <phoneticPr fontId="37" type="noConversion"/>
  </si>
  <si>
    <t>6.1.1.1
6.1.1.3
6.1.2.1
6.1.2.2
6.1.2.3
6.1.3.1
6.1.3.2
6.2.1.1
6.2.1.2
6.2.1.3
6.2.2.1</t>
    <phoneticPr fontId="37" type="noConversion"/>
  </si>
  <si>
    <t>Overall Infrastructure Requirements 总体架构需
System Integration Requirements 系统集成需求</t>
    <phoneticPr fontId="37" type="noConversion"/>
  </si>
  <si>
    <t>POS 应向 A&amp;A 数据集市提供以下数据：
1) 订单详细信息：订单类型/订单号/时间/产品名称/SKU/金额/商店/促销/会员资格/付款/数量/价格/每日结算/折扣金额/折扣类型/收银机 ID/收银员 ID/付款税号/NSA 或免费凭证 ID（对于退货交易，应添加原始交易号、商店号和 POS 号）。
2) 时间信息：下单时间/付款时间/退货和换货时间/退款时间。
3) 会员信息：相应的会员类型/级别/姓名/会员身份（即 AP vid、C33 会员 ID、swid 等）
4) 促销信息：与此订单对应的所有促销商品的类型/名称/促销 ID/优惠券 ID/金额/商品/使用时间/使用频率/活动 ID/促销类型/促销名称。
5) 付款信息：付款金额/时间/付款方式/收银机抽屉打开和关闭日志。
6) 异常信息：异常订单信息/异常类型/异常原因/异常详细信息。
7) 异常类型：包括但不限于异常会员类型/异常促销金额/退货和换货/退款/手动提供促销/手动修改价格/手动修改库存/在未付款的情况下打开收银机抽屉/手动输入产品代码/手动选择付款方式。</t>
    <phoneticPr fontId="27" type="noConversion"/>
  </si>
  <si>
    <r>
      <t xml:space="preserve">6.2.1.3 </t>
    </r>
    <r>
      <rPr>
        <sz val="14"/>
        <rFont val="宋体"/>
        <family val="2"/>
        <scheme val="minor"/>
      </rPr>
      <t>作为消费者激活，我需要新 POS 系统能够将客户数据与交易同步至 Javis/CDM，以便分析客人行为。</t>
    </r>
    <phoneticPr fontId="27" type="noConversion"/>
  </si>
  <si>
    <t>Standard Software</t>
    <phoneticPr fontId="37" type="noConversion"/>
  </si>
  <si>
    <t>Vendor Enhance Software</t>
    <phoneticPr fontId="37" type="noConversion"/>
  </si>
  <si>
    <r>
      <t xml:space="preserve">System Integration Requirements </t>
    </r>
    <r>
      <rPr>
        <sz val="11"/>
        <color theme="1"/>
        <rFont val="宋体"/>
        <family val="3"/>
        <charset val="134"/>
      </rPr>
      <t>系统集成需求</t>
    </r>
    <phoneticPr fontId="37" type="noConversion"/>
  </si>
  <si>
    <r>
      <t>Log in</t>
    </r>
    <r>
      <rPr>
        <sz val="11"/>
        <color theme="1"/>
        <rFont val="Microsoft YaHei"/>
        <family val="2"/>
        <charset val="134"/>
      </rPr>
      <t>登录</t>
    </r>
    <r>
      <rPr>
        <sz val="11"/>
        <color theme="1"/>
        <rFont val="Calibri"/>
        <family val="2"/>
      </rPr>
      <t xml:space="preserve">
Profile Display</t>
    </r>
    <r>
      <rPr>
        <sz val="11"/>
        <color theme="1"/>
        <rFont val="Microsoft YaHei"/>
        <family val="2"/>
        <charset val="134"/>
      </rPr>
      <t>显示游客身份信息</t>
    </r>
    <r>
      <rPr>
        <sz val="11"/>
        <color theme="1"/>
        <rFont val="Calibri"/>
        <family val="2"/>
      </rPr>
      <t xml:space="preserve">
Previlege Recommendation</t>
    </r>
    <r>
      <rPr>
        <sz val="11"/>
        <color theme="1"/>
        <rFont val="Microsoft YaHei"/>
        <family val="2"/>
        <charset val="134"/>
      </rPr>
      <t>权益推荐</t>
    </r>
    <r>
      <rPr>
        <sz val="11"/>
        <color theme="1"/>
        <rFont val="Calibri"/>
        <family val="2"/>
      </rPr>
      <t xml:space="preserve">
Black List</t>
    </r>
    <r>
      <rPr>
        <sz val="11"/>
        <color theme="1"/>
        <rFont val="Microsoft YaHei"/>
        <family val="2"/>
        <charset val="134"/>
      </rPr>
      <t>黑名单</t>
    </r>
    <phoneticPr fontId="37" type="noConversion"/>
  </si>
  <si>
    <r>
      <t xml:space="preserve">Guest Profile
</t>
    </r>
    <r>
      <rPr>
        <sz val="11"/>
        <color theme="1"/>
        <rFont val="宋体"/>
        <family val="3"/>
        <charset val="134"/>
      </rPr>
      <t>游客身份识别</t>
    </r>
    <phoneticPr fontId="37" type="noConversion"/>
  </si>
  <si>
    <t xml:space="preserve">2.6.1.1
2.6.1.2
2.6.1.7
2.6.2.1
</t>
    <phoneticPr fontId="37" type="noConversion"/>
  </si>
  <si>
    <t>Account Log-in 
账号</t>
    <phoneticPr fontId="37" type="noConversion"/>
  </si>
  <si>
    <r>
      <t xml:space="preserve">
Coupon Verification Interface
</t>
    </r>
    <r>
      <rPr>
        <sz val="11"/>
        <rFont val="Microsoft YaHei"/>
        <family val="2"/>
        <charset val="134"/>
      </rPr>
      <t>券核销接口</t>
    </r>
    <phoneticPr fontId="37" type="noConversion"/>
  </si>
  <si>
    <t>3.4.1.3</t>
    <phoneticPr fontId="37" type="noConversion"/>
  </si>
  <si>
    <t>3.6.6.1</t>
    <phoneticPr fontId="37" type="noConversion"/>
  </si>
  <si>
    <t xml:space="preserve">2.8.2.1  
2.8.2.2  
2.8.2.3   
2.8.3.1      
2.8.3.4 
2.9.2.3
2.9.2.4
2.5.1.1
2.6.3.1
2.6.3.2
2.6.3.3
3.4.1.1  
3.4.1.2  
3.4.1.4  
3.4.2.1  
3.4.2.2  
3.4.3.1  
3.4.3.2  
3.4.4.1  
3.4.5.1    
3.5.2.1  
3.5.2.2  
5.1.2.1 </t>
    <phoneticPr fontId="37" type="noConversion"/>
  </si>
  <si>
    <t>已标注等同位置</t>
    <phoneticPr fontId="37" type="noConversion"/>
  </si>
  <si>
    <r>
      <t xml:space="preserve">Inventory Updates Interface
</t>
    </r>
    <r>
      <rPr>
        <sz val="11"/>
        <color theme="1"/>
        <rFont val="Microsoft YaHei"/>
        <family val="2"/>
        <charset val="134"/>
      </rPr>
      <t>库存更新接口</t>
    </r>
    <r>
      <rPr>
        <sz val="11"/>
        <color theme="1"/>
        <rFont val="Calibri"/>
        <family val="2"/>
      </rPr>
      <t>(F&amp;B)</t>
    </r>
    <phoneticPr fontId="37" type="noConversion"/>
  </si>
  <si>
    <t>3.5.1.1</t>
    <phoneticPr fontId="37" type="noConversion"/>
  </si>
  <si>
    <r>
      <t xml:space="preserve">Invoicing Synchronous Interface
</t>
    </r>
    <r>
      <rPr>
        <sz val="11"/>
        <rFont val="Microsoft YaHei"/>
        <family val="2"/>
        <charset val="134"/>
      </rPr>
      <t>同步开票信息接口</t>
    </r>
    <phoneticPr fontId="37" type="noConversion"/>
  </si>
  <si>
    <t>3.7.5.1</t>
    <phoneticPr fontId="37" type="noConversion"/>
  </si>
  <si>
    <r>
      <t xml:space="preserve">Store CostCenter Pushes the UDS Interface
</t>
    </r>
    <r>
      <rPr>
        <sz val="11"/>
        <color theme="1"/>
        <rFont val="Microsoft YaHei"/>
        <family val="2"/>
        <charset val="134"/>
      </rPr>
      <t>门店成本中心推送</t>
    </r>
    <r>
      <rPr>
        <sz val="11"/>
        <color theme="1"/>
        <rFont val="Calibri"/>
        <family val="2"/>
      </rPr>
      <t>UDS</t>
    </r>
    <r>
      <rPr>
        <sz val="11"/>
        <color theme="1"/>
        <rFont val="Microsoft YaHei"/>
        <family val="2"/>
        <charset val="134"/>
      </rPr>
      <t>接口</t>
    </r>
    <phoneticPr fontId="37" type="noConversion"/>
  </si>
  <si>
    <r>
      <rPr>
        <sz val="11"/>
        <color rgb="FF000000"/>
        <rFont val="Microsoft YaHei"/>
        <family val="2"/>
        <charset val="134"/>
      </rPr>
      <t>推送销售数据到</t>
    </r>
    <r>
      <rPr>
        <sz val="11"/>
        <color rgb="FF000000"/>
        <rFont val="Calibri"/>
        <family val="2"/>
      </rPr>
      <t>UDS</t>
    </r>
    <r>
      <rPr>
        <sz val="11"/>
        <color rgb="FF000000"/>
        <rFont val="Microsoft YaHei"/>
        <family val="2"/>
        <charset val="134"/>
      </rPr>
      <t>（</t>
    </r>
    <r>
      <rPr>
        <sz val="11"/>
        <color rgb="FF000000"/>
        <rFont val="Calibri"/>
        <family val="2"/>
      </rPr>
      <t>SAP</t>
    </r>
    <r>
      <rPr>
        <sz val="11"/>
        <color rgb="FF000000"/>
        <rFont val="Microsoft YaHei"/>
        <family val="2"/>
        <charset val="134"/>
      </rPr>
      <t>）</t>
    </r>
    <phoneticPr fontId="37" type="noConversion"/>
  </si>
  <si>
    <r>
      <t xml:space="preserve">Employee Discount Information Push Interface
</t>
    </r>
    <r>
      <rPr>
        <sz val="11"/>
        <color rgb="FF000000"/>
        <rFont val="Microsoft YaHei"/>
        <family val="2"/>
        <charset val="134"/>
      </rPr>
      <t>员工折扣信息推送接口</t>
    </r>
    <phoneticPr fontId="37" type="noConversion"/>
  </si>
  <si>
    <r>
      <rPr>
        <sz val="11"/>
        <color rgb="FF000000"/>
        <rFont val="Microsoft YaHei"/>
        <family val="2"/>
        <charset val="134"/>
      </rPr>
      <t>推送销售数据到</t>
    </r>
    <r>
      <rPr>
        <sz val="11"/>
        <color rgb="FF000000"/>
        <rFont val="Calibri"/>
        <family val="2"/>
      </rPr>
      <t>UDS</t>
    </r>
    <r>
      <rPr>
        <sz val="11"/>
        <color rgb="FF000000"/>
        <rFont val="Microsoft YaHei"/>
        <family val="2"/>
        <charset val="134"/>
      </rPr>
      <t>（</t>
    </r>
    <r>
      <rPr>
        <sz val="11"/>
        <color rgb="FF000000"/>
        <rFont val="Calibri"/>
        <family val="2"/>
      </rPr>
      <t>LongView</t>
    </r>
    <r>
      <rPr>
        <sz val="11"/>
        <color rgb="FF000000"/>
        <rFont val="Microsoft YaHei"/>
        <family val="2"/>
        <charset val="134"/>
      </rPr>
      <t>）</t>
    </r>
    <phoneticPr fontId="37" type="noConversion"/>
  </si>
  <si>
    <r>
      <t xml:space="preserve">Return Request Interface
</t>
    </r>
    <r>
      <rPr>
        <sz val="11"/>
        <rFont val="Microsoft YaHei"/>
        <family val="2"/>
        <charset val="134"/>
      </rPr>
      <t>退货申请接口</t>
    </r>
    <phoneticPr fontId="37" type="noConversion"/>
  </si>
  <si>
    <r>
      <t xml:space="preserve">
Push the sales data of the airport store to the system Interface of the airport tenant
</t>
    </r>
    <r>
      <rPr>
        <sz val="11"/>
        <color theme="1"/>
        <rFont val="Microsoft YaHei"/>
        <family val="2"/>
        <charset val="134"/>
      </rPr>
      <t>推送机场店销售数据给机场租户系统接口</t>
    </r>
    <phoneticPr fontId="37" type="noConversion"/>
  </si>
  <si>
    <t>3.7.7.9</t>
    <phoneticPr fontId="37" type="noConversion"/>
  </si>
  <si>
    <r>
      <rPr>
        <sz val="11"/>
        <color rgb="FF000000"/>
        <rFont val="Microsoft YaHei"/>
        <family val="2"/>
        <charset val="134"/>
      </rPr>
      <t>判断</t>
    </r>
    <r>
      <rPr>
        <sz val="11"/>
        <color rgb="FF000000"/>
        <rFont val="Calibri"/>
        <family val="2"/>
      </rPr>
      <t>coupon</t>
    </r>
    <r>
      <rPr>
        <sz val="11"/>
        <color rgb="FF000000"/>
        <rFont val="Microsoft YaHei"/>
        <family val="2"/>
        <charset val="134"/>
      </rPr>
      <t>有效性</t>
    </r>
    <phoneticPr fontId="37" type="noConversion"/>
  </si>
  <si>
    <r>
      <t xml:space="preserve">
Push F&amp;B Information to the F&amp;B POS system
</t>
    </r>
    <r>
      <rPr>
        <sz val="11"/>
        <color theme="1"/>
        <rFont val="Microsoft YaHei"/>
        <family val="2"/>
        <charset val="134"/>
      </rPr>
      <t>推送餐饮信息给</t>
    </r>
    <r>
      <rPr>
        <sz val="11"/>
        <color theme="1"/>
        <rFont val="Calibri"/>
        <family val="2"/>
      </rPr>
      <t xml:space="preserve"> F&amp;B POS</t>
    </r>
    <r>
      <rPr>
        <sz val="11"/>
        <color theme="1"/>
        <rFont val="Microsoft YaHei"/>
        <family val="2"/>
        <charset val="134"/>
      </rPr>
      <t>系统</t>
    </r>
    <phoneticPr fontId="37" type="noConversion"/>
  </si>
  <si>
    <r>
      <t xml:space="preserve">
Transaction Payment Interface
</t>
    </r>
    <r>
      <rPr>
        <sz val="11"/>
        <color rgb="FF000000"/>
        <rFont val="微软雅黑"/>
        <family val="2"/>
        <charset val="134"/>
      </rPr>
      <t>交易支付接口</t>
    </r>
    <phoneticPr fontId="37" type="noConversion"/>
  </si>
  <si>
    <t xml:space="preserve">3.7.7.7 </t>
    <phoneticPr fontId="37" type="noConversion"/>
  </si>
  <si>
    <t>1.Android Developer本地修改 
2.销售信息联动，存在系统对接。实时试算。主要耗时在联调上(2)。</t>
  </si>
  <si>
    <t>1.Android Developer购物清单需要校验提示售罄
2.服务端取库存信息，正常来说是个查询</t>
  </si>
  <si>
    <t xml:space="preserve">1.基础报表
2.Android Developer本地缓存数据 </t>
  </si>
  <si>
    <t>admin生效配置，（1）
Android Developer端去支持NonCashCode-付款（1）
PIS调试（2）</t>
  </si>
  <si>
    <t>admin配置工作（2）
Android Developer端 集成并生效（3）
PIS对接（5）</t>
  </si>
  <si>
    <t>POS Android Developer端附加字段，能够实现订单优惠信息</t>
  </si>
  <si>
    <t>POS Android Developer端 移除所选促销信息</t>
  </si>
  <si>
    <t xml:space="preserve">POS Android Developer端 支付方式展示 （1）
后台 配置（1） </t>
  </si>
  <si>
    <t>POS Android Developer 扫码识别支付方式</t>
  </si>
  <si>
    <t xml:space="preserve">POS Android Developer 支付方式展示 （1）
后台 配置（1） </t>
  </si>
  <si>
    <t>POS Android Developer 组合支付调起（1）
服务端接收参数信息和PIS对接（2）</t>
  </si>
  <si>
    <t>POS Android Developer 切换支付方式</t>
  </si>
  <si>
    <t>POS Android Developer 多个商品结算支付</t>
  </si>
  <si>
    <t>POS Android Developer 输入授权code</t>
  </si>
  <si>
    <t>POS Android Developer 触发专线切换（网络）判断场景的不确定性</t>
  </si>
  <si>
    <t>1.主流外围设备兼容（5）
2.跨平台部署和管理设备（5）
这个我理解是Android Developer功能设备兼容</t>
  </si>
  <si>
    <t xml:space="preserve">
New POS软件安装管理需要支持windows和Android Developer系统，IOS的优先级低不太会选，但建议先把cost估算进去</t>
  </si>
  <si>
    <t>分摊到1条的钱数</t>
    <phoneticPr fontId="27" type="noConversion"/>
  </si>
  <si>
    <t>总金额</t>
    <phoneticPr fontId="37" type="noConversion"/>
  </si>
  <si>
    <t>有效条数</t>
    <phoneticPr fontId="37" type="noConversion"/>
  </si>
  <si>
    <t>总人天</t>
    <phoneticPr fontId="37" type="noConversion"/>
  </si>
  <si>
    <t>Android Developer &amp; Front-end Developer &amp; Back-end Developer &amp; Quality Assurance &amp; Product Manager &amp; Delivery Manager</t>
    <phoneticPr fontId="37" type="noConversion"/>
  </si>
  <si>
    <t>Android Developer &amp; Front-end Developer &amp; Product Designer &amp; Quality Assurance &amp; Product Manager &amp; Delivery Manager</t>
    <phoneticPr fontId="37" type="noConversion"/>
  </si>
  <si>
    <t>Android Developer &amp; Front-end Developer &amp; Product Designer &amp; Back-end Developer &amp; Quality Assurance &amp; Product Manager &amp; Delivery Manager</t>
    <phoneticPr fontId="37" type="noConversion"/>
  </si>
  <si>
    <t>Back-end Developer &amp; Quality Assurance &amp; Product Manager &amp; Delivery Manager</t>
    <phoneticPr fontId="37" type="noConversion"/>
  </si>
  <si>
    <t>Front-end Developer &amp; Product Designer &amp; Back-end Developer &amp; Quality Assurance &amp; Product Manager &amp; Delivery Manager</t>
    <phoneticPr fontId="37" type="noConversion"/>
  </si>
  <si>
    <t>PM Ratio of Developer</t>
  </si>
  <si>
    <t>DM Ratio of Developer</t>
  </si>
  <si>
    <t xml:space="preserve">Android  Ratio of Developer </t>
  </si>
  <si>
    <t>UI Design Ratio of 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</si>
</sst>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43" formatCode="_(* #,##0.00_);_(* \(#,##0.00\);_(* &quot;-&quot;??_);_(@_)"/>
    <numFmt numFmtId="176" formatCode="_(&quot;$&quot;* #,##0.00_);_(&quot;$&quot;* \(#,##0.00\);_(&quot;$&quot;* &quot;-&quot;??_);_(@_)"/>
    <numFmt numFmtId="177" formatCode="[$-409]mmmm\ d\,\ yyyy;@"/>
    <numFmt numFmtId="178" formatCode="_(* #,##0_);_(* \(#,##0\);_(* &quot;-&quot;??_);_(@_)"/>
    <numFmt numFmtId="179" formatCode="&quot;$&quot;#,##0"/>
    <numFmt numFmtId="180" formatCode="&quot;$&quot;#,##0.0"/>
    <numFmt numFmtId="181" formatCode="_ [$¥-804]* #,##0_ ;_ [$¥-804]* \-#,##0_ ;_ [$¥-804]* &quot;-&quot;??_ ;_ @_ "/>
    <numFmt numFmtId="182" formatCode="_ [$¥-804]* #,##0.00_ ;_ [$¥-804]* \-#,##0.00_ ;_ [$¥-804]* &quot;-&quot;??_ ;_ @_ "/>
    <numFmt numFmtId="183" formatCode="0.0%"/>
    <numFmt numFmtId="184" formatCode="_(&quot;$&quot;* #,##0_);_(&quot;$&quot;* \(#,##0\);_(&quot;$&quot;* &quot;-&quot;??_);_(@_)"/>
    <numFmt numFmtId="185" formatCode="&quot;¥&quot;#,##0"/>
    <numFmt numFmtId="186" formatCode="[$$-409]#,##0"/>
    <numFmt numFmtId="187" formatCode="0.00&quot;个&quot;&quot;月&quot;"/>
    <numFmt numFmtId="188" formatCode="#,##0_ "/>
    <numFmt numFmtId="189" formatCode="\¥#,##0_);[Red]\(\¥#,##0\)"/>
    <numFmt numFmtId="190" formatCode="0.0"/>
    <numFmt numFmtId="191" formatCode="\¥#,##0.00_);[Red]\(\¥#,##0.00\)"/>
    <numFmt numFmtId="192" formatCode="0.00_);\(0.00\)"/>
  </numFmts>
  <fonts count="100">
    <font>
      <sz val="8"/>
      <color theme="1"/>
      <name val="Arial"/>
      <family val="2"/>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8"/>
      <color theme="1"/>
      <name val="Arial"/>
      <family val="2"/>
    </font>
    <font>
      <b/>
      <sz val="8"/>
      <color theme="0"/>
      <name val="Arial"/>
      <family val="2"/>
    </font>
    <font>
      <b/>
      <sz val="8"/>
      <color theme="1"/>
      <name val="Arial"/>
      <family val="2"/>
    </font>
    <font>
      <sz val="11"/>
      <color theme="1"/>
      <name val="宋体"/>
      <family val="2"/>
      <scheme val="minor"/>
    </font>
    <font>
      <sz val="12"/>
      <color theme="1"/>
      <name val="宋体"/>
      <family val="2"/>
      <scheme val="minor"/>
    </font>
    <font>
      <sz val="14"/>
      <color theme="1"/>
      <name val="宋体"/>
      <family val="2"/>
      <scheme val="minor"/>
    </font>
    <font>
      <b/>
      <sz val="12"/>
      <color theme="0"/>
      <name val="宋体"/>
      <family val="2"/>
      <scheme val="minor"/>
    </font>
    <font>
      <sz val="12"/>
      <color theme="0" tint="-0.14999847407452621"/>
      <name val="宋体"/>
      <family val="2"/>
      <scheme val="minor"/>
    </font>
    <font>
      <sz val="11"/>
      <color rgb="FF1F497D"/>
      <name val="Calibri"/>
      <family val="2"/>
    </font>
    <font>
      <sz val="11"/>
      <color theme="4"/>
      <name val="宋体"/>
      <family val="2"/>
      <scheme val="minor"/>
    </font>
    <font>
      <b/>
      <sz val="8"/>
      <color rgb="FFFFFFFF"/>
      <name val="Arial"/>
      <family val="2"/>
    </font>
    <font>
      <b/>
      <sz val="10"/>
      <color theme="1"/>
      <name val="Arial"/>
      <family val="2"/>
    </font>
    <font>
      <b/>
      <sz val="8"/>
      <color rgb="FF000000"/>
      <name val="Arial"/>
      <family val="2"/>
    </font>
    <font>
      <sz val="10"/>
      <color rgb="FF000000"/>
      <name val="Arial"/>
      <family val="2"/>
    </font>
    <font>
      <b/>
      <sz val="14"/>
      <color theme="0"/>
      <name val="Arial"/>
      <family val="2"/>
    </font>
    <font>
      <sz val="10"/>
      <color theme="1"/>
      <name val="Arial"/>
      <family val="2"/>
    </font>
    <font>
      <b/>
      <sz val="12"/>
      <color theme="1"/>
      <name val="Arial"/>
      <family val="2"/>
    </font>
    <font>
      <sz val="14"/>
      <name val="宋体"/>
      <family val="2"/>
      <scheme val="minor"/>
    </font>
    <font>
      <b/>
      <sz val="36"/>
      <color theme="1"/>
      <name val="Arial"/>
      <family val="2"/>
    </font>
    <font>
      <u/>
      <sz val="8"/>
      <color theme="10"/>
      <name val="Arial"/>
      <family val="2"/>
    </font>
    <font>
      <b/>
      <sz val="11"/>
      <color theme="9" tint="-0.249977111117893"/>
      <name val="Arial"/>
      <family val="2"/>
    </font>
    <font>
      <sz val="9"/>
      <name val="宋体"/>
      <family val="3"/>
      <charset val="134"/>
    </font>
    <font>
      <b/>
      <sz val="12"/>
      <name val="宋体"/>
      <family val="2"/>
      <scheme val="minor"/>
    </font>
    <font>
      <sz val="12"/>
      <name val="宋体"/>
      <family val="2"/>
      <scheme val="minor"/>
    </font>
    <font>
      <strike/>
      <sz val="14"/>
      <name val="宋体"/>
      <family val="2"/>
      <scheme val="minor"/>
    </font>
    <font>
      <b/>
      <sz val="14"/>
      <name val="宋体"/>
      <family val="2"/>
      <scheme val="minor"/>
    </font>
    <font>
      <sz val="14"/>
      <color theme="0"/>
      <name val="Arial"/>
      <family val="2"/>
    </font>
    <font>
      <sz val="14"/>
      <color theme="5"/>
      <name val="Calibri (Body)"/>
    </font>
    <font>
      <sz val="14"/>
      <color theme="1"/>
      <name val="Calibri (Body)"/>
    </font>
    <font>
      <b/>
      <sz val="14"/>
      <color theme="1"/>
      <name val="Calibri (Body)"/>
    </font>
    <font>
      <strike/>
      <sz val="14"/>
      <name val="Calibri (Body)"/>
    </font>
    <font>
      <sz val="9"/>
      <name val="FangSong"/>
      <family val="3"/>
      <charset val="134"/>
    </font>
    <font>
      <sz val="14"/>
      <name val="宋体"/>
      <family val="3"/>
      <charset val="134"/>
      <scheme val="minor"/>
    </font>
    <font>
      <sz val="14"/>
      <color theme="1"/>
      <name val="Calibri"/>
      <family val="2"/>
    </font>
    <font>
      <sz val="14"/>
      <color rgb="FFFF0000"/>
      <name val="宋体"/>
      <family val="2"/>
      <scheme val="minor"/>
    </font>
    <font>
      <b/>
      <sz val="14"/>
      <color theme="0"/>
      <name val="宋体"/>
      <family val="2"/>
      <scheme val="minor"/>
    </font>
    <font>
      <b/>
      <sz val="16"/>
      <color rgb="FF000000"/>
      <name val="宋体"/>
      <family val="2"/>
      <scheme val="minor"/>
    </font>
    <font>
      <b/>
      <sz val="16"/>
      <name val="宋体"/>
      <family val="2"/>
      <scheme val="minor"/>
    </font>
    <font>
      <b/>
      <sz val="12"/>
      <name val="Calibri"/>
      <family val="2"/>
    </font>
    <font>
      <b/>
      <sz val="16"/>
      <name val="Calibri"/>
      <family val="2"/>
    </font>
    <font>
      <sz val="8"/>
      <color theme="4"/>
      <name val="Arial"/>
      <family val="2"/>
    </font>
    <font>
      <b/>
      <sz val="10"/>
      <color rgb="FF000000"/>
      <name val="Arial"/>
      <family val="2"/>
    </font>
    <font>
      <sz val="11"/>
      <name val="Calibri"/>
      <family val="2"/>
    </font>
    <font>
      <sz val="20"/>
      <color rgb="FF000000"/>
      <name val="Arial"/>
      <family val="2"/>
    </font>
    <font>
      <sz val="20"/>
      <color rgb="FF000000"/>
      <name val="宋体"/>
      <family val="2"/>
      <scheme val="minor"/>
    </font>
    <font>
      <b/>
      <sz val="12"/>
      <color rgb="FF000000"/>
      <name val="宋体"/>
      <family val="2"/>
      <scheme val="minor"/>
    </font>
    <font>
      <sz val="11"/>
      <color rgb="FF000000"/>
      <name val="宋体"/>
      <family val="2"/>
      <scheme val="minor"/>
    </font>
    <font>
      <b/>
      <sz val="11"/>
      <color rgb="FF000000"/>
      <name val="宋体"/>
      <family val="2"/>
      <scheme val="minor"/>
    </font>
    <font>
      <b/>
      <sz val="10"/>
      <color rgb="FFC00000"/>
      <name val="Arial"/>
      <family val="2"/>
    </font>
    <font>
      <b/>
      <u/>
      <sz val="10"/>
      <color rgb="FF000000"/>
      <name val="Arial"/>
      <family val="2"/>
    </font>
    <font>
      <b/>
      <sz val="10"/>
      <color rgb="FFFF0000"/>
      <name val="Arial"/>
      <family val="2"/>
    </font>
    <font>
      <b/>
      <sz val="14"/>
      <color theme="1"/>
      <name val="宋体"/>
      <family val="3"/>
      <charset val="134"/>
      <scheme val="minor"/>
    </font>
    <font>
      <sz val="14"/>
      <color theme="1"/>
      <name val="宋体"/>
      <family val="3"/>
      <charset val="134"/>
      <scheme val="minor"/>
    </font>
    <font>
      <u/>
      <sz val="14"/>
      <color theme="1"/>
      <name val="宋体"/>
      <family val="3"/>
      <charset val="134"/>
    </font>
    <font>
      <sz val="14"/>
      <color theme="5"/>
      <name val="宋体"/>
      <family val="3"/>
      <charset val="134"/>
    </font>
    <font>
      <sz val="14"/>
      <color theme="0"/>
      <name val="宋体"/>
      <family val="3"/>
      <charset val="134"/>
      <scheme val="minor"/>
    </font>
    <font>
      <sz val="14"/>
      <name val="宋体"/>
      <family val="3"/>
      <charset val="134"/>
    </font>
    <font>
      <sz val="14"/>
      <name val="Apple Color Emoji"/>
      <family val="2"/>
    </font>
    <font>
      <sz val="14"/>
      <name val="Times New Roman"/>
      <family val="2"/>
    </font>
    <font>
      <sz val="14"/>
      <color rgb="FFFF0000"/>
      <name val="宋体"/>
      <family val="3"/>
      <charset val="134"/>
    </font>
    <font>
      <sz val="8"/>
      <color rgb="FFFF0000"/>
      <name val="Arial"/>
      <family val="2"/>
    </font>
    <font>
      <sz val="16"/>
      <color theme="1"/>
      <name val="宋体"/>
      <family val="3"/>
      <charset val="134"/>
    </font>
    <font>
      <b/>
      <strike/>
      <sz val="14"/>
      <color theme="1"/>
      <name val="宋体"/>
      <family val="2"/>
      <scheme val="minor"/>
    </font>
    <font>
      <sz val="14"/>
      <name val="Times New Roman"/>
      <family val="3"/>
    </font>
    <font>
      <sz val="14"/>
      <color theme="1"/>
      <name val="宋体"/>
      <family val="3"/>
      <charset val="134"/>
    </font>
    <font>
      <sz val="11"/>
      <color theme="1"/>
      <name val="宋体"/>
      <family val="3"/>
      <charset val="134"/>
      <scheme val="minor"/>
    </font>
    <font>
      <b/>
      <sz val="11"/>
      <name val="Calibri"/>
      <family val="2"/>
    </font>
    <font>
      <sz val="11"/>
      <color rgb="FF000000"/>
      <name val="宋体"/>
      <family val="3"/>
      <charset val="134"/>
      <scheme val="minor"/>
    </font>
    <font>
      <sz val="11"/>
      <color rgb="FFFF0000"/>
      <name val="宋体"/>
      <family val="3"/>
      <charset val="134"/>
      <scheme val="minor"/>
    </font>
    <font>
      <b/>
      <sz val="14"/>
      <color theme="1"/>
      <name val="Calibri (Body)"/>
      <family val="1"/>
    </font>
    <font>
      <b/>
      <sz val="14"/>
      <color theme="1"/>
      <name val="宋体"/>
      <family val="3"/>
      <charset val="134"/>
    </font>
    <font>
      <b/>
      <sz val="11"/>
      <color theme="1" tint="4.9989318521683403E-2"/>
      <name val="宋体"/>
      <family val="3"/>
      <charset val="134"/>
    </font>
    <font>
      <sz val="9"/>
      <name val="宋体"/>
      <family val="3"/>
      <charset val="134"/>
      <scheme val="minor"/>
    </font>
    <font>
      <sz val="11"/>
      <color theme="1" tint="4.9989318521683403E-2"/>
      <name val="宋体"/>
      <family val="3"/>
      <charset val="134"/>
    </font>
    <font>
      <b/>
      <sz val="11"/>
      <color theme="1"/>
      <name val="宋体"/>
      <family val="3"/>
      <charset val="134"/>
      <scheme val="minor"/>
    </font>
    <font>
      <b/>
      <sz val="11"/>
      <name val="Microsoft YaHei"/>
      <family val="2"/>
      <charset val="134"/>
    </font>
    <font>
      <b/>
      <sz val="8"/>
      <color theme="9" tint="-0.249977111117893"/>
      <name val="Arial"/>
      <family val="2"/>
    </font>
    <font>
      <sz val="11"/>
      <color theme="1" tint="4.9989318521683403E-2"/>
      <name val="Calibri (Body)"/>
      <family val="1"/>
    </font>
    <font>
      <b/>
      <sz val="11"/>
      <color theme="1" tint="4.9989318521683403E-2"/>
      <name val="Calibri (Body)"/>
      <family val="1"/>
    </font>
    <font>
      <sz val="11"/>
      <color theme="1"/>
      <name val="Calibri"/>
      <family val="2"/>
    </font>
    <font>
      <sz val="11"/>
      <color theme="1"/>
      <name val="Microsoft YaHei"/>
      <family val="2"/>
      <charset val="134"/>
    </font>
    <font>
      <sz val="11"/>
      <color rgb="FF000000"/>
      <name val="Calibri"/>
      <family val="2"/>
    </font>
    <font>
      <b/>
      <sz val="11"/>
      <color rgb="FFFF0000"/>
      <name val="宋体"/>
      <family val="3"/>
      <charset val="134"/>
      <scheme val="minor"/>
    </font>
    <font>
      <sz val="11"/>
      <color theme="1"/>
      <name val="宋体"/>
      <family val="3"/>
      <charset val="134"/>
    </font>
    <font>
      <sz val="11"/>
      <color rgb="FF000000"/>
      <name val="微软雅黑"/>
      <family val="2"/>
      <charset val="134"/>
    </font>
    <font>
      <sz val="11"/>
      <name val="宋体"/>
      <family val="3"/>
      <charset val="134"/>
    </font>
    <font>
      <sz val="11"/>
      <name val="Microsoft YaHei"/>
      <family val="2"/>
      <charset val="134"/>
    </font>
    <font>
      <sz val="11"/>
      <color rgb="FF000000"/>
      <name val="Microsoft YaHei"/>
      <family val="2"/>
      <charset val="134"/>
    </font>
    <font>
      <sz val="14"/>
      <color theme="1"/>
      <name val="宋体"/>
      <family val="3"/>
      <charset val="134"/>
      <scheme val="major"/>
    </font>
    <font>
      <u/>
      <sz val="14"/>
      <color theme="1"/>
      <name val="宋体"/>
      <family val="3"/>
      <charset val="134"/>
      <scheme val="major"/>
    </font>
    <font>
      <u/>
      <sz val="8"/>
      <color theme="1"/>
      <name val="宋体"/>
      <family val="3"/>
      <charset val="134"/>
      <scheme val="major"/>
    </font>
    <font>
      <sz val="8"/>
      <color theme="1"/>
      <name val="宋体"/>
      <family val="3"/>
      <charset val="134"/>
      <scheme val="major"/>
    </font>
    <font>
      <sz val="11"/>
      <color rgb="FF000000"/>
      <name val="Calibri"/>
      <family val="2"/>
      <charset val="134"/>
    </font>
    <font>
      <sz val="14"/>
      <color theme="1"/>
      <name val="Microsoft YaHei"/>
      <family val="2"/>
      <charset val="134"/>
    </font>
  </fonts>
  <fills count="28">
    <fill>
      <patternFill patternType="none"/>
    </fill>
    <fill>
      <patternFill patternType="gray125"/>
    </fill>
    <fill>
      <patternFill patternType="solid">
        <fgColor theme="4" tint="0.79998168889431442"/>
        <bgColor indexed="64"/>
      </patternFill>
    </fill>
    <fill>
      <patternFill patternType="solid">
        <fgColor rgb="FF1F497D"/>
        <bgColor indexed="64"/>
      </patternFill>
    </fill>
    <fill>
      <patternFill patternType="solid">
        <fgColor theme="2" tint="-0.749992370372631"/>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79998168889431442"/>
        <bgColor indexed="64"/>
      </patternFill>
    </fill>
    <fill>
      <patternFill patternType="solid">
        <fgColor rgb="FF1F497D"/>
        <bgColor rgb="FF000000"/>
      </patternFill>
    </fill>
    <fill>
      <patternFill patternType="solid">
        <fgColor theme="7" tint="-0.499984740745262"/>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0000"/>
        <bgColor indexed="64"/>
      </patternFill>
    </fill>
    <fill>
      <patternFill patternType="solid">
        <fgColor rgb="FFF8E1E3"/>
        <bgColor indexed="64"/>
      </patternFill>
    </fill>
    <fill>
      <patternFill patternType="solid">
        <fgColor rgb="FFFFFF99"/>
        <bgColor rgb="FFFFFF99"/>
      </patternFill>
    </fill>
    <fill>
      <patternFill patternType="solid">
        <fgColor rgb="FFFF0000"/>
        <bgColor rgb="FFFFFF99"/>
      </patternFill>
    </fill>
    <fill>
      <patternFill patternType="solid">
        <fgColor rgb="FFC9DAF8"/>
        <bgColor rgb="FFC9DAF8"/>
      </patternFill>
    </fill>
    <fill>
      <patternFill patternType="solid">
        <fgColor theme="7" tint="0.39997558519241921"/>
        <bgColor indexed="64"/>
      </patternFill>
    </fill>
    <fill>
      <patternFill patternType="solid">
        <fgColor rgb="FF7030A0"/>
        <bgColor indexed="64"/>
      </patternFill>
    </fill>
    <fill>
      <patternFill patternType="solid">
        <fgColor rgb="FFCCFFCC"/>
        <bgColor rgb="FFCCFFCC"/>
      </patternFill>
    </fill>
    <fill>
      <patternFill patternType="solid">
        <fgColor rgb="FFCCFFFF"/>
        <bgColor rgb="FFCCFFFF"/>
      </patternFill>
    </fill>
    <fill>
      <patternFill patternType="solid">
        <fgColor rgb="FFFF0000"/>
        <bgColor rgb="FFCCFFFF"/>
      </patternFill>
    </fill>
    <fill>
      <patternFill patternType="solid">
        <fgColor rgb="FFFF0000"/>
        <bgColor rgb="FFCCFFCC"/>
      </patternFill>
    </fill>
    <fill>
      <patternFill patternType="solid">
        <fgColor rgb="FFDCE9F6"/>
        <bgColor indexed="64"/>
      </patternFill>
    </fill>
    <fill>
      <patternFill patternType="solid">
        <fgColor rgb="FFDCE9F6"/>
        <bgColor rgb="FF000000"/>
      </patternFill>
    </fill>
    <fill>
      <patternFill patternType="solid">
        <fgColor rgb="FFFFFF00"/>
        <bgColor rgb="FFDDDDDD"/>
      </patternFill>
    </fill>
  </fills>
  <borders count="38">
    <border>
      <left/>
      <right/>
      <top/>
      <bottom/>
      <diagonal/>
    </border>
    <border>
      <left/>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auto="1"/>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969696"/>
      </left>
      <right style="thin">
        <color rgb="FF969696"/>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969696"/>
      </left>
      <right/>
      <top style="thin">
        <color rgb="FF969696"/>
      </top>
      <bottom style="thin">
        <color rgb="FF000000"/>
      </bottom>
      <diagonal/>
    </border>
    <border>
      <left/>
      <right style="thin">
        <color rgb="FF969696"/>
      </right>
      <top style="thin">
        <color rgb="FF969696"/>
      </top>
      <bottom style="thin">
        <color rgb="FF000000"/>
      </bottom>
      <diagonal/>
    </border>
    <border>
      <left style="thin">
        <color indexed="64"/>
      </left>
      <right/>
      <top/>
      <bottom/>
      <diagonal/>
    </border>
  </borders>
  <cellStyleXfs count="28">
    <xf numFmtId="0" fontId="0" fillId="0" borderId="0"/>
    <xf numFmtId="43" fontId="6" fillId="0" borderId="0" applyFont="0" applyFill="0" applyBorder="0" applyAlignment="0" applyProtection="0"/>
    <xf numFmtId="9" fontId="6" fillId="0" borderId="0" applyFont="0" applyFill="0" applyBorder="0" applyAlignment="0" applyProtection="0"/>
    <xf numFmtId="177" fontId="9" fillId="0" borderId="0"/>
    <xf numFmtId="176" fontId="10"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176" fontId="5" fillId="0" borderId="0" applyFont="0" applyFill="0" applyBorder="0" applyAlignment="0" applyProtection="0"/>
    <xf numFmtId="176" fontId="6" fillId="0" borderId="0" applyFont="0" applyFill="0" applyBorder="0" applyAlignment="0" applyProtection="0"/>
    <xf numFmtId="177"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176" fontId="4" fillId="0" borderId="0" applyFont="0" applyFill="0" applyBorder="0" applyAlignment="0" applyProtection="0"/>
    <xf numFmtId="0" fontId="15" fillId="0" borderId="0">
      <alignment horizontal="left" wrapText="1"/>
    </xf>
    <xf numFmtId="0" fontId="3" fillId="0" borderId="0"/>
    <xf numFmtId="177" fontId="2" fillId="0" borderId="0"/>
    <xf numFmtId="0" fontId="25" fillId="0" borderId="0" applyNumberFormat="0" applyFill="0" applyBorder="0" applyAlignment="0" applyProtection="0"/>
    <xf numFmtId="0" fontId="1" fillId="0" borderId="0"/>
    <xf numFmtId="43" fontId="1" fillId="0" borderId="0" applyFont="0" applyFill="0" applyBorder="0" applyAlignment="0" applyProtection="0"/>
    <xf numFmtId="177" fontId="1" fillId="0" borderId="0"/>
    <xf numFmtId="0" fontId="1" fillId="0" borderId="0"/>
    <xf numFmtId="0" fontId="6" fillId="0" borderId="0"/>
    <xf numFmtId="0" fontId="71" fillId="0" borderId="0"/>
    <xf numFmtId="0" fontId="6" fillId="0" borderId="0"/>
    <xf numFmtId="0" fontId="25" fillId="0" borderId="0" applyNumberFormat="0" applyFill="0" applyBorder="0" applyAlignment="0" applyProtection="0"/>
    <xf numFmtId="177" fontId="1" fillId="0" borderId="0"/>
  </cellStyleXfs>
  <cellXfs count="550">
    <xf numFmtId="0" fontId="0" fillId="0" borderId="0" xfId="0"/>
    <xf numFmtId="0" fontId="13" fillId="6" borderId="0" xfId="0" applyFont="1" applyFill="1" applyAlignment="1">
      <alignment horizontal="left" vertical="center"/>
    </xf>
    <xf numFmtId="180" fontId="13" fillId="6" borderId="0" xfId="9" applyNumberFormat="1" applyFont="1" applyFill="1" applyBorder="1" applyAlignment="1">
      <alignment horizontal="center" vertical="center"/>
    </xf>
    <xf numFmtId="181" fontId="13" fillId="6" borderId="0" xfId="2" applyNumberFormat="1" applyFont="1" applyFill="1" applyBorder="1" applyAlignment="1">
      <alignment horizontal="center" vertical="center"/>
    </xf>
    <xf numFmtId="176" fontId="12" fillId="0" borderId="0" xfId="9" applyFont="1" applyFill="1" applyBorder="1" applyAlignment="1">
      <alignment horizontal="center" vertical="center" wrapText="1"/>
    </xf>
    <xf numFmtId="0" fontId="10" fillId="0" borderId="0" xfId="0" applyFont="1" applyAlignment="1">
      <alignment horizontal="left" vertical="center"/>
    </xf>
    <xf numFmtId="9" fontId="0" fillId="0" borderId="0" xfId="2" applyFont="1"/>
    <xf numFmtId="182" fontId="0" fillId="0" borderId="0" xfId="0" applyNumberFormat="1"/>
    <xf numFmtId="0" fontId="14" fillId="0" borderId="0" xfId="0" applyFont="1"/>
    <xf numFmtId="183" fontId="0" fillId="0" borderId="0" xfId="2" applyNumberFormat="1" applyFont="1"/>
    <xf numFmtId="0" fontId="0" fillId="0" borderId="0" xfId="0" applyAlignment="1">
      <alignment horizontal="center" vertical="center"/>
    </xf>
    <xf numFmtId="0" fontId="0" fillId="0" borderId="0" xfId="0" applyAlignment="1">
      <alignment vertical="center"/>
    </xf>
    <xf numFmtId="0" fontId="23" fillId="7" borderId="4" xfId="0" applyFont="1" applyFill="1" applyBorder="1" applyAlignment="1">
      <alignment horizontal="left" vertical="top" wrapText="1"/>
    </xf>
    <xf numFmtId="1" fontId="0" fillId="0" borderId="4" xfId="0" applyNumberFormat="1" applyBorder="1" applyAlignment="1">
      <alignment horizontal="center" wrapText="1"/>
    </xf>
    <xf numFmtId="1" fontId="23" fillId="7" borderId="4" xfId="0" applyNumberFormat="1" applyFont="1" applyFill="1" applyBorder="1" applyAlignment="1">
      <alignment horizontal="center" vertical="center" wrapText="1"/>
    </xf>
    <xf numFmtId="1" fontId="0" fillId="7" borderId="4" xfId="0" applyNumberFormat="1" applyFill="1" applyBorder="1" applyAlignment="1">
      <alignment horizontal="center" wrapText="1"/>
    </xf>
    <xf numFmtId="177" fontId="20" fillId="9" borderId="9" xfId="0" applyNumberFormat="1" applyFont="1" applyFill="1" applyBorder="1" applyAlignment="1">
      <alignment horizontal="center" vertical="center" wrapText="1"/>
    </xf>
    <xf numFmtId="1" fontId="20" fillId="9" borderId="5" xfId="0" applyNumberFormat="1" applyFont="1" applyFill="1" applyBorder="1" applyAlignment="1">
      <alignment horizontal="center" vertical="center" wrapText="1"/>
    </xf>
    <xf numFmtId="177" fontId="20" fillId="9" borderId="8" xfId="0" applyNumberFormat="1" applyFont="1" applyFill="1" applyBorder="1" applyAlignment="1">
      <alignment horizontal="center" vertical="center" wrapText="1"/>
    </xf>
    <xf numFmtId="0" fontId="23" fillId="7" borderId="4" xfId="0" applyFont="1" applyFill="1" applyBorder="1" applyAlignment="1">
      <alignment horizontal="left" vertical="center" wrapText="1"/>
    </xf>
    <xf numFmtId="0" fontId="23" fillId="7" borderId="10" xfId="0" applyFont="1" applyFill="1" applyBorder="1" applyAlignment="1">
      <alignment horizontal="left" vertical="center" wrapText="1"/>
    </xf>
    <xf numFmtId="0" fontId="0" fillId="0" borderId="0" xfId="0" applyAlignment="1">
      <alignment horizontal="left" vertical="center"/>
    </xf>
    <xf numFmtId="0" fontId="0" fillId="0" borderId="4" xfId="0" applyBorder="1"/>
    <xf numFmtId="0" fontId="22" fillId="0" borderId="12" xfId="0" applyFont="1" applyBorder="1" applyAlignment="1">
      <alignment vertical="center" wrapText="1"/>
    </xf>
    <xf numFmtId="0" fontId="23" fillId="7" borderId="12" xfId="0" applyFont="1" applyFill="1" applyBorder="1" applyAlignment="1">
      <alignment horizontal="left" vertical="center" wrapText="1"/>
    </xf>
    <xf numFmtId="0" fontId="0" fillId="0" borderId="12" xfId="0" applyBorder="1" applyAlignment="1">
      <alignment wrapText="1"/>
    </xf>
    <xf numFmtId="0" fontId="0" fillId="0" borderId="10" xfId="0" applyBorder="1" applyAlignment="1">
      <alignment wrapText="1"/>
    </xf>
    <xf numFmtId="1" fontId="22" fillId="0" borderId="4" xfId="0" applyNumberFormat="1" applyFont="1" applyBorder="1" applyAlignment="1">
      <alignment vertical="center" wrapText="1"/>
    </xf>
    <xf numFmtId="177" fontId="20" fillId="9" borderId="4" xfId="0" applyNumberFormat="1" applyFont="1" applyFill="1" applyBorder="1" applyAlignment="1">
      <alignment horizontal="center" vertical="center" wrapText="1"/>
    </xf>
    <xf numFmtId="0" fontId="0" fillId="7" borderId="12" xfId="0" applyFill="1" applyBorder="1" applyAlignment="1">
      <alignment wrapText="1"/>
    </xf>
    <xf numFmtId="0" fontId="0" fillId="7" borderId="4" xfId="0" applyFill="1" applyBorder="1"/>
    <xf numFmtId="0" fontId="0" fillId="7" borderId="10" xfId="0" applyFill="1" applyBorder="1" applyAlignment="1">
      <alignment wrapText="1"/>
    </xf>
    <xf numFmtId="0" fontId="23" fillId="7" borderId="4" xfId="0" applyFont="1" applyFill="1" applyBorder="1" applyAlignment="1">
      <alignment horizontal="center" vertical="center" wrapText="1"/>
    </xf>
    <xf numFmtId="0" fontId="23" fillId="7" borderId="3" xfId="0" applyFont="1" applyFill="1" applyBorder="1" applyAlignment="1">
      <alignment horizontal="left" vertical="top" wrapText="1"/>
    </xf>
    <xf numFmtId="177" fontId="20" fillId="9" borderId="2" xfId="0" applyNumberFormat="1" applyFont="1" applyFill="1" applyBorder="1" applyAlignment="1">
      <alignment horizontal="center" vertical="center" wrapText="1"/>
    </xf>
    <xf numFmtId="176" fontId="28" fillId="5" borderId="0" xfId="9" applyFont="1" applyFill="1" applyBorder="1" applyAlignment="1">
      <alignment horizontal="center" vertical="center" wrapText="1"/>
    </xf>
    <xf numFmtId="0" fontId="29" fillId="0" borderId="0" xfId="0" applyFont="1" applyAlignment="1">
      <alignment horizontal="left" vertical="center"/>
    </xf>
    <xf numFmtId="0" fontId="29" fillId="6" borderId="0" xfId="0" applyFont="1" applyFill="1" applyAlignment="1">
      <alignment horizontal="left" vertical="center"/>
    </xf>
    <xf numFmtId="180" fontId="29" fillId="6" borderId="0" xfId="9" applyNumberFormat="1" applyFont="1" applyFill="1" applyBorder="1" applyAlignment="1">
      <alignment horizontal="center" vertical="center"/>
    </xf>
    <xf numFmtId="181" fontId="29" fillId="6" borderId="0" xfId="2" applyNumberFormat="1" applyFont="1" applyFill="1" applyBorder="1" applyAlignment="1">
      <alignment horizontal="center" vertical="center"/>
    </xf>
    <xf numFmtId="180" fontId="29" fillId="0" borderId="0" xfId="9" applyNumberFormat="1" applyFont="1" applyFill="1" applyBorder="1" applyAlignment="1">
      <alignment horizontal="center" vertical="center"/>
    </xf>
    <xf numFmtId="181" fontId="29" fillId="0" borderId="0" xfId="2" applyNumberFormat="1" applyFont="1" applyFill="1" applyBorder="1" applyAlignment="1">
      <alignment horizontal="center" vertical="center"/>
    </xf>
    <xf numFmtId="0" fontId="0" fillId="0" borderId="0" xfId="0" applyAlignment="1">
      <alignment horizontal="left"/>
    </xf>
    <xf numFmtId="0" fontId="26" fillId="5" borderId="0" xfId="18" applyFont="1" applyFill="1" applyBorder="1" applyAlignment="1">
      <alignment horizontal="left" vertical="center"/>
    </xf>
    <xf numFmtId="1" fontId="23" fillId="7" borderId="4" xfId="0" applyNumberFormat="1" applyFont="1" applyFill="1" applyBorder="1" applyAlignment="1">
      <alignment horizontal="center" vertical="top" wrapText="1"/>
    </xf>
    <xf numFmtId="0" fontId="23" fillId="7" borderId="12" xfId="0" applyFont="1" applyFill="1" applyBorder="1" applyAlignment="1">
      <alignment horizontal="left" vertical="top" wrapText="1"/>
    </xf>
    <xf numFmtId="0" fontId="23" fillId="7" borderId="10" xfId="0" applyFont="1" applyFill="1" applyBorder="1" applyAlignment="1">
      <alignment horizontal="left" vertical="top" wrapText="1"/>
    </xf>
    <xf numFmtId="0" fontId="23" fillId="7" borderId="11" xfId="0" applyFont="1" applyFill="1" applyBorder="1" applyAlignment="1">
      <alignment horizontal="left" vertical="top" wrapText="1"/>
    </xf>
    <xf numFmtId="1" fontId="23" fillId="7" borderId="3" xfId="0" applyNumberFormat="1" applyFont="1" applyFill="1" applyBorder="1" applyAlignment="1">
      <alignment horizontal="center" vertical="top" wrapText="1"/>
    </xf>
    <xf numFmtId="0" fontId="23" fillId="7" borderId="1" xfId="0" applyFont="1" applyFill="1" applyBorder="1" applyAlignment="1">
      <alignment horizontal="left" vertical="top" wrapText="1"/>
    </xf>
    <xf numFmtId="0" fontId="23" fillId="7" borderId="7" xfId="0" applyFont="1" applyFill="1" applyBorder="1" applyAlignment="1">
      <alignment horizontal="left" vertical="top" wrapText="1"/>
    </xf>
    <xf numFmtId="0" fontId="23" fillId="7" borderId="8" xfId="0" applyFont="1" applyFill="1" applyBorder="1" applyAlignment="1">
      <alignment horizontal="left" vertical="top" wrapText="1"/>
    </xf>
    <xf numFmtId="0" fontId="23" fillId="7" borderId="5" xfId="0" applyFont="1" applyFill="1" applyBorder="1" applyAlignment="1">
      <alignment horizontal="left" vertical="top" wrapText="1"/>
    </xf>
    <xf numFmtId="0" fontId="23" fillId="7" borderId="14" xfId="0" applyFont="1" applyFill="1" applyBorder="1" applyAlignment="1">
      <alignment horizontal="left" vertical="top" wrapText="1"/>
    </xf>
    <xf numFmtId="0" fontId="23" fillId="7" borderId="16" xfId="0" applyFont="1" applyFill="1" applyBorder="1" applyAlignment="1">
      <alignment horizontal="left" vertical="top" wrapText="1"/>
    </xf>
    <xf numFmtId="1" fontId="23" fillId="7" borderId="5" xfId="0" applyNumberFormat="1" applyFont="1" applyFill="1" applyBorder="1" applyAlignment="1">
      <alignment horizontal="left" vertical="top" wrapText="1"/>
    </xf>
    <xf numFmtId="1" fontId="23" fillId="7" borderId="3" xfId="0" applyNumberFormat="1" applyFont="1" applyFill="1" applyBorder="1" applyAlignment="1">
      <alignment horizontal="left" vertical="top" wrapText="1"/>
    </xf>
    <xf numFmtId="1" fontId="23" fillId="7" borderId="4" xfId="0" applyNumberFormat="1" applyFont="1" applyFill="1" applyBorder="1" applyAlignment="1">
      <alignment horizontal="left" vertical="top" wrapText="1"/>
    </xf>
    <xf numFmtId="0" fontId="0" fillId="11" borderId="1" xfId="0" applyFill="1" applyBorder="1" applyAlignment="1">
      <alignment wrapText="1"/>
    </xf>
    <xf numFmtId="0" fontId="0" fillId="11" borderId="7" xfId="0" applyFill="1" applyBorder="1" applyAlignment="1">
      <alignment wrapText="1"/>
    </xf>
    <xf numFmtId="0" fontId="23" fillId="7" borderId="3" xfId="0" applyFont="1" applyFill="1" applyBorder="1" applyAlignment="1">
      <alignment horizontal="left" vertical="center" wrapText="1"/>
    </xf>
    <xf numFmtId="0" fontId="0" fillId="0" borderId="4" xfId="0" applyBorder="1" applyAlignment="1">
      <alignment horizontal="center" vertical="center"/>
    </xf>
    <xf numFmtId="0" fontId="8" fillId="13" borderId="4" xfId="0" applyFont="1" applyFill="1" applyBorder="1" applyAlignment="1">
      <alignment horizontal="center" vertical="center"/>
    </xf>
    <xf numFmtId="0" fontId="30" fillId="7" borderId="4" xfId="0" applyFont="1" applyFill="1" applyBorder="1" applyAlignment="1">
      <alignment horizontal="center" vertical="center" wrapText="1"/>
    </xf>
    <xf numFmtId="0" fontId="23" fillId="7" borderId="5" xfId="0" applyFont="1" applyFill="1" applyBorder="1" applyAlignment="1">
      <alignment horizontal="center" vertical="center" wrapText="1"/>
    </xf>
    <xf numFmtId="0" fontId="23" fillId="7" borderId="14" xfId="0" applyFont="1" applyFill="1" applyBorder="1" applyAlignment="1">
      <alignment horizontal="center" vertical="center" wrapText="1"/>
    </xf>
    <xf numFmtId="0" fontId="31" fillId="7" borderId="4" xfId="0" applyFont="1" applyFill="1" applyBorder="1" applyAlignment="1">
      <alignment horizontal="center" vertical="center" wrapText="1"/>
    </xf>
    <xf numFmtId="0" fontId="23" fillId="7" borderId="14" xfId="0" applyFont="1" applyFill="1" applyBorder="1" applyAlignment="1">
      <alignment horizontal="left" vertical="center" wrapText="1"/>
    </xf>
    <xf numFmtId="0" fontId="23" fillId="7" borderId="5" xfId="0" applyFont="1" applyFill="1" applyBorder="1" applyAlignment="1">
      <alignment horizontal="left" vertical="center" wrapText="1"/>
    </xf>
    <xf numFmtId="0" fontId="23" fillId="7" borderId="12" xfId="0" applyFont="1" applyFill="1" applyBorder="1" applyAlignment="1">
      <alignment horizontal="center" vertical="center" wrapText="1"/>
    </xf>
    <xf numFmtId="0" fontId="23" fillId="7" borderId="10" xfId="0" applyFont="1" applyFill="1" applyBorder="1" applyAlignment="1">
      <alignment horizontal="center" vertical="center" wrapText="1"/>
    </xf>
    <xf numFmtId="1" fontId="23" fillId="7" borderId="5" xfId="0" applyNumberFormat="1" applyFont="1" applyFill="1" applyBorder="1" applyAlignment="1">
      <alignment horizontal="center" vertical="center" wrapText="1"/>
    </xf>
    <xf numFmtId="0" fontId="23" fillId="7" borderId="8" xfId="0" applyFont="1" applyFill="1" applyBorder="1" applyAlignment="1">
      <alignment horizontal="left" vertical="center" wrapText="1"/>
    </xf>
    <xf numFmtId="0" fontId="23" fillId="15" borderId="4" xfId="0" applyFont="1" applyFill="1" applyBorder="1" applyAlignment="1">
      <alignment horizontal="left" vertical="center" wrapText="1"/>
    </xf>
    <xf numFmtId="0" fontId="23" fillId="15" borderId="14" xfId="0" applyFont="1" applyFill="1" applyBorder="1" applyAlignment="1">
      <alignment horizontal="left" vertical="center" wrapText="1"/>
    </xf>
    <xf numFmtId="0" fontId="23" fillId="15" borderId="5" xfId="0" applyFont="1" applyFill="1" applyBorder="1" applyAlignment="1">
      <alignment horizontal="left" vertical="center" wrapText="1"/>
    </xf>
    <xf numFmtId="0" fontId="11" fillId="7" borderId="4" xfId="0" applyFont="1" applyFill="1" applyBorder="1" applyAlignment="1">
      <alignment horizontal="left" vertical="top" wrapText="1"/>
    </xf>
    <xf numFmtId="1" fontId="23" fillId="7" borderId="17" xfId="0" applyNumberFormat="1" applyFont="1" applyFill="1" applyBorder="1" applyAlignment="1">
      <alignment horizontal="left" vertical="top" wrapText="1"/>
    </xf>
    <xf numFmtId="0" fontId="23" fillId="7" borderId="13" xfId="0" applyFont="1" applyFill="1" applyBorder="1" applyAlignment="1">
      <alignment horizontal="left" vertical="top" wrapText="1"/>
    </xf>
    <xf numFmtId="0" fontId="23" fillId="7" borderId="17" xfId="0" applyFont="1" applyFill="1" applyBorder="1" applyAlignment="1">
      <alignment horizontal="left" vertical="top" wrapText="1"/>
    </xf>
    <xf numFmtId="0" fontId="11" fillId="7" borderId="3" xfId="0" applyFont="1" applyFill="1" applyBorder="1" applyAlignment="1">
      <alignment horizontal="left" vertical="top" wrapText="1"/>
    </xf>
    <xf numFmtId="1" fontId="23" fillId="7" borderId="14" xfId="0" applyNumberFormat="1" applyFont="1" applyFill="1" applyBorder="1" applyAlignment="1">
      <alignment horizontal="center" vertical="top" wrapText="1"/>
    </xf>
    <xf numFmtId="1" fontId="23" fillId="7" borderId="3" xfId="0" applyNumberFormat="1" applyFont="1" applyFill="1" applyBorder="1" applyAlignment="1">
      <alignment horizontal="center" vertical="center" wrapText="1"/>
    </xf>
    <xf numFmtId="0" fontId="23" fillId="7" borderId="15" xfId="0" applyFont="1" applyFill="1" applyBorder="1" applyAlignment="1">
      <alignment horizontal="left" vertical="top" wrapText="1"/>
    </xf>
    <xf numFmtId="0" fontId="23" fillId="7" borderId="7" xfId="0" applyFont="1" applyFill="1" applyBorder="1" applyAlignment="1">
      <alignment horizontal="left" vertical="center" wrapText="1"/>
    </xf>
    <xf numFmtId="0" fontId="23" fillId="7" borderId="9" xfId="0" applyFont="1" applyFill="1" applyBorder="1" applyAlignment="1">
      <alignment horizontal="left" vertical="top" wrapText="1"/>
    </xf>
    <xf numFmtId="0" fontId="23" fillId="7" borderId="3" xfId="0" applyFont="1" applyFill="1" applyBorder="1" applyAlignment="1">
      <alignment horizontal="left" vertical="top"/>
    </xf>
    <xf numFmtId="0" fontId="23" fillId="7" borderId="18" xfId="0" applyFont="1" applyFill="1" applyBorder="1" applyAlignment="1">
      <alignment horizontal="left" vertical="top" wrapText="1"/>
    </xf>
    <xf numFmtId="0" fontId="23" fillId="7" borderId="4" xfId="0" applyFont="1" applyFill="1" applyBorder="1" applyAlignment="1">
      <alignment horizontal="left" vertical="center"/>
    </xf>
    <xf numFmtId="0" fontId="36" fillId="15" borderId="4" xfId="0" applyFont="1" applyFill="1" applyBorder="1" applyAlignment="1">
      <alignment horizontal="left" vertical="center" wrapText="1"/>
    </xf>
    <xf numFmtId="0" fontId="23" fillId="7" borderId="4" xfId="0" applyFont="1" applyFill="1" applyBorder="1" applyAlignment="1">
      <alignment vertical="center" wrapText="1"/>
    </xf>
    <xf numFmtId="0" fontId="23" fillId="7" borderId="12" xfId="0" applyFont="1" applyFill="1" applyBorder="1" applyAlignment="1">
      <alignment vertical="center" wrapText="1"/>
    </xf>
    <xf numFmtId="0" fontId="23" fillId="7" borderId="4" xfId="0" applyFont="1" applyFill="1" applyBorder="1" applyAlignment="1">
      <alignment horizontal="left" vertical="top"/>
    </xf>
    <xf numFmtId="0" fontId="38" fillId="7" borderId="12" xfId="0" applyFont="1" applyFill="1" applyBorder="1" applyAlignment="1">
      <alignment vertical="center" wrapText="1"/>
    </xf>
    <xf numFmtId="0" fontId="30" fillId="15" borderId="4" xfId="0" applyFont="1" applyFill="1" applyBorder="1" applyAlignment="1">
      <alignment horizontal="left" vertical="center" wrapText="1"/>
    </xf>
    <xf numFmtId="0" fontId="40" fillId="7" borderId="4" xfId="0" applyFont="1" applyFill="1" applyBorder="1" applyAlignment="1">
      <alignment horizontal="center" vertical="center" wrapText="1"/>
    </xf>
    <xf numFmtId="0" fontId="11" fillId="0" borderId="0" xfId="0" applyFont="1"/>
    <xf numFmtId="0" fontId="11" fillId="0" borderId="0" xfId="0" applyFont="1" applyAlignment="1">
      <alignment vertical="center"/>
    </xf>
    <xf numFmtId="0" fontId="23" fillId="7" borderId="3" xfId="0" applyFont="1" applyFill="1" applyBorder="1" applyAlignment="1">
      <alignment horizontal="left" vertical="center"/>
    </xf>
    <xf numFmtId="0" fontId="23" fillId="7" borderId="6" xfId="0" applyFont="1" applyFill="1" applyBorder="1" applyAlignment="1">
      <alignment horizontal="center" vertical="center" wrapText="1"/>
    </xf>
    <xf numFmtId="0" fontId="23" fillId="7" borderId="7" xfId="0" applyFont="1" applyFill="1" applyBorder="1" applyAlignment="1">
      <alignment horizontal="center" vertical="center" wrapText="1"/>
    </xf>
    <xf numFmtId="0" fontId="23" fillId="15" borderId="3" xfId="0" applyFont="1" applyFill="1" applyBorder="1" applyAlignment="1">
      <alignment horizontal="left" vertical="center" wrapText="1"/>
    </xf>
    <xf numFmtId="0" fontId="17" fillId="13" borderId="4" xfId="0" applyFont="1" applyFill="1" applyBorder="1" applyAlignment="1">
      <alignment horizontal="center" vertical="center"/>
    </xf>
    <xf numFmtId="9" fontId="17" fillId="13" borderId="4" xfId="0" applyNumberFormat="1" applyFont="1" applyFill="1" applyBorder="1" applyAlignment="1">
      <alignment horizontal="center" vertical="center"/>
    </xf>
    <xf numFmtId="0" fontId="42" fillId="0" borderId="4" xfId="0" applyFont="1" applyBorder="1" applyAlignment="1">
      <alignment horizontal="center" vertical="center"/>
    </xf>
    <xf numFmtId="2" fontId="0" fillId="0" borderId="4" xfId="0" applyNumberFormat="1" applyBorder="1" applyAlignment="1">
      <alignment horizontal="center" vertical="center"/>
    </xf>
    <xf numFmtId="1" fontId="0" fillId="0" borderId="4" xfId="0" applyNumberFormat="1" applyBorder="1" applyAlignment="1">
      <alignment horizontal="center" vertical="center"/>
    </xf>
    <xf numFmtId="185" fontId="0" fillId="0" borderId="4" xfId="0" applyNumberFormat="1" applyBorder="1" applyAlignment="1">
      <alignment horizontal="center" vertical="center"/>
    </xf>
    <xf numFmtId="43" fontId="0" fillId="0" borderId="4" xfId="0" applyNumberFormat="1" applyBorder="1" applyAlignment="1">
      <alignment horizontal="center" vertical="center"/>
    </xf>
    <xf numFmtId="186" fontId="0" fillId="0" borderId="4" xfId="0" applyNumberFormat="1" applyBorder="1" applyAlignment="1">
      <alignment horizontal="center" vertical="center"/>
    </xf>
    <xf numFmtId="0" fontId="43" fillId="0" borderId="4" xfId="0" applyFont="1" applyBorder="1" applyAlignment="1">
      <alignment horizontal="center" vertical="center"/>
    </xf>
    <xf numFmtId="0" fontId="43" fillId="0" borderId="0" xfId="0" applyFont="1" applyAlignment="1">
      <alignment horizontal="center" vertical="center"/>
    </xf>
    <xf numFmtId="2" fontId="0" fillId="0" borderId="0" xfId="0" applyNumberFormat="1" applyAlignment="1">
      <alignment horizontal="center" vertical="center"/>
    </xf>
    <xf numFmtId="0" fontId="0" fillId="13" borderId="4" xfId="0" applyFill="1" applyBorder="1" applyAlignment="1">
      <alignment horizontal="center" vertical="center"/>
    </xf>
    <xf numFmtId="43" fontId="0" fillId="13" borderId="4" xfId="0" applyNumberFormat="1" applyFill="1" applyBorder="1" applyAlignment="1">
      <alignment horizontal="center" vertical="center"/>
    </xf>
    <xf numFmtId="37" fontId="0" fillId="13" borderId="4" xfId="0" applyNumberFormat="1" applyFill="1" applyBorder="1" applyAlignment="1">
      <alignment horizontal="center" vertical="center"/>
    </xf>
    <xf numFmtId="0" fontId="0" fillId="13" borderId="0" xfId="0" applyFill="1" applyAlignment="1">
      <alignment horizontal="center" vertical="center"/>
    </xf>
    <xf numFmtId="43" fontId="0" fillId="13" borderId="0" xfId="0" applyNumberFormat="1" applyFill="1" applyAlignment="1">
      <alignment horizontal="center" vertical="center"/>
    </xf>
    <xf numFmtId="37" fontId="0" fillId="13" borderId="0" xfId="0" applyNumberFormat="1" applyFill="1" applyAlignment="1">
      <alignment horizontal="center" vertical="center"/>
    </xf>
    <xf numFmtId="0" fontId="44" fillId="13" borderId="4" xfId="0" applyFont="1" applyFill="1" applyBorder="1" applyAlignment="1">
      <alignment horizontal="left" vertical="center"/>
    </xf>
    <xf numFmtId="186" fontId="0" fillId="13" borderId="4" xfId="0" applyNumberFormat="1" applyFill="1" applyBorder="1" applyAlignment="1">
      <alignment horizontal="center" vertical="center"/>
    </xf>
    <xf numFmtId="0" fontId="0" fillId="13" borderId="4" xfId="0" applyFill="1" applyBorder="1"/>
    <xf numFmtId="0" fontId="45" fillId="13" borderId="4" xfId="0" applyFont="1" applyFill="1" applyBorder="1" applyAlignment="1">
      <alignment horizontal="left" vertical="center"/>
    </xf>
    <xf numFmtId="187" fontId="0" fillId="13" borderId="4" xfId="0" applyNumberFormat="1" applyFill="1" applyBorder="1" applyAlignment="1">
      <alignment horizontal="center" vertical="center"/>
    </xf>
    <xf numFmtId="0" fontId="43" fillId="0" borderId="0" xfId="0" applyFont="1"/>
    <xf numFmtId="2" fontId="0" fillId="0" borderId="0" xfId="0" applyNumberFormat="1"/>
    <xf numFmtId="177" fontId="7" fillId="3" borderId="4" xfId="3" applyFont="1" applyFill="1" applyBorder="1" applyAlignment="1">
      <alignment horizontal="left" vertical="center" wrapText="1"/>
    </xf>
    <xf numFmtId="177" fontId="7" fillId="3" borderId="4" xfId="3"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4" xfId="0" applyFont="1" applyFill="1" applyBorder="1" applyAlignment="1">
      <alignment horizontal="center" vertical="center"/>
    </xf>
    <xf numFmtId="0" fontId="16" fillId="8" borderId="4" xfId="0" applyFont="1" applyFill="1" applyBorder="1" applyAlignment="1">
      <alignment vertical="center" wrapText="1"/>
    </xf>
    <xf numFmtId="179" fontId="7" fillId="4" borderId="4" xfId="9" applyNumberFormat="1" applyFont="1" applyFill="1" applyBorder="1" applyAlignment="1">
      <alignment horizontal="center" vertical="center" wrapText="1"/>
    </xf>
    <xf numFmtId="0" fontId="46" fillId="6" borderId="4" xfId="0" applyFont="1" applyFill="1" applyBorder="1" applyAlignment="1">
      <alignment horizontal="left" vertical="center"/>
    </xf>
    <xf numFmtId="0" fontId="46" fillId="0" borderId="4" xfId="0" applyFont="1" applyBorder="1" applyAlignment="1">
      <alignment horizontal="left" vertical="center"/>
    </xf>
    <xf numFmtId="0" fontId="46" fillId="0" borderId="4" xfId="0" applyFont="1" applyBorder="1" applyAlignment="1">
      <alignment horizontal="left" vertical="center" wrapText="1"/>
    </xf>
    <xf numFmtId="0" fontId="46" fillId="2" borderId="4" xfId="0" applyFont="1" applyFill="1" applyBorder="1" applyAlignment="1">
      <alignment horizontal="left" vertical="top" wrapText="1"/>
    </xf>
    <xf numFmtId="0" fontId="0" fillId="2" borderId="4" xfId="0" applyFill="1" applyBorder="1" applyAlignment="1">
      <alignment horizontal="center" vertical="center" wrapText="1"/>
    </xf>
    <xf numFmtId="0" fontId="0" fillId="2" borderId="4" xfId="0" applyFill="1" applyBorder="1" applyAlignment="1">
      <alignment horizontal="center" vertical="center"/>
    </xf>
    <xf numFmtId="1" fontId="0" fillId="2" borderId="4" xfId="0" applyNumberFormat="1" applyFill="1" applyBorder="1" applyAlignment="1">
      <alignment horizontal="center" vertical="center"/>
    </xf>
    <xf numFmtId="178" fontId="0" fillId="2" borderId="4" xfId="1" applyNumberFormat="1" applyFont="1" applyFill="1" applyBorder="1" applyAlignment="1">
      <alignment horizontal="center" vertical="center"/>
    </xf>
    <xf numFmtId="178" fontId="0" fillId="0" borderId="4" xfId="1" applyNumberFormat="1" applyFont="1" applyFill="1" applyBorder="1" applyAlignment="1">
      <alignment horizontal="center" vertical="center"/>
    </xf>
    <xf numFmtId="0" fontId="19" fillId="0" borderId="20" xfId="0" applyFont="1" applyBorder="1" applyAlignment="1">
      <alignment horizontal="center"/>
    </xf>
    <xf numFmtId="0" fontId="19" fillId="14" borderId="20" xfId="0" applyFont="1" applyFill="1" applyBorder="1" applyAlignment="1">
      <alignment horizontal="center"/>
    </xf>
    <xf numFmtId="15" fontId="19" fillId="16" borderId="22" xfId="0" applyNumberFormat="1" applyFont="1" applyFill="1" applyBorder="1" applyAlignment="1">
      <alignment horizontal="center" textRotation="90"/>
    </xf>
    <xf numFmtId="15" fontId="19" fillId="17" borderId="22" xfId="0" applyNumberFormat="1" applyFont="1" applyFill="1" applyBorder="1" applyAlignment="1">
      <alignment horizontal="center" textRotation="90"/>
    </xf>
    <xf numFmtId="0" fontId="47" fillId="0" borderId="0" xfId="0" applyFont="1" applyAlignment="1">
      <alignment horizontal="center" wrapText="1"/>
    </xf>
    <xf numFmtId="0" fontId="47" fillId="0" borderId="0" xfId="0" applyFont="1" applyAlignment="1">
      <alignment horizontal="center" vertical="center"/>
    </xf>
    <xf numFmtId="0" fontId="42" fillId="0" borderId="0" xfId="0" applyFont="1"/>
    <xf numFmtId="0" fontId="48" fillId="0" borderId="0" xfId="0" applyFont="1"/>
    <xf numFmtId="0" fontId="19" fillId="0" borderId="0" xfId="0" applyFont="1" applyAlignment="1">
      <alignment horizontal="center"/>
    </xf>
    <xf numFmtId="0" fontId="52" fillId="0" borderId="0" xfId="0" applyFont="1"/>
    <xf numFmtId="0" fontId="21" fillId="21" borderId="20" xfId="0" applyFont="1" applyFill="1" applyBorder="1"/>
    <xf numFmtId="0" fontId="21" fillId="21" borderId="20" xfId="0" applyFont="1" applyFill="1" applyBorder="1" applyAlignment="1">
      <alignment horizontal="center"/>
    </xf>
    <xf numFmtId="0" fontId="21" fillId="21" borderId="20" xfId="0" applyFont="1" applyFill="1" applyBorder="1" applyAlignment="1">
      <alignment horizontal="center" vertical="center"/>
    </xf>
    <xf numFmtId="184" fontId="21" fillId="21" borderId="20" xfId="0" applyNumberFormat="1" applyFont="1" applyFill="1" applyBorder="1" applyAlignment="1">
      <alignment horizontal="right" vertical="center"/>
    </xf>
    <xf numFmtId="179" fontId="21" fillId="21" borderId="20" xfId="0" applyNumberFormat="1" applyFont="1" applyFill="1" applyBorder="1" applyAlignment="1">
      <alignment horizontal="right" vertical="center"/>
    </xf>
    <xf numFmtId="0" fontId="21" fillId="22" borderId="20" xfId="0" applyFont="1" applyFill="1" applyBorder="1" applyAlignment="1">
      <alignment horizontal="center" vertical="center"/>
    </xf>
    <xf numFmtId="0" fontId="21" fillId="23" borderId="20" xfId="0" applyFont="1" applyFill="1" applyBorder="1" applyAlignment="1">
      <alignment horizontal="center" vertical="center"/>
    </xf>
    <xf numFmtId="179" fontId="21" fillId="24" borderId="20" xfId="0" applyNumberFormat="1" applyFont="1" applyFill="1" applyBorder="1" applyAlignment="1">
      <alignment horizontal="right" vertical="center"/>
    </xf>
    <xf numFmtId="0" fontId="21" fillId="0" borderId="0" xfId="0" applyFont="1"/>
    <xf numFmtId="0" fontId="19" fillId="0" borderId="0" xfId="0" applyFont="1" applyAlignment="1">
      <alignment horizontal="center" vertical="center"/>
    </xf>
    <xf numFmtId="184" fontId="19" fillId="0" borderId="0" xfId="0" applyNumberFormat="1" applyFont="1" applyAlignment="1">
      <alignment horizontal="right" vertical="center"/>
    </xf>
    <xf numFmtId="179" fontId="19" fillId="0" borderId="0" xfId="0" applyNumberFormat="1" applyFont="1" applyAlignment="1">
      <alignment horizontal="right" vertical="center"/>
    </xf>
    <xf numFmtId="0" fontId="19" fillId="0" borderId="0" xfId="0" applyFont="1"/>
    <xf numFmtId="0" fontId="19" fillId="14" borderId="0" xfId="0" applyFont="1" applyFill="1"/>
    <xf numFmtId="1" fontId="21" fillId="21" borderId="20" xfId="0" applyNumberFormat="1" applyFont="1" applyFill="1" applyBorder="1" applyAlignment="1">
      <alignment horizontal="center" vertical="center"/>
    </xf>
    <xf numFmtId="184" fontId="21" fillId="21" borderId="25" xfId="0" applyNumberFormat="1" applyFont="1" applyFill="1" applyBorder="1" applyAlignment="1">
      <alignment horizontal="right" vertical="center"/>
    </xf>
    <xf numFmtId="179" fontId="54" fillId="21" borderId="19" xfId="0" applyNumberFormat="1" applyFont="1" applyFill="1" applyBorder="1" applyAlignment="1">
      <alignment horizontal="right" vertical="center"/>
    </xf>
    <xf numFmtId="0" fontId="21" fillId="14" borderId="0" xfId="0" applyFont="1" applyFill="1"/>
    <xf numFmtId="1" fontId="21" fillId="21" borderId="24" xfId="0" applyNumberFormat="1" applyFont="1" applyFill="1" applyBorder="1" applyAlignment="1">
      <alignment horizontal="center" vertical="center"/>
    </xf>
    <xf numFmtId="184" fontId="21" fillId="21" borderId="20" xfId="0" applyNumberFormat="1" applyFont="1" applyFill="1" applyBorder="1" applyAlignment="1">
      <alignment horizontal="center" vertical="center"/>
    </xf>
    <xf numFmtId="179" fontId="19" fillId="21" borderId="20" xfId="0" applyNumberFormat="1" applyFont="1" applyFill="1" applyBorder="1" applyAlignment="1">
      <alignment horizontal="right" vertical="center"/>
    </xf>
    <xf numFmtId="180" fontId="19" fillId="0" borderId="0" xfId="0" applyNumberFormat="1" applyFont="1"/>
    <xf numFmtId="1" fontId="17" fillId="21" borderId="24" xfId="0" applyNumberFormat="1" applyFont="1" applyFill="1" applyBorder="1" applyAlignment="1">
      <alignment horizontal="center" vertical="center"/>
    </xf>
    <xf numFmtId="179" fontId="19" fillId="0" borderId="0" xfId="0" applyNumberFormat="1" applyFont="1"/>
    <xf numFmtId="2" fontId="19" fillId="0" borderId="0" xfId="0" applyNumberFormat="1" applyFont="1"/>
    <xf numFmtId="0" fontId="21" fillId="21" borderId="20" xfId="0" applyFont="1" applyFill="1" applyBorder="1" applyAlignment="1">
      <alignment horizontal="center" vertical="center" wrapText="1"/>
    </xf>
    <xf numFmtId="179" fontId="54" fillId="21" borderId="20" xfId="0" applyNumberFormat="1" applyFont="1" applyFill="1" applyBorder="1" applyAlignment="1">
      <alignment horizontal="right" vertical="center" wrapText="1"/>
    </xf>
    <xf numFmtId="184" fontId="21" fillId="21" borderId="20" xfId="0" applyNumberFormat="1" applyFont="1" applyFill="1" applyBorder="1" applyAlignment="1">
      <alignment horizontal="center" vertical="center" wrapText="1"/>
    </xf>
    <xf numFmtId="179" fontId="54" fillId="21" borderId="20" xfId="0" applyNumberFormat="1" applyFont="1" applyFill="1" applyBorder="1" applyAlignment="1">
      <alignment horizontal="right" vertical="center"/>
    </xf>
    <xf numFmtId="0" fontId="19" fillId="0" borderId="0" xfId="0" applyFont="1" applyAlignment="1">
      <alignment horizontal="left"/>
    </xf>
    <xf numFmtId="184" fontId="47" fillId="0" borderId="0" xfId="0" applyNumberFormat="1" applyFont="1" applyAlignment="1">
      <alignment horizontal="right" vertical="center"/>
    </xf>
    <xf numFmtId="179" fontId="47" fillId="0" borderId="0" xfId="0" applyNumberFormat="1" applyFont="1" applyAlignment="1">
      <alignment horizontal="right" vertical="center"/>
    </xf>
    <xf numFmtId="0" fontId="55" fillId="0" borderId="0" xfId="0" applyFont="1"/>
    <xf numFmtId="2" fontId="21" fillId="0" borderId="0" xfId="0" applyNumberFormat="1" applyFont="1"/>
    <xf numFmtId="0" fontId="56" fillId="0" borderId="0" xfId="0" applyFont="1" applyAlignment="1">
      <alignment horizontal="left"/>
    </xf>
    <xf numFmtId="0" fontId="47" fillId="0" borderId="0" xfId="0" applyFont="1" applyAlignment="1">
      <alignment horizontal="center"/>
    </xf>
    <xf numFmtId="188"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pivotButton="1"/>
    <xf numFmtId="0" fontId="34" fillId="7" borderId="4" xfId="0" applyFont="1" applyFill="1" applyBorder="1" applyAlignment="1">
      <alignment horizontal="left" vertical="top" wrapText="1"/>
    </xf>
    <xf numFmtId="0" fontId="38" fillId="7" borderId="4" xfId="0" applyFont="1" applyFill="1" applyBorder="1" applyAlignment="1">
      <alignment horizontal="left" vertical="top" wrapText="1"/>
    </xf>
    <xf numFmtId="0" fontId="58" fillId="0" borderId="0" xfId="0" applyFont="1"/>
    <xf numFmtId="0" fontId="58" fillId="0" borderId="0" xfId="0" applyFont="1" applyAlignment="1">
      <alignment vertical="center"/>
    </xf>
    <xf numFmtId="0" fontId="58" fillId="7" borderId="4" xfId="0" applyFont="1" applyFill="1" applyBorder="1" applyAlignment="1">
      <alignment horizontal="left" vertical="top" wrapText="1"/>
    </xf>
    <xf numFmtId="0" fontId="11" fillId="0" borderId="0" xfId="0" applyFont="1" applyAlignment="1">
      <alignment horizontal="center" vertical="center"/>
    </xf>
    <xf numFmtId="0" fontId="58" fillId="25" borderId="0" xfId="0" applyFont="1" applyFill="1"/>
    <xf numFmtId="0" fontId="11" fillId="25" borderId="0" xfId="0" applyFont="1" applyFill="1"/>
    <xf numFmtId="0" fontId="11" fillId="25" borderId="0" xfId="0" applyFont="1" applyFill="1" applyAlignment="1">
      <alignment horizontal="center" vertical="center"/>
    </xf>
    <xf numFmtId="1" fontId="11" fillId="25" borderId="0" xfId="0" applyNumberFormat="1" applyFont="1" applyFill="1" applyAlignment="1">
      <alignment horizontal="center" vertical="center"/>
    </xf>
    <xf numFmtId="0" fontId="23" fillId="25" borderId="4" xfId="0" applyFont="1" applyFill="1" applyBorder="1" applyAlignment="1">
      <alignment horizontal="center" vertical="center" wrapText="1"/>
    </xf>
    <xf numFmtId="1" fontId="23" fillId="25" borderId="4" xfId="0" applyNumberFormat="1" applyFont="1" applyFill="1" applyBorder="1" applyAlignment="1">
      <alignment horizontal="center" vertical="center" wrapText="1"/>
    </xf>
    <xf numFmtId="0" fontId="23" fillId="25" borderId="4" xfId="0" applyFont="1" applyFill="1" applyBorder="1" applyAlignment="1">
      <alignment vertical="center" wrapText="1"/>
    </xf>
    <xf numFmtId="1" fontId="23" fillId="25" borderId="4" xfId="0" applyNumberFormat="1" applyFont="1" applyFill="1" applyBorder="1" applyAlignment="1">
      <alignment vertical="center" wrapText="1"/>
    </xf>
    <xf numFmtId="0" fontId="62" fillId="26" borderId="4" xfId="0" applyFont="1" applyFill="1" applyBorder="1" applyAlignment="1">
      <alignment horizontal="center" vertical="center" wrapText="1"/>
    </xf>
    <xf numFmtId="0" fontId="62" fillId="26" borderId="4" xfId="0" applyFont="1" applyFill="1" applyBorder="1" applyAlignment="1">
      <alignment vertical="center" wrapText="1"/>
    </xf>
    <xf numFmtId="0" fontId="38" fillId="25" borderId="4" xfId="0" applyFont="1" applyFill="1" applyBorder="1" applyAlignment="1">
      <alignment vertical="center" wrapText="1"/>
    </xf>
    <xf numFmtId="0" fontId="23" fillId="13" borderId="4" xfId="0" applyFont="1" applyFill="1" applyBorder="1" applyAlignment="1">
      <alignment horizontal="left" vertical="center" wrapText="1"/>
    </xf>
    <xf numFmtId="0" fontId="0" fillId="13" borderId="0" xfId="0" applyFill="1"/>
    <xf numFmtId="0" fontId="23" fillId="25" borderId="4" xfId="0" applyFont="1" applyFill="1" applyBorder="1" applyAlignment="1">
      <alignment horizontal="left" vertical="center" wrapText="1"/>
    </xf>
    <xf numFmtId="1" fontId="40" fillId="7" borderId="5" xfId="0" applyNumberFormat="1" applyFont="1" applyFill="1" applyBorder="1" applyAlignment="1">
      <alignment horizontal="left" vertical="top" wrapText="1"/>
    </xf>
    <xf numFmtId="0" fontId="40" fillId="7" borderId="8" xfId="0" applyFont="1" applyFill="1" applyBorder="1" applyAlignment="1">
      <alignment horizontal="left" vertical="top" wrapText="1"/>
    </xf>
    <xf numFmtId="0" fontId="40" fillId="7" borderId="4" xfId="0" applyFont="1" applyFill="1" applyBorder="1" applyAlignment="1">
      <alignment horizontal="left" vertical="top" wrapText="1"/>
    </xf>
    <xf numFmtId="0" fontId="40" fillId="7" borderId="3" xfId="0" applyFont="1" applyFill="1" applyBorder="1" applyAlignment="1">
      <alignment horizontal="left" vertical="top" wrapText="1"/>
    </xf>
    <xf numFmtId="0" fontId="40" fillId="7" borderId="4" xfId="0" applyFont="1" applyFill="1" applyBorder="1" applyAlignment="1">
      <alignment horizontal="left" vertical="center" wrapText="1"/>
    </xf>
    <xf numFmtId="0" fontId="40" fillId="15" borderId="4" xfId="0" applyFont="1" applyFill="1" applyBorder="1" applyAlignment="1">
      <alignment horizontal="left" vertical="center" wrapText="1"/>
    </xf>
    <xf numFmtId="0" fontId="40" fillId="25" borderId="4" xfId="0" applyFont="1" applyFill="1" applyBorder="1" applyAlignment="1">
      <alignment vertical="center" wrapText="1"/>
    </xf>
    <xf numFmtId="0" fontId="40" fillId="25" borderId="4" xfId="0" applyFont="1" applyFill="1" applyBorder="1" applyAlignment="1">
      <alignment horizontal="center" vertical="center" wrapText="1"/>
    </xf>
    <xf numFmtId="1" fontId="40" fillId="25" borderId="4" xfId="0" applyNumberFormat="1" applyFont="1" applyFill="1" applyBorder="1" applyAlignment="1">
      <alignment horizontal="center" vertical="center" wrapText="1"/>
    </xf>
    <xf numFmtId="0" fontId="66" fillId="0" borderId="0" xfId="0" applyFont="1"/>
    <xf numFmtId="1" fontId="11" fillId="7" borderId="5" xfId="0" applyNumberFormat="1" applyFont="1" applyFill="1" applyBorder="1" applyAlignment="1">
      <alignment horizontal="left" vertical="top" wrapText="1"/>
    </xf>
    <xf numFmtId="0" fontId="11" fillId="7" borderId="8" xfId="0" applyFont="1" applyFill="1" applyBorder="1" applyAlignment="1">
      <alignment horizontal="left" vertical="top" wrapText="1"/>
    </xf>
    <xf numFmtId="0" fontId="11" fillId="7" borderId="4" xfId="0" applyFont="1" applyFill="1" applyBorder="1" applyAlignment="1">
      <alignment horizontal="center" vertical="center" wrapText="1"/>
    </xf>
    <xf numFmtId="0" fontId="11" fillId="7" borderId="4" xfId="0" applyFont="1" applyFill="1" applyBorder="1" applyAlignment="1">
      <alignment horizontal="left" vertical="center" wrapText="1"/>
    </xf>
    <xf numFmtId="0" fontId="11" fillId="7" borderId="10" xfId="0" applyFont="1" applyFill="1" applyBorder="1" applyAlignment="1">
      <alignment horizontal="center" vertical="center" wrapText="1"/>
    </xf>
    <xf numFmtId="0" fontId="11" fillId="25" borderId="4" xfId="0" applyFont="1" applyFill="1" applyBorder="1" applyAlignment="1">
      <alignment vertical="center" wrapText="1"/>
    </xf>
    <xf numFmtId="0" fontId="11" fillId="25" borderId="4" xfId="0" applyFont="1" applyFill="1" applyBorder="1" applyAlignment="1">
      <alignment horizontal="center" vertical="center" wrapText="1"/>
    </xf>
    <xf numFmtId="1" fontId="11" fillId="25" borderId="4" xfId="0" applyNumberFormat="1" applyFont="1" applyFill="1" applyBorder="1" applyAlignment="1">
      <alignment horizontal="center" vertical="center" wrapText="1"/>
    </xf>
    <xf numFmtId="0" fontId="38" fillId="7" borderId="3" xfId="0" applyFont="1" applyFill="1" applyBorder="1" applyAlignment="1">
      <alignment horizontal="left" vertical="top" wrapText="1"/>
    </xf>
    <xf numFmtId="0" fontId="31" fillId="7" borderId="4" xfId="0" applyFont="1" applyFill="1" applyBorder="1" applyAlignment="1">
      <alignment horizontal="left" vertical="top" wrapText="1"/>
    </xf>
    <xf numFmtId="0" fontId="67" fillId="7" borderId="4" xfId="0" applyFont="1" applyFill="1" applyBorder="1" applyAlignment="1">
      <alignment vertical="center" wrapText="1"/>
    </xf>
    <xf numFmtId="1" fontId="11" fillId="7" borderId="3" xfId="0" applyNumberFormat="1" applyFont="1" applyFill="1" applyBorder="1" applyAlignment="1">
      <alignment horizontal="left" vertical="top" wrapText="1"/>
    </xf>
    <xf numFmtId="0" fontId="11" fillId="7" borderId="7" xfId="0" applyFont="1" applyFill="1" applyBorder="1" applyAlignment="1">
      <alignment horizontal="left" vertical="top" wrapText="1"/>
    </xf>
    <xf numFmtId="0" fontId="68" fillId="7" borderId="4" xfId="0" applyFont="1" applyFill="1" applyBorder="1" applyAlignment="1">
      <alignment horizontal="center" vertical="center" wrapText="1"/>
    </xf>
    <xf numFmtId="0" fontId="11" fillId="7" borderId="4" xfId="0" applyFont="1" applyFill="1" applyBorder="1" applyAlignment="1">
      <alignment vertical="center" wrapText="1"/>
    </xf>
    <xf numFmtId="0" fontId="31" fillId="7" borderId="3" xfId="0" applyFont="1" applyFill="1" applyBorder="1" applyAlignment="1">
      <alignment horizontal="left" vertical="top" wrapText="1"/>
    </xf>
    <xf numFmtId="0" fontId="70" fillId="25" borderId="4" xfId="0" applyFont="1" applyFill="1" applyBorder="1" applyAlignment="1">
      <alignment horizontal="center" vertical="center" wrapText="1"/>
    </xf>
    <xf numFmtId="0" fontId="70" fillId="7" borderId="4" xfId="0" applyFont="1" applyFill="1" applyBorder="1" applyAlignment="1">
      <alignment horizontal="left" vertical="top" wrapText="1"/>
    </xf>
    <xf numFmtId="0" fontId="38" fillId="7" borderId="4" xfId="0" applyFont="1" applyFill="1" applyBorder="1" applyAlignment="1">
      <alignment horizontal="left" vertical="center" wrapText="1"/>
    </xf>
    <xf numFmtId="0" fontId="11" fillId="7" borderId="12" xfId="0" applyFont="1" applyFill="1" applyBorder="1" applyAlignment="1">
      <alignment horizontal="left" vertical="center" wrapText="1"/>
    </xf>
    <xf numFmtId="0" fontId="58" fillId="7" borderId="4" xfId="0" applyFont="1" applyFill="1" applyBorder="1" applyAlignment="1">
      <alignment horizontal="left" vertical="center" wrapText="1"/>
    </xf>
    <xf numFmtId="0" fontId="38" fillId="7" borderId="12" xfId="0" applyFont="1" applyFill="1" applyBorder="1" applyAlignment="1">
      <alignment horizontal="left" vertical="center" wrapText="1"/>
    </xf>
    <xf numFmtId="0" fontId="23" fillId="7" borderId="6" xfId="0" applyFont="1" applyFill="1" applyBorder="1" applyAlignment="1">
      <alignment horizontal="left" vertical="center" wrapText="1"/>
    </xf>
    <xf numFmtId="0" fontId="11" fillId="25" borderId="0" xfId="0" applyFont="1" applyFill="1" applyAlignment="1">
      <alignment horizontal="left" vertical="center" wrapText="1"/>
    </xf>
    <xf numFmtId="0" fontId="38" fillId="7" borderId="18" xfId="0" applyFont="1" applyFill="1" applyBorder="1" applyAlignment="1">
      <alignment horizontal="left" vertical="top" wrapText="1"/>
    </xf>
    <xf numFmtId="0" fontId="41" fillId="9" borderId="4" xfId="21" applyNumberFormat="1" applyFont="1" applyFill="1" applyBorder="1" applyAlignment="1">
      <alignment horizontal="center" vertical="center" wrapText="1"/>
    </xf>
    <xf numFmtId="0" fontId="72" fillId="27" borderId="4" xfId="24" applyFont="1" applyFill="1" applyBorder="1" applyAlignment="1">
      <alignment horizontal="center" vertical="center" wrapText="1"/>
    </xf>
    <xf numFmtId="0" fontId="71" fillId="0" borderId="0" xfId="24"/>
    <xf numFmtId="0" fontId="71" fillId="0" borderId="4" xfId="24" applyBorder="1" applyAlignment="1">
      <alignment horizontal="center" vertical="center"/>
    </xf>
    <xf numFmtId="0" fontId="71" fillId="0" borderId="4" xfId="24" applyBorder="1" applyAlignment="1">
      <alignment horizontal="center" vertical="center" wrapText="1"/>
    </xf>
    <xf numFmtId="0" fontId="71" fillId="0" borderId="4" xfId="24" applyBorder="1" applyAlignment="1">
      <alignment horizontal="left" vertical="center" wrapText="1"/>
    </xf>
    <xf numFmtId="189" fontId="73" fillId="0" borderId="4" xfId="24" applyNumberFormat="1" applyFont="1" applyBorder="1" applyAlignment="1">
      <alignment horizontal="center" vertical="center" wrapText="1"/>
    </xf>
    <xf numFmtId="9" fontId="71" fillId="0" borderId="4" xfId="24" applyNumberFormat="1" applyBorder="1" applyAlignment="1">
      <alignment horizontal="center" vertical="center"/>
    </xf>
    <xf numFmtId="0" fontId="74" fillId="0" borderId="4" xfId="24" applyFont="1" applyBorder="1" applyAlignment="1">
      <alignment vertical="center" wrapText="1"/>
    </xf>
    <xf numFmtId="189" fontId="73" fillId="0" borderId="0" xfId="24" applyNumberFormat="1" applyFont="1" applyAlignment="1">
      <alignment horizontal="center" vertical="center" wrapText="1"/>
    </xf>
    <xf numFmtId="9" fontId="71" fillId="0" borderId="0" xfId="24" applyNumberFormat="1" applyAlignment="1">
      <alignment horizontal="center" vertical="center"/>
    </xf>
    <xf numFmtId="0" fontId="74" fillId="0" borderId="0" xfId="24" applyFont="1" applyAlignment="1">
      <alignment vertical="center" wrapText="1"/>
    </xf>
    <xf numFmtId="0" fontId="77" fillId="27" borderId="4" xfId="24" applyFont="1" applyFill="1" applyBorder="1" applyAlignment="1">
      <alignment horizontal="center" vertical="center" wrapText="1"/>
    </xf>
    <xf numFmtId="0" fontId="79" fillId="0" borderId="4" xfId="24" applyFont="1" applyBorder="1" applyAlignment="1">
      <alignment horizontal="center" vertical="center" wrapText="1"/>
    </xf>
    <xf numFmtId="0" fontId="71" fillId="0" borderId="37" xfId="24" applyBorder="1" applyAlignment="1">
      <alignment horizontal="center" vertical="center" wrapText="1"/>
    </xf>
    <xf numFmtId="0" fontId="71" fillId="0" borderId="0" xfId="24" applyAlignment="1">
      <alignment horizontal="center" vertical="center"/>
    </xf>
    <xf numFmtId="0" fontId="80" fillId="0" borderId="0" xfId="24" applyFont="1"/>
    <xf numFmtId="0" fontId="0" fillId="0" borderId="0" xfId="0" applyAlignment="1">
      <alignment wrapText="1"/>
    </xf>
    <xf numFmtId="0" fontId="71" fillId="0" borderId="0" xfId="24" applyAlignment="1">
      <alignment horizontal="center" vertical="top" wrapText="1"/>
    </xf>
    <xf numFmtId="0" fontId="81" fillId="27" borderId="4" xfId="24" applyFont="1" applyFill="1" applyBorder="1" applyAlignment="1">
      <alignment horizontal="center" vertical="center" wrapText="1"/>
    </xf>
    <xf numFmtId="0" fontId="0" fillId="0" borderId="0" xfId="0" applyAlignment="1">
      <alignment horizontal="center" vertical="center" wrapText="1"/>
    </xf>
    <xf numFmtId="177" fontId="7" fillId="3" borderId="0" xfId="21" applyFont="1" applyFill="1" applyAlignment="1">
      <alignment horizontal="left" vertical="center" wrapText="1"/>
    </xf>
    <xf numFmtId="0" fontId="82" fillId="5" borderId="0" xfId="18" applyFont="1" applyFill="1" applyAlignment="1">
      <alignment horizontal="left" vertical="center" wrapText="1"/>
    </xf>
    <xf numFmtId="0" fontId="17" fillId="0" borderId="0" xfId="0" applyFont="1" applyAlignment="1">
      <alignment horizontal="left" vertical="center" wrapText="1"/>
    </xf>
    <xf numFmtId="0" fontId="17" fillId="0" borderId="0" xfId="0" applyFont="1" applyAlignment="1">
      <alignment wrapText="1"/>
    </xf>
    <xf numFmtId="0" fontId="17" fillId="0" borderId="4" xfId="0" applyFont="1" applyBorder="1" applyAlignment="1">
      <alignment horizontal="center"/>
    </xf>
    <xf numFmtId="0" fontId="0" fillId="2" borderId="0" xfId="0" applyFill="1" applyAlignment="1">
      <alignment horizontal="left" vertical="center"/>
    </xf>
    <xf numFmtId="0" fontId="17" fillId="0" borderId="0" xfId="0" applyFont="1" applyAlignment="1">
      <alignment horizontal="left" vertical="center"/>
    </xf>
    <xf numFmtId="0" fontId="0" fillId="0" borderId="0" xfId="0" applyAlignment="1">
      <alignment horizontal="left" vertical="center" wrapText="1"/>
    </xf>
    <xf numFmtId="178" fontId="0" fillId="0" borderId="4" xfId="0" applyNumberFormat="1" applyBorder="1"/>
    <xf numFmtId="177" fontId="7" fillId="3" borderId="4" xfId="21" applyFont="1" applyFill="1" applyBorder="1" applyAlignment="1">
      <alignment horizontal="left" vertical="center" wrapText="1"/>
    </xf>
    <xf numFmtId="177" fontId="7" fillId="3" borderId="12" xfId="21" applyFont="1" applyFill="1" applyBorder="1" applyAlignment="1">
      <alignment horizontal="center" vertical="center" wrapText="1"/>
    </xf>
    <xf numFmtId="177" fontId="7" fillId="3" borderId="4" xfId="21" applyFont="1" applyFill="1" applyBorder="1" applyAlignment="1">
      <alignment horizontal="center" vertical="center" wrapText="1"/>
    </xf>
    <xf numFmtId="0" fontId="0" fillId="6" borderId="4" xfId="0" applyFill="1"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left" vertical="center" wrapText="1"/>
    </xf>
    <xf numFmtId="0" fontId="0" fillId="2" borderId="12" xfId="0" applyFill="1" applyBorder="1" applyAlignment="1">
      <alignment horizontal="left" vertical="top" wrapText="1"/>
    </xf>
    <xf numFmtId="178" fontId="0" fillId="2" borderId="4" xfId="1" applyNumberFormat="1" applyFont="1" applyFill="1" applyBorder="1" applyAlignment="1">
      <alignment horizontal="center"/>
    </xf>
    <xf numFmtId="177" fontId="20" fillId="10" borderId="10" xfId="21" applyFont="1" applyFill="1" applyBorder="1" applyAlignment="1">
      <alignment horizontal="center" vertical="center" wrapText="1"/>
    </xf>
    <xf numFmtId="177" fontId="20" fillId="9" borderId="5" xfId="21" applyFont="1" applyFill="1" applyBorder="1" applyAlignment="1">
      <alignment horizontal="center" vertical="center"/>
    </xf>
    <xf numFmtId="177" fontId="20" fillId="9" borderId="5" xfId="21" applyFont="1" applyFill="1" applyBorder="1" applyAlignment="1">
      <alignment horizontal="center" vertical="center" wrapText="1"/>
    </xf>
    <xf numFmtId="177" fontId="32" fillId="9" borderId="5" xfId="21" applyFont="1" applyFill="1" applyBorder="1" applyAlignment="1">
      <alignment horizontal="left" vertical="center" wrapText="1"/>
    </xf>
    <xf numFmtId="177" fontId="20" fillId="9" borderId="5" xfId="21" applyFont="1" applyFill="1" applyBorder="1" applyAlignment="1">
      <alignment horizontal="left" vertical="center" wrapText="1"/>
    </xf>
    <xf numFmtId="177" fontId="32" fillId="9" borderId="5" xfId="21" applyFont="1" applyFill="1" applyBorder="1" applyAlignment="1">
      <alignment horizontal="center" vertical="center" wrapText="1"/>
    </xf>
    <xf numFmtId="177" fontId="20" fillId="14" borderId="5" xfId="21" applyFont="1" applyFill="1" applyBorder="1" applyAlignment="1">
      <alignment horizontal="center" vertical="center" wrapText="1"/>
    </xf>
    <xf numFmtId="177" fontId="57" fillId="9" borderId="4" xfId="21" applyFont="1" applyFill="1" applyBorder="1" applyAlignment="1">
      <alignment horizontal="center" vertical="center" wrapText="1"/>
    </xf>
    <xf numFmtId="177" fontId="41" fillId="9" borderId="4" xfId="21" applyFont="1" applyFill="1" applyBorder="1" applyAlignment="1">
      <alignment horizontal="center" vertical="center" wrapText="1"/>
    </xf>
    <xf numFmtId="177" fontId="61" fillId="9" borderId="4" xfId="21" applyFont="1" applyFill="1" applyBorder="1" applyAlignment="1">
      <alignment horizontal="center" vertical="center" wrapText="1"/>
    </xf>
    <xf numFmtId="0" fontId="71" fillId="0" borderId="0" xfId="24" applyAlignment="1">
      <alignment horizontal="center" vertical="top"/>
    </xf>
    <xf numFmtId="0" fontId="71" fillId="0" borderId="0" xfId="24" applyAlignment="1">
      <alignment horizontal="center"/>
    </xf>
    <xf numFmtId="0" fontId="83" fillId="0" borderId="0" xfId="24" applyFont="1" applyAlignment="1">
      <alignment horizontal="center"/>
    </xf>
    <xf numFmtId="0" fontId="71" fillId="0" borderId="3" xfId="24" applyBorder="1" applyAlignment="1">
      <alignment horizontal="right" vertical="center" wrapText="1"/>
    </xf>
    <xf numFmtId="0" fontId="71" fillId="0" borderId="3" xfId="24" applyBorder="1" applyAlignment="1">
      <alignment vertical="center"/>
    </xf>
    <xf numFmtId="0" fontId="84" fillId="27" borderId="4" xfId="24" applyFont="1" applyFill="1" applyBorder="1" applyAlignment="1">
      <alignment horizontal="center" vertical="center" wrapText="1"/>
    </xf>
    <xf numFmtId="0" fontId="72" fillId="27" borderId="4" xfId="24" applyFont="1" applyFill="1" applyBorder="1" applyAlignment="1">
      <alignment vertical="center" wrapText="1"/>
    </xf>
    <xf numFmtId="0" fontId="72" fillId="27" borderId="17" xfId="24" applyFont="1" applyFill="1" applyBorder="1" applyAlignment="1">
      <alignment horizontal="center" vertical="center" wrapText="1"/>
    </xf>
    <xf numFmtId="0" fontId="85" fillId="0" borderId="4" xfId="24" applyFont="1" applyBorder="1" applyAlignment="1">
      <alignment horizontal="center" vertical="center" wrapText="1"/>
    </xf>
    <xf numFmtId="0" fontId="86" fillId="0" borderId="4" xfId="24" applyFont="1" applyBorder="1" applyAlignment="1">
      <alignment vertical="center" wrapText="1"/>
    </xf>
    <xf numFmtId="0" fontId="71" fillId="0" borderId="4" xfId="24" applyBorder="1" applyAlignment="1">
      <alignment vertical="center"/>
    </xf>
    <xf numFmtId="40" fontId="73" fillId="0" borderId="4" xfId="24" applyNumberFormat="1" applyFont="1" applyBorder="1" applyAlignment="1">
      <alignment horizontal="right" vertical="center" wrapText="1"/>
    </xf>
    <xf numFmtId="40" fontId="71" fillId="0" borderId="4" xfId="24" applyNumberFormat="1" applyBorder="1" applyAlignment="1">
      <alignment horizontal="right" vertical="center"/>
    </xf>
    <xf numFmtId="0" fontId="74" fillId="0" borderId="4" xfId="24" applyFont="1" applyBorder="1" applyAlignment="1">
      <alignment horizontal="left" vertical="center" wrapText="1"/>
    </xf>
    <xf numFmtId="0" fontId="71" fillId="0" borderId="4" xfId="24" applyBorder="1" applyAlignment="1">
      <alignment horizontal="center" vertical="top" wrapText="1"/>
    </xf>
    <xf numFmtId="0" fontId="85" fillId="0" borderId="4" xfId="24" applyFont="1" applyBorder="1" applyAlignment="1">
      <alignment vertical="center" wrapText="1"/>
    </xf>
    <xf numFmtId="0" fontId="85" fillId="0" borderId="4" xfId="24" applyFont="1" applyBorder="1" applyAlignment="1">
      <alignment wrapText="1"/>
    </xf>
    <xf numFmtId="0" fontId="48" fillId="0" borderId="4" xfId="24" applyFont="1" applyBorder="1" applyAlignment="1">
      <alignment horizontal="left" vertical="center" wrapText="1"/>
    </xf>
    <xf numFmtId="0" fontId="87" fillId="0" borderId="4" xfId="24" applyFont="1" applyBorder="1" applyAlignment="1">
      <alignment horizontal="left" vertical="center" wrapText="1"/>
    </xf>
    <xf numFmtId="0" fontId="85" fillId="0" borderId="4" xfId="24" applyFont="1" applyBorder="1" applyAlignment="1">
      <alignment horizontal="left" vertical="center" wrapText="1"/>
    </xf>
    <xf numFmtId="40" fontId="73" fillId="0" borderId="0" xfId="24" applyNumberFormat="1" applyFont="1" applyAlignment="1">
      <alignment vertical="center" wrapText="1"/>
    </xf>
    <xf numFmtId="0" fontId="71" fillId="0" borderId="4" xfId="24" applyBorder="1" applyAlignment="1">
      <alignment horizontal="left"/>
    </xf>
    <xf numFmtId="190" fontId="71" fillId="0" borderId="4" xfId="24" applyNumberFormat="1" applyBorder="1" applyAlignment="1">
      <alignment horizontal="right" vertical="center"/>
    </xf>
    <xf numFmtId="191" fontId="71" fillId="0" borderId="4" xfId="24" applyNumberFormat="1" applyBorder="1" applyAlignment="1">
      <alignment vertical="center"/>
    </xf>
    <xf numFmtId="0" fontId="71" fillId="0" borderId="4" xfId="24" applyBorder="1" applyAlignment="1">
      <alignment horizontal="left" vertical="center"/>
    </xf>
    <xf numFmtId="0" fontId="71" fillId="13" borderId="4" xfId="24" applyFill="1" applyBorder="1" applyAlignment="1">
      <alignment horizontal="center"/>
    </xf>
    <xf numFmtId="40" fontId="71" fillId="13" borderId="4" xfId="24" applyNumberFormat="1" applyFill="1" applyBorder="1" applyAlignment="1">
      <alignment horizontal="center"/>
    </xf>
    <xf numFmtId="189" fontId="71" fillId="13" borderId="4" xfId="24" applyNumberFormat="1" applyFill="1" applyBorder="1" applyAlignment="1">
      <alignment horizontal="right"/>
    </xf>
    <xf numFmtId="0" fontId="71" fillId="13" borderId="4" xfId="24" applyFill="1" applyBorder="1" applyAlignment="1">
      <alignment horizontal="center" vertical="center"/>
    </xf>
    <xf numFmtId="189" fontId="71" fillId="0" borderId="0" xfId="24" applyNumberFormat="1"/>
    <xf numFmtId="40" fontId="71" fillId="0" borderId="0" xfId="24" applyNumberFormat="1"/>
    <xf numFmtId="0" fontId="41" fillId="9" borderId="12" xfId="21" applyNumberFormat="1" applyFont="1" applyFill="1" applyBorder="1" applyAlignment="1">
      <alignment horizontal="center" vertical="center" wrapText="1"/>
    </xf>
    <xf numFmtId="0" fontId="71" fillId="0" borderId="0" xfId="24" applyAlignment="1" applyProtection="1">
      <alignment horizontal="center" vertical="top" wrapText="1"/>
      <protection locked="0"/>
    </xf>
    <xf numFmtId="0" fontId="71" fillId="0" borderId="4" xfId="24" applyBorder="1" applyAlignment="1" applyProtection="1">
      <alignment horizontal="center" vertical="center"/>
      <protection locked="0"/>
    </xf>
    <xf numFmtId="0" fontId="71" fillId="0" borderId="4" xfId="24" applyBorder="1" applyAlignment="1" applyProtection="1">
      <alignment horizontal="center" vertical="center" wrapText="1"/>
      <protection locked="0"/>
    </xf>
    <xf numFmtId="0" fontId="79" fillId="0" borderId="4" xfId="24" applyFont="1" applyBorder="1" applyAlignment="1" applyProtection="1">
      <alignment horizontal="center" vertical="center" wrapText="1"/>
      <protection locked="0"/>
    </xf>
    <xf numFmtId="0" fontId="71" fillId="0" borderId="0" xfId="24" applyAlignment="1" applyProtection="1">
      <alignment horizontal="center" vertical="top"/>
      <protection locked="0"/>
    </xf>
    <xf numFmtId="0" fontId="71" fillId="0" borderId="0" xfId="24" applyProtection="1">
      <protection locked="0"/>
    </xf>
    <xf numFmtId="0" fontId="71" fillId="0" borderId="0" xfId="24" applyAlignment="1" applyProtection="1">
      <alignment wrapText="1"/>
      <protection locked="0"/>
    </xf>
    <xf numFmtId="0" fontId="6" fillId="0" borderId="0" xfId="25"/>
    <xf numFmtId="0" fontId="11" fillId="25" borderId="0" xfId="25" applyFont="1" applyFill="1" applyAlignment="1">
      <alignment horizontal="left" vertical="center" wrapText="1"/>
    </xf>
    <xf numFmtId="0" fontId="11" fillId="25" borderId="0" xfId="25" applyFont="1" applyFill="1" applyAlignment="1">
      <alignment horizontal="center" vertical="center"/>
    </xf>
    <xf numFmtId="1" fontId="11" fillId="25" borderId="0" xfId="25" applyNumberFormat="1" applyFont="1" applyFill="1" applyAlignment="1">
      <alignment horizontal="center" vertical="center"/>
    </xf>
    <xf numFmtId="0" fontId="11" fillId="25" borderId="0" xfId="25" applyFont="1" applyFill="1"/>
    <xf numFmtId="0" fontId="58" fillId="25" borderId="0" xfId="25" applyFont="1" applyFill="1"/>
    <xf numFmtId="0" fontId="6" fillId="0" borderId="0" xfId="25" applyAlignment="1">
      <alignment horizontal="left" vertical="center"/>
    </xf>
    <xf numFmtId="0" fontId="6" fillId="0" borderId="0" xfId="25" applyAlignment="1">
      <alignment horizontal="center" vertical="center"/>
    </xf>
    <xf numFmtId="0" fontId="6" fillId="0" borderId="0" xfId="25" applyAlignment="1">
      <alignment horizontal="left"/>
    </xf>
    <xf numFmtId="0" fontId="6" fillId="0" borderId="12" xfId="25" applyBorder="1" applyAlignment="1">
      <alignment wrapText="1"/>
    </xf>
    <xf numFmtId="0" fontId="6" fillId="0" borderId="10" xfId="25" applyBorder="1" applyAlignment="1">
      <alignment wrapText="1"/>
    </xf>
    <xf numFmtId="0" fontId="6" fillId="0" borderId="4" xfId="25" applyBorder="1"/>
    <xf numFmtId="1" fontId="6" fillId="0" borderId="4" xfId="25" applyNumberFormat="1" applyBorder="1" applyAlignment="1">
      <alignment horizontal="center" wrapText="1"/>
    </xf>
    <xf numFmtId="0" fontId="23" fillId="15" borderId="4" xfId="25" applyFont="1" applyFill="1" applyBorder="1" applyAlignment="1">
      <alignment horizontal="left" vertical="center" wrapText="1"/>
    </xf>
    <xf numFmtId="0" fontId="23" fillId="7" borderId="4" xfId="25" applyFont="1" applyFill="1" applyBorder="1" applyAlignment="1">
      <alignment horizontal="center" vertical="center" wrapText="1"/>
    </xf>
    <xf numFmtId="0" fontId="23" fillId="7" borderId="4" xfId="25" applyFont="1" applyFill="1" applyBorder="1" applyAlignment="1">
      <alignment horizontal="left" vertical="center" wrapText="1"/>
    </xf>
    <xf numFmtId="0" fontId="23" fillId="7" borderId="4" xfId="25" applyFont="1" applyFill="1" applyBorder="1" applyAlignment="1">
      <alignment horizontal="left" vertical="top" wrapText="1"/>
    </xf>
    <xf numFmtId="0" fontId="23" fillId="25" borderId="4" xfId="25" applyFont="1" applyFill="1" applyBorder="1" applyAlignment="1">
      <alignment horizontal="center" vertical="center" wrapText="1"/>
    </xf>
    <xf numFmtId="0" fontId="23" fillId="25" borderId="12" xfId="25" applyFont="1" applyFill="1" applyBorder="1" applyAlignment="1">
      <alignment horizontal="center" vertical="center" wrapText="1"/>
    </xf>
    <xf numFmtId="0" fontId="23" fillId="25" borderId="4" xfId="25" applyFont="1" applyFill="1" applyBorder="1" applyAlignment="1">
      <alignment vertical="center" wrapText="1"/>
    </xf>
    <xf numFmtId="1" fontId="23" fillId="25" borderId="4" xfId="25" applyNumberFormat="1" applyFont="1" applyFill="1" applyBorder="1" applyAlignment="1">
      <alignment horizontal="center" vertical="center" wrapText="1"/>
    </xf>
    <xf numFmtId="0" fontId="23" fillId="7" borderId="3" xfId="25" applyFont="1" applyFill="1" applyBorder="1" applyAlignment="1">
      <alignment horizontal="left" vertical="center" wrapText="1"/>
    </xf>
    <xf numFmtId="0" fontId="23" fillId="7" borderId="3" xfId="25" applyFont="1" applyFill="1" applyBorder="1" applyAlignment="1">
      <alignment horizontal="left" vertical="top" wrapText="1"/>
    </xf>
    <xf numFmtId="1" fontId="23" fillId="25" borderId="4" xfId="25" applyNumberFormat="1" applyFont="1" applyFill="1" applyBorder="1" applyAlignment="1">
      <alignment vertical="center" wrapText="1"/>
    </xf>
    <xf numFmtId="0" fontId="23" fillId="7" borderId="4" xfId="25" applyFont="1" applyFill="1" applyBorder="1" applyAlignment="1">
      <alignment vertical="center" wrapText="1"/>
    </xf>
    <xf numFmtId="0" fontId="23" fillId="7" borderId="10" xfId="25" applyFont="1" applyFill="1" applyBorder="1" applyAlignment="1">
      <alignment horizontal="center" vertical="center" wrapText="1"/>
    </xf>
    <xf numFmtId="0" fontId="23" fillId="7" borderId="12" xfId="25" applyFont="1" applyFill="1" applyBorder="1" applyAlignment="1">
      <alignment horizontal="left" vertical="center" wrapText="1"/>
    </xf>
    <xf numFmtId="0" fontId="23" fillId="7" borderId="12" xfId="25" applyFont="1" applyFill="1" applyBorder="1" applyAlignment="1">
      <alignment horizontal="center" vertical="center" wrapText="1"/>
    </xf>
    <xf numFmtId="0" fontId="23" fillId="7" borderId="10" xfId="25" applyFont="1" applyFill="1" applyBorder="1" applyAlignment="1">
      <alignment horizontal="left" vertical="center" wrapText="1"/>
    </xf>
    <xf numFmtId="1" fontId="23" fillId="7" borderId="4" xfId="25" applyNumberFormat="1" applyFont="1" applyFill="1" applyBorder="1" applyAlignment="1">
      <alignment horizontal="center" vertical="center" wrapText="1"/>
    </xf>
    <xf numFmtId="0" fontId="38" fillId="7" borderId="12" xfId="25" applyFont="1" applyFill="1" applyBorder="1" applyAlignment="1">
      <alignment horizontal="left" vertical="center" wrapText="1"/>
    </xf>
    <xf numFmtId="0" fontId="38" fillId="7" borderId="12" xfId="25" applyFont="1" applyFill="1" applyBorder="1" applyAlignment="1">
      <alignment vertical="center" wrapText="1"/>
    </xf>
    <xf numFmtId="0" fontId="23" fillId="7" borderId="7" xfId="25" applyFont="1" applyFill="1" applyBorder="1" applyAlignment="1">
      <alignment horizontal="left" vertical="top" wrapText="1"/>
    </xf>
    <xf numFmtId="1" fontId="23" fillId="7" borderId="3" xfId="25" applyNumberFormat="1" applyFont="1" applyFill="1" applyBorder="1" applyAlignment="1">
      <alignment horizontal="left" vertical="top" wrapText="1"/>
    </xf>
    <xf numFmtId="0" fontId="40" fillId="7" borderId="4" xfId="25" applyFont="1" applyFill="1" applyBorder="1" applyAlignment="1">
      <alignment horizontal="center" vertical="center" wrapText="1"/>
    </xf>
    <xf numFmtId="0" fontId="23" fillId="7" borderId="12" xfId="25" applyFont="1" applyFill="1" applyBorder="1" applyAlignment="1">
      <alignment vertical="center" wrapText="1"/>
    </xf>
    <xf numFmtId="0" fontId="30" fillId="15" borderId="4" xfId="25" applyFont="1" applyFill="1" applyBorder="1" applyAlignment="1">
      <alignment horizontal="left" vertical="center" wrapText="1"/>
    </xf>
    <xf numFmtId="0" fontId="38" fillId="7" borderId="4" xfId="25" applyFont="1" applyFill="1" applyBorder="1" applyAlignment="1">
      <alignment horizontal="left" vertical="center" wrapText="1"/>
    </xf>
    <xf numFmtId="0" fontId="40" fillId="7" borderId="4" xfId="25" applyFont="1" applyFill="1" applyBorder="1" applyAlignment="1">
      <alignment horizontal="left" vertical="center" wrapText="1"/>
    </xf>
    <xf numFmtId="0" fontId="40" fillId="7" borderId="3" xfId="25" applyFont="1" applyFill="1" applyBorder="1" applyAlignment="1">
      <alignment horizontal="left" vertical="top" wrapText="1"/>
    </xf>
    <xf numFmtId="0" fontId="23" fillId="7" borderId="10" xfId="25" applyFont="1" applyFill="1" applyBorder="1" applyAlignment="1">
      <alignment horizontal="left" vertical="top" wrapText="1"/>
    </xf>
    <xf numFmtId="1" fontId="23" fillId="7" borderId="4" xfId="25" applyNumberFormat="1" applyFont="1" applyFill="1" applyBorder="1" applyAlignment="1">
      <alignment horizontal="left" vertical="top" wrapText="1"/>
    </xf>
    <xf numFmtId="0" fontId="23" fillId="15" borderId="5" xfId="25" applyFont="1" applyFill="1" applyBorder="1" applyAlignment="1">
      <alignment horizontal="left" vertical="center" wrapText="1"/>
    </xf>
    <xf numFmtId="0" fontId="23" fillId="7" borderId="5" xfId="25" applyFont="1" applyFill="1" applyBorder="1" applyAlignment="1">
      <alignment horizontal="center" vertical="center" wrapText="1"/>
    </xf>
    <xf numFmtId="0" fontId="23" fillId="7" borderId="5" xfId="25" applyFont="1" applyFill="1" applyBorder="1" applyAlignment="1">
      <alignment horizontal="left" vertical="center" wrapText="1"/>
    </xf>
    <xf numFmtId="0" fontId="23" fillId="7" borderId="17" xfId="25" applyFont="1" applyFill="1" applyBorder="1" applyAlignment="1">
      <alignment horizontal="left" vertical="top" wrapText="1"/>
    </xf>
    <xf numFmtId="0" fontId="23" fillId="7" borderId="13" xfId="25" applyFont="1" applyFill="1" applyBorder="1" applyAlignment="1">
      <alignment horizontal="left" vertical="top" wrapText="1"/>
    </xf>
    <xf numFmtId="1" fontId="23" fillId="7" borderId="17" xfId="25" applyNumberFormat="1" applyFont="1" applyFill="1" applyBorder="1" applyAlignment="1">
      <alignment horizontal="left" vertical="top" wrapText="1"/>
    </xf>
    <xf numFmtId="0" fontId="23" fillId="7" borderId="3" xfId="25" applyFont="1" applyFill="1" applyBorder="1" applyAlignment="1">
      <alignment horizontal="left" vertical="top"/>
    </xf>
    <xf numFmtId="0" fontId="31" fillId="7" borderId="4" xfId="25" applyFont="1" applyFill="1" applyBorder="1" applyAlignment="1">
      <alignment horizontal="left" vertical="top" wrapText="1"/>
    </xf>
    <xf numFmtId="0" fontId="11" fillId="7" borderId="4" xfId="25" applyFont="1" applyFill="1" applyBorder="1" applyAlignment="1">
      <alignment horizontal="left" vertical="top" wrapText="1"/>
    </xf>
    <xf numFmtId="0" fontId="31" fillId="7" borderId="3" xfId="25" applyFont="1" applyFill="1" applyBorder="1" applyAlignment="1">
      <alignment horizontal="left" vertical="top" wrapText="1"/>
    </xf>
    <xf numFmtId="0" fontId="30" fillId="7" borderId="4" xfId="25" applyFont="1" applyFill="1" applyBorder="1" applyAlignment="1">
      <alignment horizontal="center" vertical="center" wrapText="1"/>
    </xf>
    <xf numFmtId="0" fontId="11" fillId="25" borderId="4" xfId="25" applyFont="1" applyFill="1" applyBorder="1" applyAlignment="1">
      <alignment horizontal="center" vertical="center" wrapText="1"/>
    </xf>
    <xf numFmtId="1" fontId="11" fillId="25" borderId="4" xfId="25" applyNumberFormat="1" applyFont="1" applyFill="1" applyBorder="1" applyAlignment="1">
      <alignment horizontal="center" vertical="center" wrapText="1"/>
    </xf>
    <xf numFmtId="0" fontId="11" fillId="7" borderId="4" xfId="25" applyFont="1" applyFill="1" applyBorder="1" applyAlignment="1">
      <alignment vertical="center" wrapText="1"/>
    </xf>
    <xf numFmtId="0" fontId="11" fillId="7" borderId="4" xfId="25" applyFont="1" applyFill="1" applyBorder="1" applyAlignment="1">
      <alignment horizontal="center" vertical="center" wrapText="1"/>
    </xf>
    <xf numFmtId="0" fontId="11" fillId="7" borderId="4" xfId="25" applyFont="1" applyFill="1" applyBorder="1" applyAlignment="1">
      <alignment horizontal="left" vertical="center" wrapText="1"/>
    </xf>
    <xf numFmtId="0" fontId="11" fillId="7" borderId="3" xfId="25" applyFont="1" applyFill="1" applyBorder="1" applyAlignment="1">
      <alignment horizontal="left" vertical="top" wrapText="1"/>
    </xf>
    <xf numFmtId="0" fontId="58" fillId="7" borderId="4" xfId="25" applyFont="1" applyFill="1" applyBorder="1" applyAlignment="1">
      <alignment horizontal="left" vertical="center" wrapText="1"/>
    </xf>
    <xf numFmtId="0" fontId="68" fillId="7" borderId="4" xfId="25" applyFont="1" applyFill="1" applyBorder="1" applyAlignment="1">
      <alignment horizontal="center" vertical="center" wrapText="1"/>
    </xf>
    <xf numFmtId="0" fontId="11" fillId="7" borderId="7" xfId="25" applyFont="1" applyFill="1" applyBorder="1" applyAlignment="1">
      <alignment horizontal="left" vertical="top" wrapText="1"/>
    </xf>
    <xf numFmtId="1" fontId="11" fillId="7" borderId="3" xfId="25" applyNumberFormat="1" applyFont="1" applyFill="1" applyBorder="1" applyAlignment="1">
      <alignment horizontal="left" vertical="top" wrapText="1"/>
    </xf>
    <xf numFmtId="0" fontId="67" fillId="7" borderId="4" xfId="25" applyFont="1" applyFill="1" applyBorder="1" applyAlignment="1">
      <alignment vertical="center" wrapText="1"/>
    </xf>
    <xf numFmtId="0" fontId="31" fillId="7" borderId="4" xfId="25" applyFont="1" applyFill="1" applyBorder="1" applyAlignment="1">
      <alignment horizontal="center" vertical="center" wrapText="1"/>
    </xf>
    <xf numFmtId="0" fontId="36" fillId="15" borderId="4" xfId="25" applyFont="1" applyFill="1" applyBorder="1" applyAlignment="1">
      <alignment horizontal="left" vertical="center" wrapText="1"/>
    </xf>
    <xf numFmtId="0" fontId="34" fillId="7" borderId="4" xfId="25" applyFont="1" applyFill="1" applyBorder="1" applyAlignment="1">
      <alignment horizontal="left" vertical="top" wrapText="1"/>
    </xf>
    <xf numFmtId="0" fontId="38" fillId="7" borderId="3" xfId="25" applyFont="1" applyFill="1" applyBorder="1" applyAlignment="1">
      <alignment horizontal="left" vertical="top" wrapText="1"/>
    </xf>
    <xf numFmtId="0" fontId="38" fillId="7" borderId="4" xfId="25" applyFont="1" applyFill="1" applyBorder="1" applyAlignment="1">
      <alignment horizontal="left" vertical="top" wrapText="1"/>
    </xf>
    <xf numFmtId="0" fontId="23" fillId="7" borderId="8" xfId="25" applyFont="1" applyFill="1" applyBorder="1" applyAlignment="1">
      <alignment horizontal="left" vertical="top" wrapText="1"/>
    </xf>
    <xf numFmtId="1" fontId="23" fillId="7" borderId="5" xfId="25" applyNumberFormat="1" applyFont="1" applyFill="1" applyBorder="1" applyAlignment="1">
      <alignment horizontal="left" vertical="top" wrapText="1"/>
    </xf>
    <xf numFmtId="0" fontId="23" fillId="7" borderId="5" xfId="25" applyFont="1" applyFill="1" applyBorder="1" applyAlignment="1">
      <alignment horizontal="left" vertical="top" wrapText="1"/>
    </xf>
    <xf numFmtId="0" fontId="11" fillId="25" borderId="4" xfId="25" applyFont="1" applyFill="1" applyBorder="1" applyAlignment="1">
      <alignment vertical="center" wrapText="1"/>
    </xf>
    <xf numFmtId="0" fontId="11" fillId="7" borderId="10" xfId="25" applyFont="1" applyFill="1" applyBorder="1" applyAlignment="1">
      <alignment horizontal="center" vertical="center" wrapText="1"/>
    </xf>
    <xf numFmtId="0" fontId="11" fillId="7" borderId="12" xfId="25" applyFont="1" applyFill="1" applyBorder="1" applyAlignment="1">
      <alignment horizontal="left" vertical="center" wrapText="1"/>
    </xf>
    <xf numFmtId="0" fontId="11" fillId="7" borderId="8" xfId="25" applyFont="1" applyFill="1" applyBorder="1" applyAlignment="1">
      <alignment horizontal="left" vertical="top" wrapText="1"/>
    </xf>
    <xf numFmtId="1" fontId="11" fillId="7" borderId="5" xfId="25" applyNumberFormat="1" applyFont="1" applyFill="1" applyBorder="1" applyAlignment="1">
      <alignment horizontal="left" vertical="top" wrapText="1"/>
    </xf>
    <xf numFmtId="0" fontId="38" fillId="25" borderId="4" xfId="25" applyFont="1" applyFill="1" applyBorder="1" applyAlignment="1">
      <alignment vertical="center" wrapText="1"/>
    </xf>
    <xf numFmtId="0" fontId="40" fillId="7" borderId="4" xfId="25" applyFont="1" applyFill="1" applyBorder="1" applyAlignment="1">
      <alignment horizontal="left" vertical="top" wrapText="1"/>
    </xf>
    <xf numFmtId="0" fontId="6" fillId="13" borderId="0" xfId="25" applyFill="1"/>
    <xf numFmtId="0" fontId="23" fillId="25" borderId="4" xfId="25" applyFont="1" applyFill="1" applyBorder="1" applyAlignment="1">
      <alignment horizontal="left" vertical="center" wrapText="1"/>
    </xf>
    <xf numFmtId="0" fontId="23" fillId="13" borderId="4" xfId="25" applyFont="1" applyFill="1" applyBorder="1" applyAlignment="1">
      <alignment horizontal="left" vertical="center" wrapText="1"/>
    </xf>
    <xf numFmtId="0" fontId="66" fillId="0" borderId="0" xfId="25" applyFont="1"/>
    <xf numFmtId="0" fontId="40" fillId="25" borderId="4" xfId="25" applyFont="1" applyFill="1" applyBorder="1" applyAlignment="1">
      <alignment horizontal="center" vertical="center" wrapText="1"/>
    </xf>
    <xf numFmtId="1" fontId="40" fillId="25" borderId="4" xfId="25" applyNumberFormat="1" applyFont="1" applyFill="1" applyBorder="1" applyAlignment="1">
      <alignment horizontal="center" vertical="center" wrapText="1"/>
    </xf>
    <xf numFmtId="0" fontId="40" fillId="25" borderId="4" xfId="25" applyFont="1" applyFill="1" applyBorder="1" applyAlignment="1">
      <alignment vertical="center" wrapText="1"/>
    </xf>
    <xf numFmtId="0" fontId="40" fillId="15" borderId="4" xfId="25" applyFont="1" applyFill="1" applyBorder="1" applyAlignment="1">
      <alignment horizontal="left" vertical="center" wrapText="1"/>
    </xf>
    <xf numFmtId="0" fontId="40" fillId="7" borderId="8" xfId="25" applyFont="1" applyFill="1" applyBorder="1" applyAlignment="1">
      <alignment horizontal="left" vertical="top" wrapText="1"/>
    </xf>
    <xf numFmtId="1" fontId="40" fillId="7" borderId="5" xfId="25" applyNumberFormat="1" applyFont="1" applyFill="1" applyBorder="1" applyAlignment="1">
      <alignment horizontal="left" vertical="top" wrapText="1"/>
    </xf>
    <xf numFmtId="0" fontId="70" fillId="25" borderId="4" xfId="25" applyFont="1" applyFill="1" applyBorder="1" applyAlignment="1">
      <alignment horizontal="center" vertical="center" wrapText="1"/>
    </xf>
    <xf numFmtId="0" fontId="62" fillId="26" borderId="4" xfId="25" applyFont="1" applyFill="1" applyBorder="1" applyAlignment="1">
      <alignment vertical="center" wrapText="1"/>
    </xf>
    <xf numFmtId="0" fontId="62" fillId="26" borderId="4" xfId="25" applyFont="1" applyFill="1" applyBorder="1" applyAlignment="1">
      <alignment horizontal="center" vertical="center" wrapText="1"/>
    </xf>
    <xf numFmtId="0" fontId="23" fillId="7" borderId="4" xfId="25" applyFont="1" applyFill="1" applyBorder="1" applyAlignment="1">
      <alignment horizontal="left" vertical="top"/>
    </xf>
    <xf numFmtId="0" fontId="23" fillId="7" borderId="8" xfId="25" applyFont="1" applyFill="1" applyBorder="1" applyAlignment="1">
      <alignment horizontal="left" vertical="center" wrapText="1"/>
    </xf>
    <xf numFmtId="1" fontId="23" fillId="7" borderId="5" xfId="25" applyNumberFormat="1" applyFont="1" applyFill="1" applyBorder="1" applyAlignment="1">
      <alignment horizontal="center" vertical="center" wrapText="1"/>
    </xf>
    <xf numFmtId="0" fontId="70" fillId="7" borderId="4" xfId="25" applyFont="1" applyFill="1" applyBorder="1" applyAlignment="1">
      <alignment horizontal="left" vertical="top" wrapText="1"/>
    </xf>
    <xf numFmtId="0" fontId="58" fillId="7" borderId="4" xfId="25" applyFont="1" applyFill="1" applyBorder="1" applyAlignment="1">
      <alignment horizontal="left" vertical="top" wrapText="1"/>
    </xf>
    <xf numFmtId="0" fontId="38" fillId="7" borderId="18" xfId="25" applyFont="1" applyFill="1" applyBorder="1" applyAlignment="1">
      <alignment horizontal="left" vertical="top" wrapText="1"/>
    </xf>
    <xf numFmtId="0" fontId="23" fillId="7" borderId="9" xfId="25" applyFont="1" applyFill="1" applyBorder="1" applyAlignment="1">
      <alignment horizontal="left" vertical="top" wrapText="1"/>
    </xf>
    <xf numFmtId="0" fontId="23" fillId="15" borderId="14" xfId="25" applyFont="1" applyFill="1" applyBorder="1" applyAlignment="1">
      <alignment horizontal="left" vertical="center" wrapText="1"/>
    </xf>
    <xf numFmtId="0" fontId="23" fillId="7" borderId="14" xfId="25" applyFont="1" applyFill="1" applyBorder="1" applyAlignment="1">
      <alignment horizontal="center" vertical="center" wrapText="1"/>
    </xf>
    <xf numFmtId="0" fontId="23" fillId="7" borderId="14" xfId="25" applyFont="1" applyFill="1" applyBorder="1" applyAlignment="1">
      <alignment horizontal="left" vertical="center" wrapText="1"/>
    </xf>
    <xf numFmtId="0" fontId="23" fillId="7" borderId="18" xfId="25" applyFont="1" applyFill="1" applyBorder="1" applyAlignment="1">
      <alignment horizontal="left" vertical="top" wrapText="1"/>
    </xf>
    <xf numFmtId="0" fontId="23" fillId="7" borderId="14" xfId="25" applyFont="1" applyFill="1" applyBorder="1" applyAlignment="1">
      <alignment horizontal="left" vertical="top" wrapText="1"/>
    </xf>
    <xf numFmtId="0" fontId="23" fillId="7" borderId="16" xfId="25" applyFont="1" applyFill="1" applyBorder="1" applyAlignment="1">
      <alignment horizontal="left" vertical="top" wrapText="1"/>
    </xf>
    <xf numFmtId="0" fontId="23" fillId="7" borderId="15" xfId="25" applyFont="1" applyFill="1" applyBorder="1" applyAlignment="1">
      <alignment horizontal="left" vertical="top" wrapText="1"/>
    </xf>
    <xf numFmtId="1" fontId="23" fillId="7" borderId="14" xfId="25" applyNumberFormat="1" applyFont="1" applyFill="1" applyBorder="1" applyAlignment="1">
      <alignment horizontal="center" vertical="top" wrapText="1"/>
    </xf>
    <xf numFmtId="0" fontId="23" fillId="7" borderId="11" xfId="25" applyFont="1" applyFill="1" applyBorder="1" applyAlignment="1">
      <alignment horizontal="left" vertical="top" wrapText="1"/>
    </xf>
    <xf numFmtId="1" fontId="23" fillId="7" borderId="4" xfId="25" applyNumberFormat="1" applyFont="1" applyFill="1" applyBorder="1" applyAlignment="1">
      <alignment horizontal="center" vertical="top" wrapText="1"/>
    </xf>
    <xf numFmtId="0" fontId="23" fillId="7" borderId="1" xfId="25" applyFont="1" applyFill="1" applyBorder="1" applyAlignment="1">
      <alignment horizontal="left" vertical="top" wrapText="1"/>
    </xf>
    <xf numFmtId="1" fontId="23" fillId="7" borderId="3" xfId="25" applyNumberFormat="1" applyFont="1" applyFill="1" applyBorder="1" applyAlignment="1">
      <alignment horizontal="center" vertical="top" wrapText="1"/>
    </xf>
    <xf numFmtId="0" fontId="23" fillId="7" borderId="12" xfId="25" applyFont="1" applyFill="1" applyBorder="1" applyAlignment="1">
      <alignment horizontal="left" vertical="top" wrapText="1"/>
    </xf>
    <xf numFmtId="0" fontId="41" fillId="9" borderId="4" xfId="27" applyNumberFormat="1" applyFont="1" applyFill="1" applyBorder="1" applyAlignment="1">
      <alignment horizontal="center" vertical="center" wrapText="1"/>
    </xf>
    <xf numFmtId="177" fontId="41" fillId="9" borderId="4" xfId="27" applyFont="1" applyFill="1" applyBorder="1" applyAlignment="1">
      <alignment horizontal="center" vertical="center" wrapText="1"/>
    </xf>
    <xf numFmtId="177" fontId="61" fillId="9" borderId="4" xfId="27" applyFont="1" applyFill="1" applyBorder="1" applyAlignment="1">
      <alignment horizontal="center" vertical="center" wrapText="1"/>
    </xf>
    <xf numFmtId="177" fontId="57" fillId="9" borderId="4" xfId="27" applyFont="1" applyFill="1" applyBorder="1" applyAlignment="1">
      <alignment horizontal="center" vertical="center" wrapText="1"/>
    </xf>
    <xf numFmtId="177" fontId="20" fillId="14" borderId="5" xfId="27" applyFont="1" applyFill="1" applyBorder="1" applyAlignment="1">
      <alignment horizontal="center" vertical="center" wrapText="1"/>
    </xf>
    <xf numFmtId="177" fontId="20" fillId="9" borderId="5" xfId="27" applyFont="1" applyFill="1" applyBorder="1" applyAlignment="1">
      <alignment horizontal="center" vertical="center" wrapText="1"/>
    </xf>
    <xf numFmtId="177" fontId="32" fillId="9" borderId="5" xfId="27" applyFont="1" applyFill="1" applyBorder="1" applyAlignment="1">
      <alignment horizontal="center" vertical="center" wrapText="1"/>
    </xf>
    <xf numFmtId="177" fontId="20" fillId="9" borderId="5" xfId="27" applyFont="1" applyFill="1" applyBorder="1" applyAlignment="1">
      <alignment horizontal="left" vertical="center" wrapText="1"/>
    </xf>
    <xf numFmtId="177" fontId="32" fillId="9" borderId="5" xfId="27" applyFont="1" applyFill="1" applyBorder="1" applyAlignment="1">
      <alignment horizontal="left" vertical="center" wrapText="1"/>
    </xf>
    <xf numFmtId="177" fontId="20" fillId="9" borderId="5" xfId="27" applyFont="1" applyFill="1" applyBorder="1" applyAlignment="1">
      <alignment horizontal="center" vertical="center"/>
    </xf>
    <xf numFmtId="177" fontId="20" fillId="9" borderId="8" xfId="25" applyNumberFormat="1" applyFont="1" applyFill="1" applyBorder="1" applyAlignment="1">
      <alignment horizontal="center" vertical="center" wrapText="1"/>
    </xf>
    <xf numFmtId="177" fontId="20" fillId="9" borderId="9" xfId="25" applyNumberFormat="1" applyFont="1" applyFill="1" applyBorder="1" applyAlignment="1">
      <alignment horizontal="center" vertical="center" wrapText="1"/>
    </xf>
    <xf numFmtId="177" fontId="20" fillId="9" borderId="4" xfId="25" applyNumberFormat="1" applyFont="1" applyFill="1" applyBorder="1" applyAlignment="1">
      <alignment horizontal="center" vertical="center" wrapText="1"/>
    </xf>
    <xf numFmtId="177" fontId="20" fillId="9" borderId="2" xfId="25" applyNumberFormat="1" applyFont="1" applyFill="1" applyBorder="1" applyAlignment="1">
      <alignment horizontal="center" vertical="center" wrapText="1"/>
    </xf>
    <xf numFmtId="1" fontId="20" fillId="9" borderId="5" xfId="25" applyNumberFormat="1" applyFont="1" applyFill="1" applyBorder="1" applyAlignment="1">
      <alignment horizontal="center" vertical="center" wrapText="1"/>
    </xf>
    <xf numFmtId="0" fontId="11" fillId="0" borderId="0" xfId="25" applyFont="1" applyAlignment="1">
      <alignment horizontal="center" vertical="center"/>
    </xf>
    <xf numFmtId="0" fontId="11" fillId="0" borderId="0" xfId="25" applyFont="1"/>
    <xf numFmtId="0" fontId="58" fillId="0" borderId="0" xfId="25" applyFont="1"/>
    <xf numFmtId="0" fontId="6" fillId="0" borderId="0" xfId="25" applyAlignment="1">
      <alignment vertical="center"/>
    </xf>
    <xf numFmtId="0" fontId="6" fillId="11" borderId="7" xfId="25" applyFill="1" applyBorder="1" applyAlignment="1">
      <alignment wrapText="1"/>
    </xf>
    <xf numFmtId="0" fontId="6" fillId="11" borderId="1" xfId="25" applyFill="1" applyBorder="1" applyAlignment="1">
      <alignment wrapText="1"/>
    </xf>
    <xf numFmtId="0" fontId="11" fillId="0" borderId="0" xfId="25" applyFont="1" applyAlignment="1">
      <alignment vertical="center"/>
    </xf>
    <xf numFmtId="0" fontId="58" fillId="0" borderId="0" xfId="25" applyFont="1" applyAlignment="1">
      <alignment vertical="center"/>
    </xf>
    <xf numFmtId="0" fontId="22" fillId="0" borderId="12" xfId="25" applyFont="1" applyBorder="1" applyAlignment="1">
      <alignment vertical="center" wrapText="1"/>
    </xf>
    <xf numFmtId="177" fontId="20" fillId="10" borderId="10" xfId="27" applyFont="1" applyFill="1" applyBorder="1" applyAlignment="1">
      <alignment horizontal="center" vertical="center" wrapText="1"/>
    </xf>
    <xf numFmtId="1" fontId="22" fillId="0" borderId="4" xfId="25" applyNumberFormat="1" applyFont="1" applyBorder="1" applyAlignment="1">
      <alignment vertical="center" wrapText="1"/>
    </xf>
    <xf numFmtId="0" fontId="26" fillId="5" borderId="0" xfId="26" applyFont="1" applyFill="1" applyBorder="1" applyAlignment="1">
      <alignment horizontal="left" vertical="center"/>
    </xf>
    <xf numFmtId="0" fontId="95" fillId="25" borderId="4" xfId="26" applyFont="1" applyFill="1" applyBorder="1" applyAlignment="1">
      <alignment horizontal="center" vertical="center" wrapText="1"/>
    </xf>
    <xf numFmtId="0" fontId="96" fillId="25" borderId="4" xfId="26" applyFont="1" applyFill="1" applyBorder="1" applyAlignment="1">
      <alignment horizontal="center" vertical="center" wrapText="1"/>
    </xf>
    <xf numFmtId="0" fontId="94" fillId="25" borderId="4" xfId="26" applyFont="1" applyFill="1" applyBorder="1" applyAlignment="1">
      <alignment horizontal="center" vertical="center" wrapText="1"/>
    </xf>
    <xf numFmtId="0" fontId="97" fillId="0" borderId="12" xfId="25" applyFont="1" applyBorder="1"/>
    <xf numFmtId="0" fontId="98" fillId="0" borderId="4" xfId="24" applyFont="1" applyBorder="1" applyAlignment="1">
      <alignment horizontal="left" vertical="center" wrapText="1"/>
    </xf>
    <xf numFmtId="0" fontId="41" fillId="9" borderId="37" xfId="21" applyNumberFormat="1" applyFont="1" applyFill="1" applyBorder="1" applyAlignment="1">
      <alignment horizontal="center" vertical="center" wrapText="1"/>
    </xf>
    <xf numFmtId="0" fontId="97" fillId="0" borderId="0" xfId="25" applyFont="1"/>
    <xf numFmtId="0" fontId="94" fillId="25" borderId="4" xfId="25" applyFont="1" applyFill="1" applyBorder="1" applyAlignment="1">
      <alignment horizontal="left" vertical="center" wrapText="1"/>
    </xf>
    <xf numFmtId="0" fontId="94" fillId="25" borderId="4" xfId="25" applyFont="1" applyFill="1" applyBorder="1" applyAlignment="1">
      <alignment horizontal="center" vertical="center" wrapText="1"/>
    </xf>
    <xf numFmtId="0" fontId="11" fillId="25" borderId="4" xfId="25" applyFont="1" applyFill="1" applyBorder="1" applyAlignment="1">
      <alignment horizontal="left" vertical="center" wrapText="1"/>
    </xf>
    <xf numFmtId="0" fontId="99" fillId="0" borderId="0" xfId="0" applyFont="1" applyAlignment="1">
      <alignment horizontal="center" vertical="center"/>
    </xf>
    <xf numFmtId="192" fontId="11" fillId="25" borderId="4" xfId="25" applyNumberFormat="1" applyFont="1" applyFill="1" applyBorder="1" applyAlignment="1">
      <alignment horizontal="center" vertical="center" wrapText="1"/>
    </xf>
    <xf numFmtId="1" fontId="94" fillId="25" borderId="4" xfId="25" applyNumberFormat="1" applyFont="1" applyFill="1" applyBorder="1" applyAlignment="1">
      <alignment horizontal="center" vertical="center" wrapText="1"/>
    </xf>
    <xf numFmtId="192" fontId="95" fillId="25" borderId="4" xfId="26" applyNumberFormat="1" applyFont="1" applyFill="1" applyBorder="1" applyAlignment="1">
      <alignment horizontal="center" vertical="center" wrapText="1"/>
    </xf>
    <xf numFmtId="0" fontId="47" fillId="0" borderId="0" xfId="0" applyFont="1" applyAlignment="1">
      <alignment horizontal="center" vertical="center"/>
    </xf>
    <xf numFmtId="0" fontId="0" fillId="0" borderId="0" xfId="0"/>
    <xf numFmtId="0" fontId="21" fillId="21" borderId="24" xfId="0" applyFont="1" applyFill="1" applyBorder="1" applyAlignment="1">
      <alignment horizontal="right"/>
    </xf>
    <xf numFmtId="0" fontId="48" fillId="0" borderId="29" xfId="0" applyFont="1" applyBorder="1"/>
    <xf numFmtId="0" fontId="48" fillId="0" borderId="25" xfId="0" applyFont="1" applyBorder="1"/>
    <xf numFmtId="0" fontId="47" fillId="0" borderId="19" xfId="0" applyFont="1" applyBorder="1" applyAlignment="1">
      <alignment horizontal="center" vertical="center"/>
    </xf>
    <xf numFmtId="0" fontId="48" fillId="0" borderId="23" xfId="0" applyFont="1" applyBorder="1"/>
    <xf numFmtId="0" fontId="21" fillId="0" borderId="30" xfId="0" applyFont="1" applyBorder="1"/>
    <xf numFmtId="0" fontId="48" fillId="0" borderId="26" xfId="0" applyFont="1" applyBorder="1"/>
    <xf numFmtId="0" fontId="48" fillId="0" borderId="27" xfId="0" applyFont="1" applyBorder="1"/>
    <xf numFmtId="0" fontId="48" fillId="0" borderId="31" xfId="0" applyFont="1" applyBorder="1"/>
    <xf numFmtId="0" fontId="48" fillId="0" borderId="28" xfId="0" applyFont="1" applyBorder="1"/>
    <xf numFmtId="0" fontId="48" fillId="0" borderId="32" xfId="0" applyFont="1" applyBorder="1"/>
    <xf numFmtId="0" fontId="21" fillId="0" borderId="33" xfId="0" applyFont="1" applyBorder="1"/>
    <xf numFmtId="0" fontId="48" fillId="0" borderId="34" xfId="0" applyFont="1" applyBorder="1"/>
    <xf numFmtId="0" fontId="21" fillId="21" borderId="35" xfId="0" applyFont="1" applyFill="1" applyBorder="1" applyAlignment="1">
      <alignment horizontal="right" vertical="center"/>
    </xf>
    <xf numFmtId="0" fontId="48" fillId="0" borderId="36" xfId="0" applyFont="1" applyBorder="1"/>
    <xf numFmtId="0" fontId="21" fillId="21" borderId="24" xfId="0" applyFont="1" applyFill="1" applyBorder="1" applyAlignment="1">
      <alignment horizontal="center" vertical="center" wrapText="1"/>
    </xf>
    <xf numFmtId="0" fontId="51" fillId="14" borderId="0" xfId="0" applyFont="1" applyFill="1" applyAlignment="1">
      <alignment horizontal="center"/>
    </xf>
    <xf numFmtId="0" fontId="51" fillId="14" borderId="28" xfId="0" applyFont="1" applyFill="1" applyBorder="1" applyAlignment="1">
      <alignment horizontal="center"/>
    </xf>
    <xf numFmtId="0" fontId="19" fillId="0" borderId="0" xfId="0" applyFont="1" applyAlignment="1">
      <alignment horizontal="center"/>
    </xf>
    <xf numFmtId="0" fontId="19" fillId="0" borderId="28" xfId="0" applyFont="1" applyBorder="1" applyAlignment="1">
      <alignment horizontal="center"/>
    </xf>
    <xf numFmtId="0" fontId="47" fillId="0" borderId="0" xfId="0" applyFont="1" applyAlignment="1">
      <alignment horizontal="left" vertical="center"/>
    </xf>
    <xf numFmtId="0" fontId="53" fillId="14" borderId="0" xfId="0" applyFont="1" applyFill="1" applyAlignment="1">
      <alignment horizontal="center"/>
    </xf>
    <xf numFmtId="0" fontId="53" fillId="14" borderId="28" xfId="0" applyFont="1" applyFill="1" applyBorder="1" applyAlignment="1">
      <alignment horizontal="center"/>
    </xf>
    <xf numFmtId="0" fontId="19" fillId="0" borderId="24" xfId="0" applyFont="1" applyBorder="1" applyAlignment="1">
      <alignment horizontal="center"/>
    </xf>
    <xf numFmtId="0" fontId="19" fillId="0" borderId="25" xfId="0" applyFont="1" applyBorder="1" applyAlignment="1">
      <alignment horizontal="center"/>
    </xf>
    <xf numFmtId="0" fontId="47" fillId="0" borderId="26" xfId="0" applyFont="1" applyBorder="1" applyAlignment="1">
      <alignment horizontal="center" vertical="center"/>
    </xf>
    <xf numFmtId="0" fontId="49" fillId="18" borderId="26" xfId="0" applyFont="1" applyFill="1" applyBorder="1" applyAlignment="1">
      <alignment horizontal="center" vertical="center"/>
    </xf>
    <xf numFmtId="0" fontId="49" fillId="18" borderId="0" xfId="0" applyFont="1" applyFill="1" applyAlignment="1">
      <alignment horizontal="center" vertical="center"/>
    </xf>
    <xf numFmtId="0" fontId="50" fillId="19" borderId="26" xfId="0" applyFont="1" applyFill="1" applyBorder="1" applyAlignment="1">
      <alignment horizontal="center" vertical="center"/>
    </xf>
    <xf numFmtId="0" fontId="50" fillId="19" borderId="0" xfId="0" applyFont="1" applyFill="1" applyAlignment="1">
      <alignment horizontal="center" vertical="center"/>
    </xf>
    <xf numFmtId="0" fontId="50" fillId="20" borderId="26" xfId="0" applyFont="1" applyFill="1" applyBorder="1" applyAlignment="1">
      <alignment horizontal="center" vertical="center"/>
    </xf>
    <xf numFmtId="0" fontId="50" fillId="20" borderId="0" xfId="0" applyFont="1" applyFill="1" applyAlignment="1">
      <alignment horizontal="center" vertical="center"/>
    </xf>
    <xf numFmtId="0" fontId="50" fillId="12" borderId="26" xfId="0" applyFont="1" applyFill="1" applyBorder="1" applyAlignment="1">
      <alignment horizontal="center" vertical="center"/>
    </xf>
    <xf numFmtId="0" fontId="50" fillId="12" borderId="0" xfId="0" applyFont="1" applyFill="1" applyAlignment="1">
      <alignment horizontal="center" vertical="center"/>
    </xf>
    <xf numFmtId="179" fontId="47" fillId="0" borderId="19" xfId="0" applyNumberFormat="1" applyFont="1" applyBorder="1" applyAlignment="1">
      <alignment horizontal="center" vertical="center" wrapText="1"/>
    </xf>
    <xf numFmtId="0" fontId="48" fillId="0" borderId="21" xfId="0" applyFont="1" applyBorder="1"/>
    <xf numFmtId="0" fontId="47" fillId="0" borderId="19" xfId="0" applyFont="1" applyBorder="1" applyAlignment="1">
      <alignment horizontal="center" vertical="center" wrapText="1"/>
    </xf>
    <xf numFmtId="184" fontId="47" fillId="0" borderId="19" xfId="0" applyNumberFormat="1" applyFont="1" applyBorder="1" applyAlignment="1">
      <alignment horizontal="right" vertical="center" wrapText="1"/>
    </xf>
    <xf numFmtId="0" fontId="24" fillId="0" borderId="11" xfId="0" applyFont="1" applyBorder="1" applyAlignment="1">
      <alignment horizontal="center" vertical="center"/>
    </xf>
    <xf numFmtId="0" fontId="24" fillId="0" borderId="10" xfId="0" applyFont="1" applyBorder="1" applyAlignment="1">
      <alignment horizontal="center" vertical="center"/>
    </xf>
    <xf numFmtId="177" fontId="20" fillId="10" borderId="4" xfId="21" applyFont="1" applyFill="1" applyBorder="1" applyAlignment="1">
      <alignment horizontal="center" vertical="center" wrapText="1"/>
    </xf>
    <xf numFmtId="0" fontId="75" fillId="0" borderId="12" xfId="24" applyFont="1" applyBorder="1" applyAlignment="1">
      <alignment horizontal="center" vertical="center"/>
    </xf>
    <xf numFmtId="0" fontId="71" fillId="0" borderId="11" xfId="24" applyBorder="1" applyAlignment="1">
      <alignment horizontal="center" vertical="center"/>
    </xf>
    <xf numFmtId="0" fontId="71" fillId="0" borderId="10" xfId="24" applyBorder="1" applyAlignment="1">
      <alignment horizontal="center" vertical="center"/>
    </xf>
    <xf numFmtId="0" fontId="88" fillId="0" borderId="12" xfId="24" applyFont="1" applyBorder="1" applyAlignment="1">
      <alignment horizontal="center" vertical="center"/>
    </xf>
    <xf numFmtId="0" fontId="88" fillId="0" borderId="11" xfId="24" applyFont="1" applyBorder="1" applyAlignment="1">
      <alignment horizontal="center" vertical="center"/>
    </xf>
    <xf numFmtId="0" fontId="88" fillId="0" borderId="10" xfId="24" applyFont="1" applyBorder="1" applyAlignment="1">
      <alignment horizontal="center" vertical="center"/>
    </xf>
    <xf numFmtId="0" fontId="71" fillId="0" borderId="4" xfId="24" applyBorder="1" applyAlignment="1">
      <alignment vertical="center"/>
    </xf>
    <xf numFmtId="40" fontId="73" fillId="0" borderId="4" xfId="24" applyNumberFormat="1" applyFont="1" applyBorder="1" applyAlignment="1">
      <alignment horizontal="right" vertical="center" wrapText="1"/>
    </xf>
    <xf numFmtId="40" fontId="71" fillId="0" borderId="4" xfId="24" applyNumberFormat="1" applyBorder="1" applyAlignment="1">
      <alignment horizontal="right" vertical="center"/>
    </xf>
    <xf numFmtId="0" fontId="85" fillId="0" borderId="4" xfId="24" applyFont="1" applyBorder="1" applyAlignment="1">
      <alignment horizontal="center" vertical="center" wrapText="1"/>
    </xf>
    <xf numFmtId="0" fontId="71" fillId="0" borderId="6" xfId="24" applyBorder="1" applyAlignment="1">
      <alignment horizontal="left" vertical="center" wrapText="1"/>
    </xf>
    <xf numFmtId="0" fontId="71" fillId="0" borderId="1" xfId="24" applyBorder="1" applyAlignment="1">
      <alignment horizontal="left" vertical="center"/>
    </xf>
    <xf numFmtId="0" fontId="24" fillId="0" borderId="11" xfId="25" applyFont="1" applyBorder="1" applyAlignment="1">
      <alignment horizontal="center" vertical="center"/>
    </xf>
    <xf numFmtId="0" fontId="24" fillId="0" borderId="10" xfId="25" applyFont="1" applyBorder="1" applyAlignment="1">
      <alignment horizontal="center" vertical="center"/>
    </xf>
    <xf numFmtId="177" fontId="20" fillId="10" borderId="4" xfId="27" applyFont="1" applyFill="1" applyBorder="1" applyAlignment="1">
      <alignment horizontal="center" vertical="center" wrapText="1"/>
    </xf>
    <xf numFmtId="0" fontId="10" fillId="0" borderId="0" xfId="0" applyFont="1" applyAlignment="1">
      <alignment horizontal="left" vertical="center"/>
    </xf>
    <xf numFmtId="0" fontId="47" fillId="0" borderId="0" xfId="0" applyFont="1"/>
    <xf numFmtId="9" fontId="18" fillId="0" borderId="0" xfId="0" applyNumberFormat="1" applyFont="1"/>
    <xf numFmtId="9" fontId="47" fillId="0" borderId="0" xfId="0" applyNumberFormat="1" applyFont="1"/>
  </cellXfs>
  <cellStyles count="28">
    <cellStyle name="Comma 2" xfId="6" xr:uid="{00000000-0005-0000-0000-000001000000}"/>
    <cellStyle name="Comma 2 2" xfId="12" xr:uid="{00000000-0005-0000-0000-000002000000}"/>
    <cellStyle name="Comma 3" xfId="20" xr:uid="{09DD2DBC-7C2D-434E-9B70-D6DD1F8D65D2}"/>
    <cellStyle name="Currency 2" xfId="8" xr:uid="{00000000-0005-0000-0000-000004000000}"/>
    <cellStyle name="Currency 2 2" xfId="14" xr:uid="{00000000-0005-0000-0000-000005000000}"/>
    <cellStyle name="Currency 4" xfId="4" xr:uid="{00000000-0005-0000-0000-000006000000}"/>
    <cellStyle name="Normal 2" xfId="3" xr:uid="{00000000-0005-0000-0000-000008000000}"/>
    <cellStyle name="Normal 2 2" xfId="10" xr:uid="{00000000-0005-0000-0000-000009000000}"/>
    <cellStyle name="Normal 2 2 2" xfId="27" xr:uid="{96DF95BC-E126-634E-891A-5E7413FDB035}"/>
    <cellStyle name="Normal 2 3" xfId="17" xr:uid="{F6DBB05E-9888-4A6C-9EEF-58298DDEAD73}"/>
    <cellStyle name="Normal 2 4" xfId="21" xr:uid="{4660EA87-851C-1C49-8A18-68F79D728CA4}"/>
    <cellStyle name="Normal 2 5" xfId="23" xr:uid="{E339C6F0-59B3-9943-8D22-8A39761E2339}"/>
    <cellStyle name="Normal 3" xfId="5" xr:uid="{00000000-0005-0000-0000-00000A000000}"/>
    <cellStyle name="Normal 3 2" xfId="11" xr:uid="{00000000-0005-0000-0000-00000B000000}"/>
    <cellStyle name="Normal 4" xfId="15" xr:uid="{00000000-0005-0000-0000-00000C000000}"/>
    <cellStyle name="Normal 5" xfId="16" xr:uid="{A3BD656B-D99A-429F-AD1C-0DC116312554}"/>
    <cellStyle name="Normal 6" xfId="19" xr:uid="{F91BC151-3C7B-4A81-8A3B-D66E80300A71}"/>
    <cellStyle name="Percent 2" xfId="7" xr:uid="{00000000-0005-0000-0000-00000E000000}"/>
    <cellStyle name="Percent 2 2" xfId="13" xr:uid="{00000000-0005-0000-0000-00000F000000}"/>
    <cellStyle name="百分比" xfId="2" builtinId="5"/>
    <cellStyle name="常规" xfId="0" builtinId="0"/>
    <cellStyle name="常规 2" xfId="22" xr:uid="{2D17995D-0C9D-6E46-AEEC-AE93B3BEB42F}"/>
    <cellStyle name="常规 2 2" xfId="25" xr:uid="{0D4F40DE-DD5C-374B-A0C6-AC0CCA4B10E6}"/>
    <cellStyle name="常规 3" xfId="24" xr:uid="{630479D1-E16A-2644-AA89-B92E4B500B59}"/>
    <cellStyle name="超链接" xfId="18" builtinId="8"/>
    <cellStyle name="超链接 2" xfId="26" xr:uid="{6F7E1CF1-8508-5346-A28F-11928236B62E}"/>
    <cellStyle name="货币" xfId="9" builtinId="4"/>
    <cellStyle name="千位分隔" xfId="1" builtinId="3"/>
  </cellStyles>
  <dxfs count="126">
    <dxf>
      <font>
        <color rgb="FF9C0006"/>
      </font>
      <fill>
        <patternFill patternType="solid">
          <bgColor rgb="FFFFC7CE"/>
        </patternFill>
      </fill>
    </dxf>
    <dxf>
      <fill>
        <patternFill>
          <bgColor theme="2" tint="-0.24994659260841701"/>
        </patternFill>
      </fill>
    </dxf>
    <dxf>
      <fill>
        <patternFill>
          <bgColor rgb="FFDCE9F6"/>
        </patternFill>
      </fill>
    </dxf>
    <dxf>
      <fill>
        <patternFill>
          <bgColor theme="2" tint="-0.24994659260841701"/>
        </patternFill>
      </fill>
    </dxf>
    <dxf>
      <fill>
        <patternFill>
          <bgColor rgb="FFDCE9F6"/>
        </patternFill>
      </fill>
    </dxf>
    <dxf>
      <fill>
        <patternFill>
          <bgColor theme="2" tint="-0.24994659260841701"/>
        </patternFill>
      </fill>
    </dxf>
    <dxf>
      <fill>
        <patternFill>
          <bgColor rgb="FFDCE9F6"/>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DCE9F6"/>
        </patternFill>
      </fill>
    </dxf>
    <dxf>
      <fill>
        <patternFill>
          <bgColor theme="2" tint="-0.24994659260841701"/>
        </patternFill>
      </fill>
    </dxf>
    <dxf>
      <fill>
        <patternFill>
          <bgColor rgb="FFDCE9F6"/>
        </patternFill>
      </fill>
    </dxf>
    <dxf>
      <fill>
        <patternFill>
          <bgColor theme="2" tint="-0.24994659260841701"/>
        </patternFill>
      </fill>
    </dxf>
    <dxf>
      <fill>
        <patternFill>
          <bgColor rgb="FFDCE9F6"/>
        </patternFill>
      </fill>
    </dxf>
    <dxf>
      <fill>
        <patternFill>
          <bgColor theme="2" tint="-0.24994659260841701"/>
        </patternFill>
      </fill>
    </dxf>
    <dxf>
      <fill>
        <patternFill>
          <bgColor rgb="FFDCE9F6"/>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rgb="FFDCE9F6"/>
        </patternFill>
      </fill>
    </dxf>
    <dxf>
      <fill>
        <patternFill patternType="solid">
          <fgColor rgb="FFFABF8F"/>
          <bgColor rgb="FFFABF8F"/>
        </patternFill>
      </fill>
    </dxf>
    <dxf>
      <fill>
        <patternFill patternType="solid">
          <fgColor rgb="FFC00000"/>
          <bgColor rgb="FFC00000"/>
        </patternFill>
      </fill>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rgb="FFDCE9F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rgb="FFDCE9F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rgb="FFDCE9F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theme="7"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rgb="FFDCE9F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rgb="FFF8E1E3"/>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rgb="FFF8E1E3"/>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rgb="FFF8E1E3"/>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rgb="FFF8E1E3"/>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outline="0">
        <left/>
        <right style="thin">
          <color indexed="64"/>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protection locked="1" hidden="0"/>
    </dxf>
    <dxf>
      <alignment horizontal="left" textRotation="0" wrapText="0" indent="0" justifyLastLine="0" shrinkToFit="0" readingOrder="0"/>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left" vertical="center" textRotation="0" wrapText="1" indent="0" justifyLastLine="0" shrinkToFit="0" readingOrder="0"/>
      <border diagonalUp="0" diagonalDown="0" outline="0">
        <left/>
        <right style="thin">
          <color indexed="64"/>
        </right>
        <top style="thin">
          <color indexed="64"/>
        </top>
        <bottom/>
      </border>
      <protection locked="1" hidden="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0"/>
        <name val="Arial"/>
        <family val="2"/>
        <scheme val="none"/>
      </font>
      <fill>
        <patternFill patternType="solid">
          <fgColor indexed="64"/>
          <bgColor theme="7"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rgb="FFDCE9F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theme="7"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fill>
        <patternFill patternType="solid">
          <fgColor indexed="64"/>
          <bgColor rgb="FFDCE9F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fill>
        <patternFill patternType="solid">
          <fgColor indexed="64"/>
          <bgColor rgb="FFF8E1E3"/>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rgb="FFF8E1E3"/>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fill>
        <patternFill patternType="solid">
          <fgColor indexed="64"/>
          <bgColor rgb="FFF8E1E3"/>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rgb="FFF8E1E3"/>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left" textRotation="0" wrapText="0" indent="0" justifyLastLine="0" shrinkToFit="0" readingOrder="0"/>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4"/>
        <color auto="1"/>
        <name val="宋体"/>
        <family val="2"/>
        <scheme val="minor"/>
      </font>
      <fill>
        <patternFill patternType="solid">
          <fgColor indexed="64"/>
          <bgColor theme="7" tint="0.79998168889431442"/>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auto="1"/>
        <name val="宋体"/>
        <family val="2"/>
        <scheme val="minor"/>
      </font>
      <numFmt numFmtId="1" formatCode="0"/>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0"/>
        <name val="Arial"/>
        <family val="2"/>
        <scheme val="none"/>
      </font>
      <fill>
        <patternFill patternType="solid">
          <fgColor indexed="64"/>
          <bgColor theme="7"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88" formatCode="#,##0_ "/>
    </dxf>
    <dxf>
      <fill>
        <patternFill>
          <bgColor theme="5" tint="-9.9948118533890809E-2"/>
        </patternFill>
      </fill>
    </dxf>
    <dxf>
      <fill>
        <patternFill>
          <bgColor theme="5" tint="-9.9948118533890809E-2"/>
        </patternFill>
      </fill>
    </dxf>
    <dxf>
      <font>
        <b/>
        <i val="0"/>
      </font>
      <border diagonalUp="0" diagonalDown="0">
        <left/>
        <right/>
        <top/>
        <bottom/>
        <vertical/>
        <horizontal/>
      </border>
    </dxf>
    <dxf>
      <font>
        <b val="0"/>
        <i val="0"/>
        <strike val="0"/>
        <color theme="1"/>
      </font>
      <fill>
        <patternFill patternType="none">
          <bgColor auto="1"/>
        </patternFill>
      </fill>
      <border diagonalUp="0" diagonalDown="0">
        <left/>
        <right/>
        <top style="thin">
          <color theme="5" tint="-0.24994659260841701"/>
        </top>
        <bottom style="thin">
          <color theme="5" tint="-0.24994659260841701"/>
        </bottom>
        <vertical/>
        <horizontal style="thin">
          <color theme="5" tint="-0.24994659260841701"/>
        </horizontal>
      </border>
    </dxf>
    <dxf>
      <font>
        <sz val="8"/>
        <color theme="1" tint="0.24994659260841701"/>
        <name val="Calibri"/>
        <scheme val="minor"/>
      </font>
      <fill>
        <patternFill>
          <bgColor theme="5" tint="-9.9948118533890809E-2"/>
        </patternFill>
      </fill>
      <border diagonalUp="0" diagonalDown="0">
        <left/>
        <right/>
        <top/>
        <bottom/>
        <vertical/>
        <horizontal/>
      </border>
    </dxf>
    <dxf>
      <font>
        <sz val="9"/>
        <color theme="4" tint="-0.499984740745262"/>
        <name val="Calibri Light"/>
        <family val="2"/>
        <scheme val="major"/>
      </font>
      <border diagonalUp="0" diagonalDown="0">
        <left/>
        <right/>
        <top/>
        <bottom/>
        <vertical/>
        <horizontal/>
      </border>
    </dxf>
  </dxfs>
  <tableStyles count="4" defaultTableStyle="TableStyleMedium2" defaultPivotStyle="PivotStyleLight16">
    <tableStyle name="CustomSlicerStyle1" pivot="0" table="0" count="10" xr9:uid="{489AE150-3BA1-4363-8F39-9EAAE18C8B2A}">
      <tableStyleElement type="wholeTable" dxfId="125"/>
      <tableStyleElement type="headerRow" dxfId="124"/>
    </tableStyle>
    <tableStyle name="New PivotStyle" table="0" count="2" xr9:uid="{434B8041-BF9F-46DF-94A5-56C6DE21D2CE}">
      <tableStyleElement type="wholeTable" dxfId="123"/>
      <tableStyleElement type="headerRow" dxfId="122"/>
    </tableStyle>
    <tableStyle name="TableStyleLight13 2" pivot="0" count="1" xr9:uid="{B293B9A5-585F-4783-B322-1F29B90B8E0C}">
      <tableStyleElement type="wholeTable" dxfId="121"/>
    </tableStyle>
    <tableStyle name="TableStyleLight13 2 2" pivot="0" count="1" xr9:uid="{260DA686-3E4E-4445-9723-69007C1198FA}">
      <tableStyleElement type="wholeTable" dxfId="120"/>
    </tableStyle>
  </tableStyles>
  <colors>
    <mruColors>
      <color rgb="FFDCE9F6"/>
      <color rgb="FFF8E1E3"/>
      <color rgb="FFF5D8D6"/>
      <color rgb="FFCC0000"/>
      <color rgb="FFFFC7CD"/>
      <color rgb="FFF8F8F8"/>
      <color rgb="FF1F497D"/>
    </mruColors>
  </colors>
  <extLst>
    <ext xmlns:x14="http://schemas.microsoft.com/office/spreadsheetml/2009/9/main" uri="{46F421CA-312F-682f-3DD2-61675219B42D}">
      <x14:dxfs count="8">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rgb="FF000000"/>
            <name val="Calibri"/>
            <family val="2"/>
            <scheme val="minor"/>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theme="9" tint="-0.499984740745262"/>
            <name val="Calibri"/>
            <family val="2"/>
            <scheme val="minor"/>
          </font>
          <fill>
            <patternFill patternType="solid">
              <fgColor theme="9" tint="0.59996337778862885"/>
              <bgColor theme="9" tint="0.79998168889431442"/>
            </patternFill>
          </fill>
          <border>
            <left style="thin">
              <color rgb="FFCCCCCC"/>
            </left>
            <right style="thin">
              <color rgb="FFCCCCCC"/>
            </right>
            <top style="thin">
              <color rgb="FFCCCCCC"/>
            </top>
            <bottom style="thin">
              <color rgb="FFCCCCCC"/>
            </bottom>
            <vertical/>
            <horizontal/>
          </border>
        </dxf>
        <dxf>
          <font>
            <color theme="9" tint="-0.499984740745262"/>
            <name val="Calibri"/>
            <scheme val="minor"/>
          </font>
          <fill>
            <patternFill patternType="solid">
              <fgColor theme="9" tint="0.59996337778862885"/>
              <bgColor theme="9" tint="0.79998168889431442"/>
            </patternFill>
          </fill>
          <border>
            <left style="thin">
              <color rgb="FF999999"/>
            </left>
            <right style="thin">
              <color rgb="FF999999"/>
            </right>
            <top style="thin">
              <color rgb="FF999999"/>
            </top>
            <bottom style="thin">
              <color rgb="FF999999"/>
            </bottom>
            <vertical/>
            <horizontal/>
          </border>
        </dxf>
        <dxf>
          <font>
            <color theme="1" tint="0.24994659260841701"/>
            <name val="Calibri"/>
            <family val="2"/>
            <scheme val="minor"/>
          </font>
          <fill>
            <patternFill patternType="solid">
              <fgColor rgb="FFFFFFFF"/>
              <bgColor theme="6" tint="0.79998168889431442"/>
            </patternFill>
          </fill>
          <border>
            <left style="thin">
              <color rgb="FFE0E0E0"/>
            </left>
            <right style="thin">
              <color rgb="FFE0E0E0"/>
            </right>
            <top style="thin">
              <color rgb="FFE0E0E0"/>
            </top>
            <bottom style="thin">
              <color rgb="FFE0E0E0"/>
            </bottom>
            <vertical/>
            <horizontal/>
          </border>
        </dxf>
        <dxf>
          <font>
            <color theme="1" tint="0.24994659260841701"/>
            <name val="Calibri"/>
            <family val="2"/>
            <scheme val="minor"/>
          </font>
          <fill>
            <patternFill patternType="solid">
              <fgColor rgb="FFFFFFFF"/>
              <bgColor theme="6"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SlicerStyle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Liu, Charlie Z." id="{AE2FD5AD-39A4-3948-BA17-CA517E6A4DCC}" userId="S::Charlie.Z.Liu@disney.com::efa87da9-f181-4cbb-a0df-a96a28c7a442"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xiaoyu/Downloads/&#24402;&#26723;/TASK_Tmall%20Physical%20Gift%20Card%20Phase%20I(Ticket%20voucher)%20-%20PET_Project%20Estimation%20Tool%20-%20cost.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w254" refreshedDate="45582.415270486112" createdVersion="8" refreshedVersion="8" minRefreshableVersion="3" recordCount="407" xr:uid="{3069B73D-EC09-1B42-90A6-FB58D42D9386}">
  <cacheSource type="worksheet">
    <worksheetSource ref="A4:U382" sheet="Cost Breakdown" r:id="rId2"/>
  </cacheSource>
  <cacheFields count="21">
    <cacheField name="BRD Overview" numFmtId="0">
      <sharedItems/>
    </cacheField>
    <cacheField name="BRD Priority" numFmtId="0">
      <sharedItems containsSemiMixedTypes="0" containsString="0" containsNumber="1" containsInteger="1" minValue="0" maxValue="6"/>
    </cacheField>
    <cacheField name="BRD Detailed Requirement" numFmtId="0">
      <sharedItems/>
    </cacheField>
    <cacheField name="EPIC Title" numFmtId="0">
      <sharedItems/>
    </cacheField>
    <cacheField name="EPIC Story" numFmtId="0">
      <sharedItems longText="1"/>
    </cacheField>
    <cacheField name="Task / Description" numFmtId="0">
      <sharedItems containsBlank="1" longText="1"/>
    </cacheField>
    <cacheField name="CAPEX/_x000a_OTE" numFmtId="0">
      <sharedItems containsBlank="1" count="3">
        <s v="CAPEX"/>
        <s v="OTE"/>
        <m/>
      </sharedItems>
    </cacheField>
    <cacheField name="Release" numFmtId="0">
      <sharedItems containsBlank="1"/>
    </cacheField>
    <cacheField name="Vendor/SHDR" numFmtId="0">
      <sharedItems containsBlank="1" count="3">
        <s v="Vendor "/>
        <s v="SHDR"/>
        <m/>
      </sharedItems>
    </cacheField>
    <cacheField name="Cost Type" numFmtId="0">
      <sharedItems containsBlank="1"/>
    </cacheField>
    <cacheField name="Asset" numFmtId="0">
      <sharedItems containsBlank="1" count="5">
        <s v="Tmall Gift Card"/>
        <m/>
        <s v="Coupon Commerce"/>
        <s v="Ticketing Commerce"/>
        <s v="Shopping Cart"/>
      </sharedItems>
    </cacheField>
    <cacheField name="Team" numFmtId="0">
      <sharedItems containsBlank="1" count="9">
        <s v="SE"/>
        <s v="Quality Operations"/>
        <s v="PMO"/>
        <s v="Information Security"/>
        <s v="Enterprise Architecture"/>
        <m/>
        <s v="WDP&amp;R Technology"/>
        <s v="Digital Engineering"/>
        <s v="Digital Product"/>
      </sharedItems>
    </cacheField>
    <cacheField name="Role list" numFmtId="0">
      <sharedItems containsBlank="1" count="16">
        <s v="System Engineer"/>
        <s v="Data Engineer"/>
        <m/>
        <s v="Quality Assurance"/>
        <s v="Release Manager"/>
        <s v="Incident Analyst"/>
        <s v="Security/Compliance"/>
        <s v="Solution Architect"/>
        <s v="Operation Engineer"/>
        <s v="Delivery Manager"/>
        <s v="Producer"/>
        <s v="Product Manager"/>
        <s v="Product Designer"/>
        <s v="Front-end Developer"/>
        <s v="Back-end Developer"/>
        <s v="Solution Manager"/>
      </sharedItems>
    </cacheField>
    <cacheField name="Contractor (Y/N)" numFmtId="0">
      <sharedItems containsBlank="1"/>
    </cacheField>
    <cacheField name="Contractor Level" numFmtId="0">
      <sharedItems containsBlank="1"/>
    </cacheField>
    <cacheField name="New Hiring (Y/N)" numFmtId="0">
      <sharedItems containsBlank="1"/>
    </cacheField>
    <cacheField name="Refresh/Replacement_x000a_(Y/N)" numFmtId="0">
      <sharedItems containsBlank="1"/>
    </cacheField>
    <cacheField name="Labor Hours/_x000a_Quantities" numFmtId="0">
      <sharedItems containsString="0" containsBlank="1" containsNumber="1" containsInteger="1" minValue="1" maxValue="960"/>
    </cacheField>
    <cacheField name="Rate / Unit Price_x000a_RMB" numFmtId="178">
      <sharedItems containsString="0" containsBlank="1" containsNumber="1" minValue="0" maxValue="35910"/>
    </cacheField>
    <cacheField name="Amount_x000a_RMB" numFmtId="178">
      <sharedItems containsSemiMixedTypes="0" containsString="0" containsNumber="1" minValue="0" maxValue="464633.63570097619"/>
    </cacheField>
    <cacheField name="Amount_x000a_USD" numFmtId="178">
      <sharedItems containsSemiMixedTypes="0" containsString="0" containsNumber="1" minValue="0" maxValue="67928.89410832985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7">
  <r>
    <s v="0. Centralize"/>
    <n v="0"/>
    <s v="0.1 SE|Hosting "/>
    <s v="0.1.1 SE|System deployment in Cloud"/>
    <s v="0.1.1 Services/systems set up in cloud, Create new cloud accounts, New vendor system support in Cloud_x000a_在云端设置服务/系统，创建新云账号，支持新供应商系统在云端部署"/>
    <s v="Alicloud"/>
    <x v="0"/>
    <s v="Release 1"/>
    <x v="0"/>
    <s v="Labor"/>
    <x v="0"/>
    <x v="0"/>
    <x v="0"/>
    <s v="Y"/>
    <s v="Level 4 (5-8Years)"/>
    <s v="N"/>
    <m/>
    <n v="160"/>
    <n v="325.24220077220076"/>
    <n v="52038.75212355212"/>
    <n v="7608.004696425749"/>
  </r>
  <r>
    <s v="0. Centralize"/>
    <n v="0"/>
    <s v="0.1 SE|Hosting "/>
    <s v="0.1.1 SE|System deployment in Cloud"/>
    <s v="0.1.1 Services/systems set up in cloud, Create new cloud accounts, New vendor system support in Cloud_x000a_在云端设置服务/系统，创建新云账号，支持新供应商系统在云端部署"/>
    <s v="Jushita"/>
    <x v="0"/>
    <s v="Release 1"/>
    <x v="0"/>
    <s v="Labor"/>
    <x v="0"/>
    <x v="0"/>
    <x v="0"/>
    <s v="Y"/>
    <s v="Level 4 (5-8Years)"/>
    <s v="N"/>
    <m/>
    <n v="160"/>
    <n v="325.24220077220076"/>
    <n v="52038.75212355212"/>
    <n v="7608.004696425749"/>
  </r>
  <r>
    <s v="0. Centralize"/>
    <n v="0"/>
    <s v="0.1 SE|Hosting "/>
    <s v="0.1.3 SE|Database deployment in Cloud"/>
    <s v="0.1.3 Database set up in cloud, dashboard requirements, database schema changes, data migration_x000a_在云端设置数据库，仪表盘需求，数据库架构更改，数据迁移"/>
    <s v="Alicloud  Mysql_x000a_Database set up_x000a_Live dashboard for 8api"/>
    <x v="0"/>
    <s v="Release 1"/>
    <x v="1"/>
    <s v="Labor"/>
    <x v="0"/>
    <x v="0"/>
    <x v="1"/>
    <s v="N"/>
    <m/>
    <s v="N"/>
    <m/>
    <n v="144"/>
    <n v="365.32159934082404"/>
    <n v="52606.310305078659"/>
    <n v="7690.9810387541902"/>
  </r>
  <r>
    <s v="0. Centralize"/>
    <n v="0"/>
    <s v="0.1 SE|Hosting "/>
    <s v="0.1.4 SE|Cloud Hosting"/>
    <s v="0.1.4 Hosting fee in AliCloud, AWS_x000a_在阿里云、AWS上的托管费用"/>
    <s v="Alicloud Hosting before launch_x000a_阿里云托管费用，Launch前费用"/>
    <x v="1"/>
    <s v="Release 1"/>
    <x v="0"/>
    <s v="AliCloud Infrastructure"/>
    <x v="0"/>
    <x v="0"/>
    <x v="2"/>
    <s v=""/>
    <m/>
    <m/>
    <m/>
    <n v="1"/>
    <n v="35910"/>
    <n v="35910"/>
    <n v="5250"/>
  </r>
  <r>
    <s v="0. Centralize"/>
    <n v="0"/>
    <s v="0.1 SE|Hosting "/>
    <s v="0.1.4 SE|Cloud Hosting"/>
    <s v="0.1.4 Hosting fee in AliCloud, AWS_x000a_在阿里云、AWS上的托管费用"/>
    <s v="Jushita Hosting  before launch_x000a_聚石塔托管费用，Launch前费用"/>
    <x v="1"/>
    <s v="Release 1"/>
    <x v="0"/>
    <s v="Jushita Infrastructure"/>
    <x v="0"/>
    <x v="0"/>
    <x v="2"/>
    <s v=""/>
    <m/>
    <m/>
    <m/>
    <n v="1"/>
    <n v="33750"/>
    <n v="33750"/>
    <n v="4934.2105263157891"/>
  </r>
  <r>
    <s v="0. Centralize"/>
    <n v="0"/>
    <s v="0.1 SE|Hosting "/>
    <s v="0.1.4 SE|Cloud Hosting"/>
    <s v="0.1.4 Hosting fee in AliCloud, AWS_x000a_在阿里云、AWS上的托管费用"/>
    <s v="Alicloud Mysql Hosting  before launch_x000a_阿里云mysql托管费用，Launch前费用"/>
    <x v="1"/>
    <s v="Release 1"/>
    <x v="0"/>
    <s v="AliCloud Infrastructure"/>
    <x v="0"/>
    <x v="0"/>
    <x v="2"/>
    <s v=""/>
    <m/>
    <m/>
    <m/>
    <n v="1"/>
    <n v="35640"/>
    <n v="35640"/>
    <n v="5210.5263157894742"/>
  </r>
  <r>
    <s v="0. Centralize"/>
    <n v="0"/>
    <s v="0.2 QO|GQE"/>
    <s v="0.2.1 GQE | Manual Testing"/>
    <s v="0.2.1 Design test cases, execute test cases, analyze defects, write test reports for Manual Testing._x000a_设计测试用例，执行测试用例，分析缺陷，撰写手动测试报告"/>
    <s v="GQE Quality Governance (5D / Month)"/>
    <x v="0"/>
    <s v="Release 1"/>
    <x v="0"/>
    <s v="Labor"/>
    <x v="0"/>
    <x v="1"/>
    <x v="3"/>
    <s v="Y"/>
    <s v="Level 4 (5-8Years)"/>
    <s v="N"/>
    <m/>
    <n v="280"/>
    <n v="265.63458993476246"/>
    <n v="74377.685181733483"/>
    <n v="10873.930582124778"/>
  </r>
  <r>
    <s v="0. Centralize"/>
    <n v="0"/>
    <s v="0.2 QO|GQE"/>
    <s v="0.2.2 GQE | Automation Testing"/>
    <s v="0.2.2 Design test cases, encode test cases, execute automation scripts, analyze defects, write test reports for Automation Testing._x000a_设计测试用例，编写测试代码，执行自动化脚本，分析缺陷，撰写自动化测试报告"/>
    <s v="Automation Testing (API + UI)"/>
    <x v="1"/>
    <s v="Release 1"/>
    <x v="0"/>
    <s v="Vendor Service"/>
    <x v="0"/>
    <x v="1"/>
    <x v="2"/>
    <s v=""/>
    <m/>
    <m/>
    <m/>
    <n v="1"/>
    <n v="22050.400000000001"/>
    <n v="22050.400000000001"/>
    <n v="3223.7426900584796"/>
  </r>
  <r>
    <s v="0. Centralize"/>
    <n v="0"/>
    <s v="0.2 QO|GQE"/>
    <s v="0.2.3 GQE | Performance Testing"/>
    <s v="0.2.3 Design test cases, encode test cases, execute performance test cases, analyze defects, write test reports for Performance Testing._x000a_设计测试用例，编写性能测试代码，执行性能测试，分析缺陷，撰写性能测试报告"/>
    <s v="Service Performance Testing"/>
    <x v="0"/>
    <s v="Release 1"/>
    <x v="0"/>
    <s v="Labor"/>
    <x v="0"/>
    <x v="1"/>
    <x v="3"/>
    <s v="Y"/>
    <s v="Level 4 (5-8Years)"/>
    <s v="N"/>
    <m/>
    <n v="160"/>
    <n v="265.63458993476246"/>
    <n v="42501.534389561995"/>
    <n v="6213.6746183570167"/>
  </r>
  <r>
    <s v="0. Centralize"/>
    <n v="0"/>
    <s v="0.3 QO|Release Management"/>
    <s v="0.3.1 RM | Change and Release Support"/>
    <s v="0.3.1 Plan, design, schedule, validate, deploy and control system changes and releases to support system launches. _x000a_计划、设计、安排、验证、部署和控制系统变更和发布，以支持系统上线"/>
    <m/>
    <x v="0"/>
    <s v="Release 1"/>
    <x v="1"/>
    <s v="Labor"/>
    <x v="0"/>
    <x v="2"/>
    <x v="4"/>
    <s v="N"/>
    <m/>
    <s v="N"/>
    <m/>
    <n v="16"/>
    <n v="483.99337052185018"/>
    <n v="7743.8939283496029"/>
    <n v="1132.1482351388308"/>
  </r>
  <r>
    <s v="0. Centralize"/>
    <n v="0"/>
    <s v="0.4 QO|Incident Management"/>
    <s v="0.4.1 L2 | Configuration Management"/>
    <s v="0.4.1 Perform configuration changes on TYK, ACP, UAP, VDM._x000a_对TYK、ACP、UAP、VDM进行配置更改"/>
    <s v="Perform configuration changes on TYK, ACP, UAP, VDM"/>
    <x v="0"/>
    <s v="Release 1"/>
    <x v="0"/>
    <s v="Labor"/>
    <x v="0"/>
    <x v="2"/>
    <x v="5"/>
    <s v="Y"/>
    <s v="Level 4 (5-8Years)"/>
    <s v="N"/>
    <m/>
    <n v="160"/>
    <n v="265.63458993476246"/>
    <n v="42501.534389561995"/>
    <n v="6213.6746183570167"/>
  </r>
  <r>
    <s v="0. Centralize"/>
    <n v="0"/>
    <s v="0.6 InfoSec|Information Security"/>
    <s v="0.6.1 InfoSec|Security Terms Review in the Contract"/>
    <s v="0.6.1 Whenever the 3rd party provider would like to change the default information security terms and schedules, the project team needs to contact InfoSec for change review._x000a_如果第三方供应商希望更改默认的信息安全条款和协议，项目团队需要联系信息安全部门进行审查"/>
    <s v="Contract security terms review"/>
    <x v="0"/>
    <s v="Release 1"/>
    <x v="0"/>
    <s v="Labor"/>
    <x v="0"/>
    <x v="3"/>
    <x v="6"/>
    <s v="Y"/>
    <s v="Level 3 (8-10Years)"/>
    <s v="Y"/>
    <m/>
    <n v="24"/>
    <n v="325.24220077220076"/>
    <n v="7805.8128185328187"/>
    <n v="1141.2007044638624"/>
  </r>
  <r>
    <s v="0. Centralize"/>
    <n v="0"/>
    <s v="0.6 InfoSec|Information Security"/>
    <s v="0.6.2 InfoSec|Information Security Assessment (ISA)"/>
    <s v="0.6.2 All the new applications and significant change to the existing applications need to complete the information security assessment._x000a_所有新应用程序和现有应用程序的重大更改都需要完成信息安全评估"/>
    <s v="Security assessment "/>
    <x v="0"/>
    <s v="Release 1"/>
    <x v="0"/>
    <s v="Labor"/>
    <x v="0"/>
    <x v="3"/>
    <x v="6"/>
    <s v="Y"/>
    <s v="Level 3 (8-10Years)"/>
    <s v="Y"/>
    <m/>
    <n v="80"/>
    <n v="325.24220077220076"/>
    <n v="26019.37606177606"/>
    <n v="3804.0023482128745"/>
  </r>
  <r>
    <s v="0. Centralize"/>
    <n v="0"/>
    <s v="0.6 InfoSec|Information Security"/>
    <s v="0.6.3 InfoSec|RFP Security Questionnaire and/or Third Party Assessment (TPA)"/>
    <s v="0.6.3 If a 3rd party provider is involved, RFP security questionnaire is mandatory to be filled, and if necessary the Third Party Assessment should be conducted._x000a_如果涉及第三方供应商，必须填写RFP安全问卷，必要时进行第三方评估"/>
    <s v="Security assessment "/>
    <x v="0"/>
    <s v="Release 1"/>
    <x v="0"/>
    <s v="Labor"/>
    <x v="0"/>
    <x v="3"/>
    <x v="6"/>
    <s v="Y"/>
    <s v="Level 3 (8-10Years)"/>
    <s v="Y"/>
    <m/>
    <n v="80"/>
    <n v="325.24220077220076"/>
    <n v="26019.37606177606"/>
    <n v="3804.0023482128745"/>
  </r>
  <r>
    <s v="0. Centralize"/>
    <n v="0"/>
    <s v="0.6 InfoSec|Information Security"/>
    <s v="0.6.4 InfoSec|Application Security Enrollment and Testing "/>
    <s v="0.6.4 This includes the applicable enrollment and testing, such as SAST, DAST, Pen-Test, Privacy Scan, Mobile Shield and etc._x000a_包括适用的注册和测试，如SAST、DAST、渗透测试、隐私扫描、移动防护等"/>
    <s v="Security Operation"/>
    <x v="0"/>
    <s v="Release 1"/>
    <x v="0"/>
    <s v="Labor"/>
    <x v="0"/>
    <x v="3"/>
    <x v="6"/>
    <s v="Y"/>
    <s v="Level 3 (8-10Years)"/>
    <s v="Y"/>
    <m/>
    <n v="20"/>
    <n v="325.24220077220076"/>
    <n v="6504.844015444015"/>
    <n v="951.00058705321862"/>
  </r>
  <r>
    <s v="0. Centralize"/>
    <n v="0"/>
    <s v="0.6 InfoSec|Information Security"/>
    <s v="0.6.5 InfoSec|Security Operation Monitoring and Verificiation"/>
    <s v="0.6.5 This includes security monitoring, such as database activity monitoring, cloud application monitoring, vulnerability monitoring, security configuration verification and security logs monitoring etc._x000a_包括数据库活动监控、云应用监控、漏洞监控、安全配置验证和安全日志监控等"/>
    <s v="Security Operation"/>
    <x v="0"/>
    <s v="Release 1"/>
    <x v="0"/>
    <s v="Labor"/>
    <x v="0"/>
    <x v="3"/>
    <x v="6"/>
    <s v="Y"/>
    <s v="Level 3 (8-10Years)"/>
    <s v="Y"/>
    <m/>
    <n v="20"/>
    <n v="325.24220077220076"/>
    <n v="6504.844015444015"/>
    <n v="951.00058705321862"/>
  </r>
  <r>
    <s v="0. Centralize"/>
    <n v="0"/>
    <s v="0.6 InfoSec|Information Security"/>
    <s v="0.6.6 InfoSec|Identity and Access Management"/>
    <s v="0.6.6 Integration with central authentication and authorization platforms. _x000a_集成中央认证和授权平台"/>
    <s v="Security Operation"/>
    <x v="0"/>
    <s v="Release 1"/>
    <x v="0"/>
    <s v="Labor"/>
    <x v="0"/>
    <x v="3"/>
    <x v="6"/>
    <s v="Y"/>
    <s v="Level 3 (8-10Years)"/>
    <s v="Y"/>
    <m/>
    <n v="20"/>
    <n v="325.24220077220076"/>
    <n v="6504.844015444015"/>
    <n v="951.00058705321862"/>
  </r>
  <r>
    <s v="0. Centralize"/>
    <n v="0"/>
    <s v="0.6 InfoSec|Information Security"/>
    <s v="0.6.7 InfoSec|Online Fraud Detection"/>
    <s v="0.6.7 Online fraud rules review and integration with AOFD platform_x000a_在线欺诈规则审查并集成到AOFD平台"/>
    <s v="Security Operation"/>
    <x v="0"/>
    <s v="Release 1"/>
    <x v="0"/>
    <s v="Labor"/>
    <x v="0"/>
    <x v="3"/>
    <x v="6"/>
    <s v="Y"/>
    <s v="Level 3 (8-10Years)"/>
    <s v="Y"/>
    <m/>
    <n v="20"/>
    <n v="325.24220077220076"/>
    <n v="6504.844015444015"/>
    <n v="951.00058705321862"/>
  </r>
  <r>
    <s v="0. Centralize"/>
    <n v="0"/>
    <s v="0.7 EA|Enterprise Architecture"/>
    <s v="0.7.1 EA|Solution Architecture Review"/>
    <s v="0.7.1 Collaborative work for appropriate design of availability, resilience, integrations and ensure all EA standards are aligned and complied_x000a_协作设计可用性、弹性、集成的适当架构，确保所有企业架构标准对齐并符合要求"/>
    <s v="Solution Architecture Review"/>
    <x v="0"/>
    <s v="Release 1"/>
    <x v="0"/>
    <s v="Labor"/>
    <x v="0"/>
    <x v="4"/>
    <x v="7"/>
    <s v="Y"/>
    <s v="Level 2 (10+Years)"/>
    <s v="N"/>
    <m/>
    <n v="480"/>
    <n v="325.24220077220076"/>
    <n v="156116.25637065637"/>
    <n v="22824.014089277247"/>
  </r>
  <r>
    <s v="0. Centralize"/>
    <n v="0"/>
    <s v="0.8 F&amp;IT|Data Technology"/>
    <s v="0.8.1 Data|Data collect |Reporting|CDM Tagging"/>
    <s v="0.8.1 Collect business data, mark and report_x000a_采集业务数据，打标，报表"/>
    <m/>
    <x v="2"/>
    <m/>
    <x v="2"/>
    <m/>
    <x v="1"/>
    <x v="5"/>
    <x v="2"/>
    <s v=""/>
    <m/>
    <m/>
    <m/>
    <m/>
    <n v="0"/>
    <n v="0"/>
    <n v="0"/>
  </r>
  <r>
    <s v="0. Centralize"/>
    <n v="0"/>
    <s v="0.9 WDP&amp;R|Technology"/>
    <s v="0.9.1 Hardware Purchase"/>
    <s v="0.9.1 The handheld devices used for shipping large warehouse gift cards are CK65 models. Two handheld devices are used, each equipped with a handle and a spare battery. The hardware team is responsible for maintaining the handheld devices._x000a_大仓礼品卡发货使用的手持采购，对应型号两个手持设备CK65，每个手持配置一个把手和一块备用电池，硬件团队负责手持设备的维护"/>
    <s v="CK65 Purchase_x000a_CK65 long-range PDA (includes three years of comprehensive accidental damage coverage)_x000a_CK65 single-slot docking station (includes power adapter)_x000a_CK65 spare extended battery_x000a_CK65 quad-battery charging station (includes power adapter)_x000a_-----_x000a_CK65 采购_x000a_CK65中远距PDA（含三年人为损坏全保）_x000a_CK65配套单槽底座（含电源适配器）_x000a_CK65备用厚电池_x000a_CK65电池四联充电底座（含电源适配器）"/>
    <x v="1"/>
    <s v="Release 1"/>
    <x v="0"/>
    <s v="Hardware Purchase"/>
    <x v="0"/>
    <x v="6"/>
    <x v="2"/>
    <s v=""/>
    <m/>
    <m/>
    <s v="N"/>
    <n v="1"/>
    <n v="35850"/>
    <n v="35850"/>
    <n v="5241.2280701754389"/>
  </r>
  <r>
    <s v="0. Centralize"/>
    <n v="0"/>
    <s v="0.9 WDP&amp;R|Technology"/>
    <s v="0.9.1 Hardware Purchase"/>
    <s v="0.9.1 The handheld devices used for shipping large warehouse gift cards are CK65 models. Two handheld devices are used, each equipped with a handle and a spare battery. The hardware team is responsible for maintaining the handheld devices._x000a_大仓礼品卡发货使用的手持采购，对应型号两个手持设备CK65，每个手持配置一个把手和一块备用电池，硬件团队负责手持设备的维护"/>
    <s v="Enroll to AirWatch and test the AirWatch Profile"/>
    <x v="0"/>
    <s v="Release 1"/>
    <x v="0"/>
    <s v="Labor"/>
    <x v="0"/>
    <x v="6"/>
    <x v="8"/>
    <s v="Y"/>
    <s v="Level 5 (3-5Years）"/>
    <s v="N"/>
    <m/>
    <n v="24"/>
    <n v="216.33315315315321"/>
    <n v="5191.9956756756765"/>
    <n v="759.06369527422169"/>
  </r>
  <r>
    <s v="0. Centralize"/>
    <n v="0"/>
    <s v="0.10 Deliver Management"/>
    <s v="0.10.1 DM|Contract | Legal | Other"/>
    <s v="0.10.1 As DM, Responsible for drafting contracts and confirming legal-related clauses, technical design._x000a_作为DM，需要负责合同拟定，法务相关条款确认，技术实现等"/>
    <m/>
    <x v="0"/>
    <s v="Release 1"/>
    <x v="1"/>
    <s v="Labor"/>
    <x v="0"/>
    <x v="7"/>
    <x v="9"/>
    <s v="N"/>
    <m/>
    <s v="N"/>
    <m/>
    <n v="960"/>
    <n v="483.99337052185018"/>
    <n v="464633.63570097619"/>
    <n v="67928.894108329856"/>
  </r>
  <r>
    <s v="0. Centralize"/>
    <n v="0"/>
    <s v="0.10 Deliver Management"/>
    <s v="0.10.2 DM|Software copyright application"/>
    <s v="0.10.2 As a DM, it is necessary to apply for the corresponding software copyright to be used for applying for a self-developed application (merchant backend system) on the Taobao open platform._x000a_作为DM，需要申请对应软件著作权，以用来在淘宝开放平台申请自研应用（商家后台系统）"/>
    <s v="Software copyright materials prepare_x000a_准备软著相关申请材料"/>
    <x v="0"/>
    <s v="Release 1"/>
    <x v="1"/>
    <s v="Labor"/>
    <x v="0"/>
    <x v="7"/>
    <x v="9"/>
    <s v="N"/>
    <m/>
    <s v="N"/>
    <m/>
    <n v="240"/>
    <n v="483.99337052185018"/>
    <n v="116158.40892524405"/>
    <n v="16982.223527082464"/>
  </r>
  <r>
    <s v="0. Centralize"/>
    <n v="0"/>
    <s v="0.10 Deliver Management"/>
    <s v="0.10.2 DM|Software copyright application"/>
    <s v="0.10.2 As a DM, it is necessary to apply for the corresponding software copyright to be used for applying for a self-developed application (merchant backend system) on the Taobao open platform._x000a_作为DM，需要申请对应软件著作权，以用来在淘宝开放平台申请自研应用（商家后台系统）"/>
    <s v="_x000a_Alicloud Software copyright application agency fees_x000a_阿里云软著代申请费用目前标价2200元/次，考虑到可能会涨价按3000元/次申请费用，依据《计算机软件著作权登记办法》第二十条规定，中国版权保护中心的审查时长为60个自然日。审查时长将从中国版权保护中心受理通过后的下一个工作日开始计算。"/>
    <x v="0"/>
    <s v="Release 1"/>
    <x v="0"/>
    <s v="AliCloud Infrastructure"/>
    <x v="0"/>
    <x v="7"/>
    <x v="2"/>
    <s v=""/>
    <m/>
    <m/>
    <m/>
    <n v="1"/>
    <n v="3000"/>
    <n v="3000"/>
    <n v="438.59649122807019"/>
  </r>
  <r>
    <s v="1. Card Manufacture 礼品卡制造"/>
    <n v="5"/>
    <s v="1.1 Card Foundation Data Mgmt. and Purchase  "/>
    <s v="1.1.1 Card Foundation Data|Ticket PLU &amp; Coupon SKU"/>
    <s v="1.1.1 As Tmall Gift Card operation, I need create PLU &amp; SKU for gift card, as link to ticket in redemption_x000a_作为天猫礼品卡业务运营，需要为礼品卡创建PLU，以便单独管理库存和价格"/>
    <s v="1. Configure the copy for the redemption page_x000a_2. Configure the gift card voucher information_x000a_3. Configure the ticket information for gift card redemption"/>
    <x v="0"/>
    <s v="Release 1"/>
    <x v="0"/>
    <s v="Labor"/>
    <x v="0"/>
    <x v="8"/>
    <x v="10"/>
    <s v="Y"/>
    <s v="Level 6 (1-3Years）"/>
    <s v="N"/>
    <m/>
    <n v="200"/>
    <n v="248.42648648648645"/>
    <n v="49685.297297297293"/>
    <n v="7263.9323534060368"/>
  </r>
  <r>
    <s v="1. Card Manufacture 礼品卡制造"/>
    <n v="5"/>
    <s v="1.1 Card Foundation Data Mgmt. and Purchase  "/>
    <s v="1.1.2 Card Foundation Data|sales information"/>
    <s v="1.1.2 As Tmall Gift Card operation, I need define card data format, as manage card foundation data with sales information_x000a_作为天猫礼品卡运营，需要定义礼品卡数据格式，以便实现按卡号管理的礼品卡数据基础"/>
    <s v="Requirment Analysis"/>
    <x v="0"/>
    <s v="Release 1"/>
    <x v="1"/>
    <s v="Labor"/>
    <x v="0"/>
    <x v="8"/>
    <x v="11"/>
    <s v="N"/>
    <m/>
    <s v="N"/>
    <m/>
    <n v="44"/>
    <n v="483.99337052185018"/>
    <n v="21295.708302961408"/>
    <n v="3113.4076466317847"/>
  </r>
  <r>
    <s v="1. Card Manufacture 礼品卡制造"/>
    <n v="5"/>
    <s v="1.1 Card Foundation Data Mgmt. and Purchase  "/>
    <s v="1.1.2 Card Foundation Data|sales information"/>
    <s v="1.1.2 As Tmall Gift Card operation, I need define card data format, as manage card foundation data with sales information_x000a_作为天猫礼品卡运营，需要定义礼品卡数据格式，以便实现按卡号管理的礼品卡数据基础"/>
    <s v="UI Design"/>
    <x v="0"/>
    <s v="Release 1"/>
    <x v="0"/>
    <s v="Labor"/>
    <x v="0"/>
    <x v="8"/>
    <x v="12"/>
    <s v="Y"/>
    <s v="Level 6 (1-3Years）"/>
    <s v="N"/>
    <m/>
    <n v="29"/>
    <n v="248.42648648648645"/>
    <n v="7204.3681081081068"/>
    <n v="1053.2701912438754"/>
  </r>
  <r>
    <s v="1. Card Manufacture 礼品卡制造"/>
    <n v="5"/>
    <s v="1.1 Card Foundation Data Mgmt. and Purchase  "/>
    <s v="1.1.2 Card Foundation Data|sales information"/>
    <s v="1.1.2 As Tmall Gift Card operation, I need define card data format, as manage card foundation data with sales information_x000a_作为天猫礼品卡运营，需要定义礼品卡数据格式，以便实现按卡号管理的礼品卡数据基础"/>
    <s v="Project Management"/>
    <x v="1"/>
    <s v="Release 1"/>
    <x v="1"/>
    <s v="Labor"/>
    <x v="0"/>
    <x v="7"/>
    <x v="9"/>
    <s v="N"/>
    <m/>
    <s v="N"/>
    <m/>
    <n v="36"/>
    <n v="483.99337052185018"/>
    <n v="17423.761338786608"/>
    <n v="2547.3335290623695"/>
  </r>
  <r>
    <s v="1. Card Manufacture 礼品卡制造"/>
    <n v="5"/>
    <s v="1.1 Card Foundation Data Mgmt. and Purchase  "/>
    <s v="1.1.2 Card Foundation Data|sales information"/>
    <s v="1.1.2 As Tmall Gift Card operation, I need define card data format, as manage card foundation data with sales information_x000a_作为天猫礼品卡运营，需要定义礼品卡数据格式，以便实现按卡号管理的礼品卡数据基础"/>
    <s v="Front-End Development"/>
    <x v="0"/>
    <s v="Release 1"/>
    <x v="0"/>
    <s v="Labor"/>
    <x v="0"/>
    <x v="7"/>
    <x v="13"/>
    <s v="Y"/>
    <s v="Level 4 (5-8Years)"/>
    <s v="Y"/>
    <m/>
    <n v="240"/>
    <n v="313.50232034228594"/>
    <n v="75240.556882148623"/>
    <n v="11000.081415518805"/>
  </r>
  <r>
    <s v="1. Card Manufacture 礼品卡制造"/>
    <n v="5"/>
    <s v="1.1 Card Foundation Data Mgmt. and Purchase  "/>
    <s v="1.1.2 Card Foundation Data|sales information"/>
    <s v="1.1.2 As Tmall Gift Card operation, I need define card data format, as manage card foundation data with sales information_x000a_作为天猫礼品卡运营，需要定义礼品卡数据格式，以便实现按卡号管理的礼品卡数据基础"/>
    <s v="Back-End Development"/>
    <x v="0"/>
    <s v="Release 1"/>
    <x v="0"/>
    <s v="Labor"/>
    <x v="0"/>
    <x v="7"/>
    <x v="14"/>
    <s v="Y"/>
    <s v="Level 4 (5-8Years)"/>
    <s v="Y"/>
    <m/>
    <n v="240"/>
    <n v="313.50232034228594"/>
    <n v="75240.556882148623"/>
    <n v="11000.081415518805"/>
  </r>
  <r>
    <s v="1. Card Manufacture 礼品卡制造"/>
    <n v="5"/>
    <s v="1.1 Card Foundation Data Mgmt. and Purchase  "/>
    <s v="1.1.2 Card Foundation Data|sales information"/>
    <s v="1.1.2 As Tmall Gift Card operation, I need define card data format, as manage card foundation data with sales information_x000a_作为天猫礼品卡运营，需要定义礼品卡数据格式，以便实现按卡号管理的礼品卡数据基础"/>
    <s v="Function Testing"/>
    <x v="0"/>
    <s v="Release 1"/>
    <x v="0"/>
    <s v="Labor"/>
    <x v="0"/>
    <x v="7"/>
    <x v="3"/>
    <s v="Y"/>
    <s v="Level 4 (5-8Years)"/>
    <s v="Y"/>
    <m/>
    <n v="360"/>
    <n v="265.63458993476246"/>
    <n v="95628.452376514484"/>
    <n v="13980.767891303287"/>
  </r>
  <r>
    <s v="1. Card Manufacture 礼品卡制造"/>
    <n v="5"/>
    <s v="1.3 Card Shipment to SHDR T-mall virtual store area(locate in SHDR DC) and sync with TP WMS"/>
    <s v="1.3.1 Card Sales Data|sales specification"/>
    <s v="1.3.1 As Tmall Gift Card operation, I need maintain card sales specification, as support product configuration in Tmall_x000a_作为天猫礼品卡运营，需要维护礼品卡销售规格，以便天猫平台商品规格可以据此配置"/>
    <s v="Requirment Analysis"/>
    <x v="0"/>
    <s v="Release 1"/>
    <x v="1"/>
    <s v="Labor"/>
    <x v="0"/>
    <x v="8"/>
    <x v="11"/>
    <s v="N"/>
    <m/>
    <s v="N"/>
    <m/>
    <n v="15"/>
    <n v="483.99337052185018"/>
    <n v="7259.9005578277529"/>
    <n v="1061.388970442654"/>
  </r>
  <r>
    <s v="1. Card Manufacture 礼品卡制造"/>
    <n v="5"/>
    <s v="1.3 Card Shipment to SHDR T-mall virtual store area(locate in SHDR DC) and sync with TP WMS"/>
    <s v="1.3.1 Card Sales Data|sales specification"/>
    <s v="1.3.1 As Tmall Gift Card operation, I need maintain card sales specification, as support product configuration in Tmall_x000a_作为天猫礼品卡运营，需要维护礼品卡销售规格，以便天猫平台商品规格可以据此配置"/>
    <s v="UI Design"/>
    <x v="0"/>
    <s v="Release 1"/>
    <x v="0"/>
    <s v="Labor"/>
    <x v="0"/>
    <x v="8"/>
    <x v="12"/>
    <s v="Y"/>
    <s v="Level 6 (1-3Years）"/>
    <s v="N"/>
    <m/>
    <n v="10"/>
    <n v="248.42648648648645"/>
    <n v="2484.2648648648646"/>
    <n v="363.19661767030186"/>
  </r>
  <r>
    <s v="1. Card Manufacture 礼品卡制造"/>
    <n v="5"/>
    <s v="1.3 Card Shipment to SHDR T-mall virtual store area(locate in SHDR DC) and sync with TP WMS"/>
    <s v="1.3.1 Card Sales Data|sales specification"/>
    <s v="1.3.1 As Tmall Gift Card operation, I need maintain card sales specification, as support product configuration in Tmall_x000a_作为天猫礼品卡运营，需要维护礼品卡销售规格，以便天猫平台商品规格可以据此配置"/>
    <s v="Project Management"/>
    <x v="1"/>
    <s v="Release 1"/>
    <x v="1"/>
    <s v="Labor"/>
    <x v="0"/>
    <x v="7"/>
    <x v="9"/>
    <s v="N"/>
    <m/>
    <s v="N"/>
    <m/>
    <n v="12"/>
    <n v="483.99337052185018"/>
    <n v="5807.9204462622019"/>
    <n v="849.11117635412313"/>
  </r>
  <r>
    <s v="1. Card Manufacture 礼品卡制造"/>
    <n v="5"/>
    <s v="1.3 Card Shipment to SHDR T-mall virtual store area(locate in SHDR DC) and sync with TP WMS"/>
    <s v="1.3.1 Card Sales Data|sales specification"/>
    <s v="1.3.1 As Tmall Gift Card operation, I need maintain card sales specification, as support product configuration in Tmall_x000a_作为天猫礼品卡运营，需要维护礼品卡销售规格，以便天猫平台商品规格可以据此配置"/>
    <s v="Front-End Development"/>
    <x v="0"/>
    <s v="Release 1"/>
    <x v="0"/>
    <s v="Labor"/>
    <x v="0"/>
    <x v="7"/>
    <x v="13"/>
    <s v="Y"/>
    <s v="Level 4 (5-8Years)"/>
    <s v="Y"/>
    <m/>
    <n v="80"/>
    <n v="313.50232034228594"/>
    <n v="25080.185627382874"/>
    <n v="3666.6938051729348"/>
  </r>
  <r>
    <s v="1. Card Manufacture 礼品卡制造"/>
    <n v="5"/>
    <s v="1.3 Card Shipment to SHDR T-mall virtual store area(locate in SHDR DC) and sync with TP WMS"/>
    <s v="1.3.1 Card Sales Data|sales specification"/>
    <s v="1.3.1 As Tmall Gift Card operation, I need maintain card sales specification, as support product configuration in Tmall_x000a_作为天猫礼品卡运营，需要维护礼品卡销售规格，以便天猫平台商品规格可以据此配置"/>
    <s v="Back-End Development"/>
    <x v="0"/>
    <s v="Release 1"/>
    <x v="0"/>
    <s v="Labor"/>
    <x v="0"/>
    <x v="7"/>
    <x v="14"/>
    <s v="Y"/>
    <s v="Level 4 (5-8Years)"/>
    <s v="Y"/>
    <m/>
    <n v="80"/>
    <n v="313.50232034228594"/>
    <n v="25080.185627382874"/>
    <n v="3666.6938051729348"/>
  </r>
  <r>
    <s v="1. Card Manufacture 礼品卡制造"/>
    <n v="5"/>
    <s v="1.3 Card Shipment to SHDR T-mall virtual store area(locate in SHDR DC) and sync with TP WMS"/>
    <s v="1.3.1 Card Sales Data|sales specification"/>
    <s v="1.3.1 As Tmall Gift Card operation, I need maintain card sales specification, as support product configuration in Tmall_x000a_作为天猫礼品卡运营，需要维护礼品卡销售规格，以便天猫平台商品规格可以据此配置"/>
    <s v="Function Testing"/>
    <x v="0"/>
    <s v="Release 1"/>
    <x v="0"/>
    <s v="Labor"/>
    <x v="0"/>
    <x v="7"/>
    <x v="3"/>
    <s v="Y"/>
    <s v="Level 4 (5-8Years)"/>
    <s v="Y"/>
    <m/>
    <n v="120"/>
    <n v="265.63458993476246"/>
    <n v="31876.150792171495"/>
    <n v="4660.2559637677623"/>
  </r>
  <r>
    <s v="2. Card Sales 礼品卡售卡"/>
    <n v="6"/>
    <s v="2.4 Card receives confirmation and activation"/>
    <s v="2.4.1 Card Sales &amp; Receiving|T-Mall order|sales specification"/>
    <s v="2.4.1 As Tmall Gift Card operation, I need link card sales specification with card‘s PLU, as prepare for card redemption_x000a_作为天猫礼品卡运营，需要将礼品卡销售规格与预定义的兑换券和门票关联，以便为礼品卡兑换打下数据基础"/>
    <s v="Requirment Analysis"/>
    <x v="0"/>
    <s v="Release 1"/>
    <x v="1"/>
    <s v="Labor"/>
    <x v="0"/>
    <x v="8"/>
    <x v="11"/>
    <s v="N"/>
    <m/>
    <s v="N"/>
    <m/>
    <n v="15"/>
    <n v="483.99337052185018"/>
    <n v="7259.9005578277529"/>
    <n v="1061.388970442654"/>
  </r>
  <r>
    <s v="2. Card Sales 礼品卡售卡"/>
    <n v="6"/>
    <s v="2.4 Card receives confirmation and activation"/>
    <s v="2.4.1 Card Sales &amp; Receiving|T-Mall order|sales specification"/>
    <s v="2.4.1 As Tmall Gift Card operation, I need link card sales specification with card‘s PLU, as prepare for card redemption_x000a_作为天猫礼品卡运营，需要将礼品卡销售规格与预定义的兑换券和门票关联，以便为礼品卡兑换打下数据基础"/>
    <s v="UI Design"/>
    <x v="0"/>
    <s v="Release 1"/>
    <x v="0"/>
    <s v="Labor"/>
    <x v="0"/>
    <x v="8"/>
    <x v="12"/>
    <s v="Y"/>
    <s v="Level 6 (1-3Years）"/>
    <s v="N"/>
    <m/>
    <n v="10"/>
    <n v="248.42648648648645"/>
    <n v="2484.2648648648646"/>
    <n v="363.19661767030186"/>
  </r>
  <r>
    <s v="2. Card Sales 礼品卡售卡"/>
    <n v="6"/>
    <s v="2.4 Card receives confirmation and activation"/>
    <s v="2.4.1 Card Sales &amp; Receiving|T-Mall order|sales specification"/>
    <s v="2.4.1 As Tmall Gift Card operation, I need link card sales specification with card‘s PLU, as prepare for card redemption_x000a_作为天猫礼品卡运营，需要将礼品卡销售规格与预定义的兑换券和门票关联，以便为礼品卡兑换打下数据基础"/>
    <s v="Project Management"/>
    <x v="1"/>
    <s v="Release 1"/>
    <x v="1"/>
    <s v="Labor"/>
    <x v="0"/>
    <x v="7"/>
    <x v="9"/>
    <s v="N"/>
    <m/>
    <s v="N"/>
    <m/>
    <n v="12"/>
    <n v="483.99337052185018"/>
    <n v="5807.9204462622019"/>
    <n v="849.11117635412313"/>
  </r>
  <r>
    <s v="2. Card Sales 礼品卡售卡"/>
    <n v="6"/>
    <s v="2.4 Card receives confirmation and activation"/>
    <s v="2.4.1 Card Sales &amp; Receiving|T-Mall order|sales specification"/>
    <s v="2.4.1 As Tmall Gift Card operation, I need link card sales specification with card‘s PLU, as prepare for card redemption_x000a_作为天猫礼品卡运营，需要将礼品卡销售规格与预定义的兑换券和门票关联，以便为礼品卡兑换打下数据基础"/>
    <s v="Front-End Development"/>
    <x v="0"/>
    <s v="Release 1"/>
    <x v="0"/>
    <s v="Labor"/>
    <x v="0"/>
    <x v="7"/>
    <x v="13"/>
    <s v="Y"/>
    <s v="Level 4 (5-8Years)"/>
    <s v="Y"/>
    <m/>
    <n v="80"/>
    <n v="313.50232034228594"/>
    <n v="25080.185627382874"/>
    <n v="3666.6938051729348"/>
  </r>
  <r>
    <s v="2. Card Sales 礼品卡售卡"/>
    <n v="6"/>
    <s v="2.4 Card receives confirmation and activation"/>
    <s v="2.4.1 Card Sales &amp; Receiving|T-Mall order|sales specification"/>
    <s v="2.4.1 As Tmall Gift Card operation, I need link card sales specification with card‘s PLU, as prepare for card redemption_x000a_作为天猫礼品卡运营，需要将礼品卡销售规格与预定义的兑换券和门票关联，以便为礼品卡兑换打下数据基础"/>
    <s v="Back-End Development"/>
    <x v="0"/>
    <s v="Release 1"/>
    <x v="0"/>
    <s v="Labor"/>
    <x v="0"/>
    <x v="7"/>
    <x v="14"/>
    <s v="Y"/>
    <s v="Level 4 (5-8Years)"/>
    <s v="Y"/>
    <m/>
    <n v="80"/>
    <n v="313.50232034228594"/>
    <n v="25080.185627382874"/>
    <n v="3666.6938051729348"/>
  </r>
  <r>
    <s v="2. Card Sales 礼品卡售卡"/>
    <n v="6"/>
    <s v="2.4 Card receives confirmation and activation"/>
    <s v="2.4.1 Card Sales &amp; Receiving|T-Mall order|sales specification"/>
    <s v="2.4.1 As Tmall Gift Card operation, I need link card sales specification with card‘s PLU, as prepare for card redemption_x000a_作为天猫礼品卡运营，需要将礼品卡销售规格与预定义的兑换券和门票关联，以便为礼品卡兑换打下数据基础"/>
    <s v="Function Testing"/>
    <x v="0"/>
    <s v="Release 1"/>
    <x v="0"/>
    <s v="Labor"/>
    <x v="0"/>
    <x v="7"/>
    <x v="3"/>
    <s v="Y"/>
    <s v="Level 4 (5-8Years)"/>
    <s v="Y"/>
    <m/>
    <n v="120"/>
    <n v="265.63458993476246"/>
    <n v="31876.150792171495"/>
    <n v="4660.2559637677623"/>
  </r>
  <r>
    <s v="5. Card Ticket Park Entry _x000a_礼品卡入园核销"/>
    <n v="2"/>
    <s v="5.2 Visibilities to T-Mall Customer Service and DRC"/>
    <s v="5.2.1 Tmall Gift Card Operations &amp; System|access control|admin platform"/>
    <s v="5.2.1 As Tmall Gift Card Operations &amp; System admin, I need card management functions and data has authority management, as fulfill business and compliance access control_x000a_作为天猫礼品卡运营和系统运维，需要对礼品卡管理功能和数据设置分级权限，以便实现访问控制"/>
    <s v="Requirment Analysis"/>
    <x v="0"/>
    <s v="Release 1"/>
    <x v="1"/>
    <s v="Labor"/>
    <x v="0"/>
    <x v="8"/>
    <x v="11"/>
    <s v="N"/>
    <m/>
    <s v="N"/>
    <m/>
    <n v="58"/>
    <n v="483.99337052185018"/>
    <n v="28071.615490267312"/>
    <n v="4104.0373523782619"/>
  </r>
  <r>
    <s v="5. Card Ticket Park Entry _x000a_礼品卡入园核销"/>
    <n v="2"/>
    <s v="5.2 Visibilities to T-Mall Customer Service and DRC"/>
    <s v="5.2.1 Tmall Gift Card Operations &amp; System|access control|admin platform"/>
    <s v="5.2.1 As Tmall Gift Card Operations &amp; System admin, I need card management functions and data has authority management, as fulfill business and compliance access control_x000a_作为天猫礼品卡运营和系统运维，需要对礼品卡管理功能和数据设置分级权限，以便实现访问控制"/>
    <s v="UI Design"/>
    <x v="0"/>
    <s v="Release 1"/>
    <x v="0"/>
    <s v="Labor"/>
    <x v="0"/>
    <x v="8"/>
    <x v="12"/>
    <s v="Y"/>
    <s v="Level 6 (1-3Years）"/>
    <s v="N"/>
    <m/>
    <n v="39"/>
    <n v="248.42648648648645"/>
    <n v="9688.6329729729714"/>
    <n v="1416.4668089141771"/>
  </r>
  <r>
    <s v="5. Card Ticket Park Entry _x000a_礼品卡入园核销"/>
    <n v="2"/>
    <s v="5.2 Visibilities to T-Mall Customer Service and DRC"/>
    <s v="5.2.1 Tmall Gift Card Operations &amp; System|access control|admin platform"/>
    <s v="5.2.1 As Tmall Gift Card Operations &amp; System admin, I need card management functions and data has authority management, as fulfill business and compliance access control_x000a_作为天猫礼品卡运营和系统运维，需要对礼品卡管理功能和数据设置分级权限，以便实现访问控制"/>
    <s v="Project Management"/>
    <x v="1"/>
    <s v="Release 1"/>
    <x v="1"/>
    <s v="Labor"/>
    <x v="0"/>
    <x v="7"/>
    <x v="9"/>
    <s v="N"/>
    <m/>
    <s v="N"/>
    <m/>
    <n v="48"/>
    <n v="483.99337052185018"/>
    <n v="23231.681785048808"/>
    <n v="3396.4447054164925"/>
  </r>
  <r>
    <s v="5. Card Ticket Park Entry _x000a_礼品卡入园核销"/>
    <n v="2"/>
    <s v="5.2 Visibilities to T-Mall Customer Service and DRC"/>
    <s v="5.2.1 Tmall Gift Card Operations &amp; System|access control|admin platform"/>
    <s v="5.2.1 As Tmall Gift Card Operations &amp; System admin, I need card management functions and data has authority management, as fulfill business and compliance access control_x000a_作为天猫礼品卡运营和系统运维，需要对礼品卡管理功能和数据设置分级权限，以便实现访问控制"/>
    <s v="Front-End Development"/>
    <x v="0"/>
    <s v="Release 1"/>
    <x v="0"/>
    <s v="Labor"/>
    <x v="0"/>
    <x v="7"/>
    <x v="13"/>
    <s v="Y"/>
    <s v="Level 4 (5-8Years)"/>
    <s v="Y"/>
    <m/>
    <n v="320"/>
    <n v="313.50232034228594"/>
    <n v="100320.7425095315"/>
    <n v="14666.775220691739"/>
  </r>
  <r>
    <s v="5. Card Ticket Park Entry _x000a_礼品卡入园核销"/>
    <n v="2"/>
    <s v="5.2 Visibilities to T-Mall Customer Service and DRC"/>
    <s v="5.2.1 Tmall Gift Card Operations &amp; System|access control|admin platform"/>
    <s v="5.2.1 As Tmall Gift Card Operations &amp; System admin, I need card management functions and data has authority management, as fulfill business and compliance access control_x000a_作为天猫礼品卡运营和系统运维，需要对礼品卡管理功能和数据设置分级权限，以便实现访问控制"/>
    <s v="Back-End Development"/>
    <x v="0"/>
    <s v="Release 1"/>
    <x v="0"/>
    <s v="Labor"/>
    <x v="0"/>
    <x v="7"/>
    <x v="14"/>
    <s v="Y"/>
    <s v="Level 4 (5-8Years)"/>
    <s v="Y"/>
    <m/>
    <n v="320"/>
    <n v="313.50232034228594"/>
    <n v="100320.7425095315"/>
    <n v="14666.775220691739"/>
  </r>
  <r>
    <s v="5. Card Ticket Park Entry _x000a_礼品卡入园核销"/>
    <n v="2"/>
    <s v="5.2 Visibilities to T-Mall Customer Service and DRC"/>
    <s v="5.2.1 Tmall Gift Card Operations &amp; System|access control|admin platform"/>
    <s v="5.2.1 As Tmall Gift Card Operations &amp; System admin, I need card management functions and data has authority management, as fulfill business and compliance access control_x000a_作为天猫礼品卡运营和系统运维，需要对礼品卡管理功能和数据设置分级权限，以便实现访问控制"/>
    <s v="Function Testing"/>
    <x v="0"/>
    <s v="Release 1"/>
    <x v="0"/>
    <s v="Labor"/>
    <x v="0"/>
    <x v="7"/>
    <x v="3"/>
    <s v="Y"/>
    <s v="Level 4 (5-8Years)"/>
    <s v="Y"/>
    <m/>
    <n v="480"/>
    <n v="265.63458993476246"/>
    <n v="127504.60316868598"/>
    <n v="18641.023855071049"/>
  </r>
  <r>
    <s v="5. Card Ticket Park Entry _x000a_礼品卡入园核销"/>
    <n v="2"/>
    <s v="5.1 Gift card data security"/>
    <s v="5.1.1 Tmall Gift Card Operations &amp; System|data security|storage and transition"/>
    <s v="5.1.1 As Cyber Security and A&amp;A, I need ensure data security in storage and transition, as prevent hacking and counterfeiting_x000a_作为信息安全和内控合规，需要保证礼品卡数据的存储安全和传输安全，以防止窃取和篡改"/>
    <s v="Requirment Analysis"/>
    <x v="0"/>
    <s v="Release 1"/>
    <x v="1"/>
    <s v="Labor"/>
    <x v="0"/>
    <x v="8"/>
    <x v="11"/>
    <s v="N"/>
    <m/>
    <s v="N"/>
    <m/>
    <n v="29"/>
    <n v="483.99337052185018"/>
    <n v="14035.807745133656"/>
    <n v="2052.0186761891309"/>
  </r>
  <r>
    <s v="5. Card Ticket Park Entry _x000a_礼品卡入园核销"/>
    <n v="2"/>
    <s v="5.1 Gift card data security"/>
    <s v="5.1.1 Tmall Gift Card Operations &amp; System|data security|storage and transition"/>
    <s v="5.1.1 As Cyber Security and A&amp;A, I need ensure data security in storage and transition, as prevent hacking and counterfeiting_x000a_作为信息安全和内控合规，需要保证礼品卡数据的存储安全和传输安全，以防止窃取和篡改"/>
    <s v="UI Design"/>
    <x v="0"/>
    <s v="Release 1"/>
    <x v="0"/>
    <s v="Labor"/>
    <x v="0"/>
    <x v="8"/>
    <x v="12"/>
    <s v="Y"/>
    <s v="Level 6 (1-3Years）"/>
    <s v="N"/>
    <m/>
    <n v="20"/>
    <n v="248.42648648648645"/>
    <n v="4968.5297297297293"/>
    <n v="726.39323534060372"/>
  </r>
  <r>
    <s v="5. Card Ticket Park Entry _x000a_礼品卡入园核销"/>
    <n v="2"/>
    <s v="5.1 Gift card data security"/>
    <s v="5.1.1 Tmall Gift Card Operations &amp; System|data security|storage and transition"/>
    <s v="5.1.1 As Cyber Security and A&amp;A, I need ensure data security in storage and transition, as prevent hacking and counterfeiting_x000a_作为信息安全和内控合规，需要保证礼品卡数据的存储安全和传输安全，以防止窃取和篡改"/>
    <s v="Project Management"/>
    <x v="1"/>
    <s v="Release 1"/>
    <x v="1"/>
    <s v="Labor"/>
    <x v="0"/>
    <x v="7"/>
    <x v="9"/>
    <s v="N"/>
    <m/>
    <s v="N"/>
    <m/>
    <n v="24"/>
    <n v="483.99337052185018"/>
    <n v="11615.840892524404"/>
    <n v="1698.2223527082463"/>
  </r>
  <r>
    <s v="5. Card Ticket Park Entry _x000a_礼品卡入园核销"/>
    <n v="2"/>
    <s v="5.1 Gift card data security"/>
    <s v="5.1.1 Tmall Gift Card Operations &amp; System|data security|storage and transition"/>
    <s v="5.1.1 As Cyber Security and A&amp;A, I need ensure data security in storage and transition, as prevent hacking and counterfeiting_x000a_作为信息安全和内控合规，需要保证礼品卡数据的存储安全和传输安全，以防止窃取和篡改"/>
    <s v="Front-End Development"/>
    <x v="0"/>
    <s v="Release 1"/>
    <x v="0"/>
    <s v="Labor"/>
    <x v="0"/>
    <x v="7"/>
    <x v="13"/>
    <s v="Y"/>
    <s v="Level 4 (5-8Years)"/>
    <s v="Y"/>
    <m/>
    <n v="160"/>
    <n v="313.50232034228594"/>
    <n v="50160.371254765749"/>
    <n v="7333.3876103458697"/>
  </r>
  <r>
    <s v="5. Card Ticket Park Entry _x000a_礼品卡入园核销"/>
    <n v="2"/>
    <s v="5.1 Gift card data security"/>
    <s v="5.1.1 Tmall Gift Card Operations &amp; System|data security|storage and transition"/>
    <s v="5.1.1 As Cyber Security and A&amp;A, I need ensure data security in storage and transition, as prevent hacking and counterfeiting_x000a_作为信息安全和内控合规，需要保证礼品卡数据的存储安全和传输安全，以防止窃取和篡改"/>
    <s v="Back-End Development"/>
    <x v="0"/>
    <s v="Release 1"/>
    <x v="0"/>
    <s v="Labor"/>
    <x v="0"/>
    <x v="7"/>
    <x v="14"/>
    <s v="Y"/>
    <s v="Level 4 (5-8Years)"/>
    <s v="Y"/>
    <m/>
    <n v="160"/>
    <n v="313.50232034228594"/>
    <n v="50160.371254765749"/>
    <n v="7333.3876103458697"/>
  </r>
  <r>
    <s v="5. Card Ticket Park Entry _x000a_礼品卡入园核销"/>
    <n v="2"/>
    <s v="5.1 Gift card data security"/>
    <s v="5.1.1 Tmall Gift Card Operations &amp; System|data security|storage and transition"/>
    <s v="5.1.1 As Cyber Security and A&amp;A, I need ensure data security in storage and transition, as prevent hacking and counterfeiting_x000a_作为信息安全和内控合规，需要保证礼品卡数据的存储安全和传输安全，以防止窃取和篡改"/>
    <s v="Function Testing"/>
    <x v="0"/>
    <s v="Release 1"/>
    <x v="0"/>
    <s v="Labor"/>
    <x v="0"/>
    <x v="7"/>
    <x v="3"/>
    <s v="Y"/>
    <s v="Level 4 (5-8Years)"/>
    <s v="Y"/>
    <m/>
    <n v="240"/>
    <n v="265.63458993476246"/>
    <n v="63752.301584342989"/>
    <n v="9320.5119275355246"/>
  </r>
  <r>
    <s v="1. Card Manufacture 礼品卡制造"/>
    <n v="5"/>
    <s v="1.4 N/A Bilingual UI"/>
    <s v="1.4.1 Card Foundation Data Management|Bilingual UI"/>
    <s v="1.4.1 As system operator, I need gift card management platform UI can switch between EN and CN, as fit for SHDR working module_x000a_作为系统运维，需要礼品卡管理界面支持中英双语，以适应SHDR工作环境"/>
    <s v="Requirment Analysis"/>
    <x v="0"/>
    <s v="Release 1"/>
    <x v="1"/>
    <s v="Labor"/>
    <x v="0"/>
    <x v="8"/>
    <x v="11"/>
    <s v="N"/>
    <m/>
    <s v="N"/>
    <m/>
    <n v="29"/>
    <n v="483.99337052185018"/>
    <n v="14035.807745133656"/>
    <n v="2052.0186761891309"/>
  </r>
  <r>
    <s v="1. Card Manufacture 礼品卡制造"/>
    <n v="5"/>
    <s v="1.4 N/A Bilingual UI"/>
    <s v="1.4.1 Card Foundation Data Management|Bilingual UI"/>
    <s v="1.4.1 As system operator, I need gift card management platform UI can switch between EN and CN, as fit for SHDR working module_x000a_作为系统运维，需要礼品卡管理界面支持中英双语，以适应SHDR工作环境"/>
    <s v="UI Design"/>
    <x v="0"/>
    <s v="Release 1"/>
    <x v="0"/>
    <s v="Labor"/>
    <x v="0"/>
    <x v="8"/>
    <x v="12"/>
    <s v="Y"/>
    <s v="Level 6 (1-3Years）"/>
    <s v="N"/>
    <m/>
    <n v="20"/>
    <n v="248.42648648648645"/>
    <n v="4968.5297297297293"/>
    <n v="726.39323534060372"/>
  </r>
  <r>
    <s v="1. Card Manufacture 礼品卡制造"/>
    <n v="5"/>
    <s v="1.4 N/A Bilingual UI"/>
    <s v="1.4.1 Card Foundation Data Management|Bilingual UI"/>
    <s v="1.4.1 As system operator, I need gift card management platform UI can switch between EN and CN, as fit for SHDR working module_x000a_作为系统运维，需要礼品卡管理界面支持中英双语，以适应SHDR工作环境"/>
    <s v="Project Management"/>
    <x v="1"/>
    <s v="Release 1"/>
    <x v="1"/>
    <s v="Labor"/>
    <x v="0"/>
    <x v="7"/>
    <x v="9"/>
    <s v="N"/>
    <m/>
    <s v="N"/>
    <m/>
    <n v="24"/>
    <n v="483.99337052185018"/>
    <n v="11615.840892524404"/>
    <n v="1698.2223527082463"/>
  </r>
  <r>
    <s v="1. Card Manufacture 礼品卡制造"/>
    <n v="5"/>
    <s v="1.4 N/A Bilingual UI"/>
    <s v="1.4.1 Card Foundation Data Management|Bilingual UI"/>
    <s v="1.4.1 As system operator, I need gift card management platform UI can switch between EN and CN, as fit for SHDR working module_x000a_作为系统运维，需要礼品卡管理界面支持中英双语，以适应SHDR工作环境"/>
    <s v="Front-End Development"/>
    <x v="0"/>
    <s v="Release 1"/>
    <x v="0"/>
    <s v="Labor"/>
    <x v="0"/>
    <x v="7"/>
    <x v="13"/>
    <s v="Y"/>
    <s v="Level 4 (5-8Years)"/>
    <s v="Y"/>
    <m/>
    <n v="160"/>
    <n v="313.50232034228594"/>
    <n v="50160.371254765749"/>
    <n v="7333.3876103458697"/>
  </r>
  <r>
    <s v="1. Card Manufacture 礼品卡制造"/>
    <n v="5"/>
    <s v="1.4 N/A Bilingual UI"/>
    <s v="1.4.1 Card Foundation Data Management|Bilingual UI"/>
    <s v="1.4.1 As system operator, I need gift card management platform UI can switch between EN and CN, as fit for SHDR working module_x000a_作为系统运维，需要礼品卡管理界面支持中英双语，以适应SHDR工作环境"/>
    <s v="Back-End Development"/>
    <x v="0"/>
    <s v="Release 1"/>
    <x v="0"/>
    <s v="Labor"/>
    <x v="0"/>
    <x v="7"/>
    <x v="14"/>
    <s v="Y"/>
    <s v="Level 4 (5-8Years)"/>
    <s v="Y"/>
    <m/>
    <n v="160"/>
    <n v="313.50232034228594"/>
    <n v="50160.371254765749"/>
    <n v="7333.3876103458697"/>
  </r>
  <r>
    <s v="1. Card Manufacture 礼品卡制造"/>
    <n v="5"/>
    <s v="1.4 N/A Bilingual UI"/>
    <s v="1.4.1 Card Foundation Data Management|Bilingual UI"/>
    <s v="1.4.1 As system operator, I need gift card management platform UI can switch between EN and CN, as fit for SHDR working module_x000a_作为系统运维，需要礼品卡管理界面支持中英双语，以适应SHDR工作环境"/>
    <s v="Function Testing"/>
    <x v="0"/>
    <s v="Release 1"/>
    <x v="0"/>
    <s v="Labor"/>
    <x v="0"/>
    <x v="7"/>
    <x v="3"/>
    <s v="Y"/>
    <s v="Level 4 (5-8Years)"/>
    <s v="Y"/>
    <m/>
    <n v="240"/>
    <n v="265.63458993476246"/>
    <n v="63752.301584342989"/>
    <n v="9320.5119275355246"/>
  </r>
  <r>
    <s v="1. Card Manufacture 礼品卡制造"/>
    <n v="5"/>
    <s v="1.5 N/A MyId Integration"/>
    <s v="1.5.1 Card Foundation Data Management|MyID Integration"/>
    <s v="1.5.1 As Cyber Security, I need gift card management platform login by MyID, as satisfy Disney GID requirements_x000a_作为系统运维，需要礼品卡管理系统使用MyID登陆，以满足Disney全球信息安全标准"/>
    <s v="Requirment Analysis"/>
    <x v="0"/>
    <s v="Release 1"/>
    <x v="1"/>
    <s v="Labor"/>
    <x v="0"/>
    <x v="8"/>
    <x v="11"/>
    <s v="N"/>
    <m/>
    <s v="N"/>
    <m/>
    <n v="29"/>
    <n v="483.99337052185018"/>
    <n v="14035.807745133656"/>
    <n v="2052.0186761891309"/>
  </r>
  <r>
    <s v="1. Card Manufacture 礼品卡制造"/>
    <n v="5"/>
    <s v="1.5 N/A MyId Integration"/>
    <s v="1.5.1 Card Foundation Data Management|MyID Integration"/>
    <s v="1.5.1 As Cyber Security, I need gift card management platform login by MyID, as satisfy Disney GID requirements_x000a_作为系统运维，需要礼品卡管理系统使用MyID登陆，以满足Disney全球信息安全标准"/>
    <s v="UI Design"/>
    <x v="0"/>
    <s v="Release 1"/>
    <x v="0"/>
    <s v="Labor"/>
    <x v="0"/>
    <x v="8"/>
    <x v="12"/>
    <s v="Y"/>
    <s v="Level 6 (1-3Years）"/>
    <s v="N"/>
    <m/>
    <n v="20"/>
    <n v="248.42648648648645"/>
    <n v="4968.5297297297293"/>
    <n v="726.39323534060372"/>
  </r>
  <r>
    <s v="1. Card Manufacture 礼品卡制造"/>
    <n v="5"/>
    <s v="1.5 N/A MyId Integration"/>
    <s v="1.5.1 Card Foundation Data Management|MyID Integration"/>
    <s v="1.5.1 As Cyber Security, I need gift card management platform login by MyID, as satisfy Disney GID requirements_x000a_作为系统运维，需要礼品卡管理系统使用MyID登陆，以满足Disney全球信息安全标准"/>
    <s v="Project Management"/>
    <x v="1"/>
    <s v="Release 1"/>
    <x v="1"/>
    <s v="Labor"/>
    <x v="0"/>
    <x v="7"/>
    <x v="9"/>
    <s v="N"/>
    <m/>
    <s v="N"/>
    <m/>
    <n v="24"/>
    <n v="483.99337052185018"/>
    <n v="11615.840892524404"/>
    <n v="1698.2223527082463"/>
  </r>
  <r>
    <s v="1. Card Manufacture 礼品卡制造"/>
    <n v="5"/>
    <s v="1.5 N/A MyId Integration"/>
    <s v="1.5.1 Card Foundation Data Management|MyID Integration"/>
    <s v="1.5.1 As Cyber Security, I need gift card management platform login by MyID, as satisfy Disney GID requirements_x000a_作为系统运维，需要礼品卡管理系统使用MyID登陆，以满足Disney全球信息安全标准"/>
    <s v="Front-End Development"/>
    <x v="0"/>
    <s v="Release 1"/>
    <x v="0"/>
    <s v="Labor"/>
    <x v="0"/>
    <x v="7"/>
    <x v="13"/>
    <s v="Y"/>
    <s v="Level 4 (5-8Years)"/>
    <s v="Y"/>
    <m/>
    <n v="160"/>
    <n v="313.50232034228594"/>
    <n v="50160.371254765749"/>
    <n v="7333.3876103458697"/>
  </r>
  <r>
    <s v="1. Card Manufacture 礼品卡制造"/>
    <n v="5"/>
    <s v="1.5 N/A MyId Integration"/>
    <s v="1.5.1 Card Foundation Data Management|MyID Integration"/>
    <s v="1.5.1 As Cyber Security, I need gift card management platform login by MyID, as satisfy Disney GID requirements_x000a_作为系统运维，需要礼品卡管理系统使用MyID登陆，以满足Disney全球信息安全标准"/>
    <s v="Back-End Development"/>
    <x v="0"/>
    <s v="Release 1"/>
    <x v="0"/>
    <s v="Labor"/>
    <x v="0"/>
    <x v="7"/>
    <x v="14"/>
    <s v="Y"/>
    <s v="Level 4 (5-8Years)"/>
    <s v="Y"/>
    <m/>
    <n v="160"/>
    <n v="313.50232034228594"/>
    <n v="50160.371254765749"/>
    <n v="7333.3876103458697"/>
  </r>
  <r>
    <s v="1. Card Manufacture 礼品卡制造"/>
    <n v="5"/>
    <s v="1.5 N/A MyId Integration"/>
    <s v="1.5.1 Card Foundation Data Management|MyID Integration"/>
    <s v="1.5.1 As Cyber Security, I need gift card management platform login by MyID, as satisfy Disney GID requirements_x000a_作为系统运维，需要礼品卡管理系统使用MyID登陆，以满足Disney全球信息安全标准"/>
    <s v="Function Testing"/>
    <x v="0"/>
    <s v="Release 1"/>
    <x v="0"/>
    <s v="Labor"/>
    <x v="0"/>
    <x v="7"/>
    <x v="3"/>
    <s v="Y"/>
    <s v="Level 4 (5-8Years)"/>
    <s v="Y"/>
    <m/>
    <n v="240"/>
    <n v="265.63458993476246"/>
    <n v="63752.301584342989"/>
    <n v="9320.5119275355246"/>
  </r>
  <r>
    <s v="1. Card Manufacture 礼品卡制造"/>
    <n v="5"/>
    <s v="1.2 Card Production   "/>
    <s v="1.2.1 Card Manufacture Data|Card No. and password"/>
    <s v="1.2.1 As Tmall Gift Card operation, I need record card manufacture info to the gift card management platform, as manage card data from production_x000a_作为天猫礼品卡运营，需要记录礼品卡制造信息，以便管理生产完成的礼品卡卡片"/>
    <s v="Requirment Analysis"/>
    <x v="0"/>
    <s v="Release 1"/>
    <x v="1"/>
    <s v="Labor"/>
    <x v="0"/>
    <x v="8"/>
    <x v="11"/>
    <s v="N"/>
    <m/>
    <s v="N"/>
    <m/>
    <n v="29"/>
    <n v="483.99337052185018"/>
    <n v="14035.807745133656"/>
    <n v="2052.0186761891309"/>
  </r>
  <r>
    <s v="1. Card Manufacture 礼品卡制造"/>
    <n v="5"/>
    <s v="1.2 Card Production   "/>
    <s v="1.2.1 Card Manufacture Data|Card No. and password"/>
    <s v="1.2.1 As Tmall Gift Card operation, I need record card manufacture info to the gift card management platform, as manage card data from production_x000a_作为天猫礼品卡运营，需要记录礼品卡制造信息，以便管理生产完成的礼品卡卡片"/>
    <s v="UI Design"/>
    <x v="0"/>
    <s v="Release 1"/>
    <x v="0"/>
    <s v="Labor"/>
    <x v="0"/>
    <x v="8"/>
    <x v="12"/>
    <s v="Y"/>
    <s v="Level 6 (1-3Years）"/>
    <s v="N"/>
    <m/>
    <n v="20"/>
    <n v="248.42648648648645"/>
    <n v="4968.5297297297293"/>
    <n v="726.39323534060372"/>
  </r>
  <r>
    <s v="1. Card Manufacture 礼品卡制造"/>
    <n v="5"/>
    <s v="1.2 Card Production   "/>
    <s v="1.2.1 Card Manufacture Data|Card No. and password"/>
    <s v="1.2.1 As Tmall Gift Card operation, I need record card manufacture info to the gift card management platform, as manage card data from production_x000a_作为天猫礼品卡运营，需要记录礼品卡制造信息，以便管理生产完成的礼品卡卡片"/>
    <s v="Project Management"/>
    <x v="1"/>
    <s v="Release 1"/>
    <x v="1"/>
    <s v="Labor"/>
    <x v="0"/>
    <x v="7"/>
    <x v="9"/>
    <s v="N"/>
    <m/>
    <s v="N"/>
    <m/>
    <n v="24"/>
    <n v="483.99337052185018"/>
    <n v="11615.840892524404"/>
    <n v="1698.2223527082463"/>
  </r>
  <r>
    <s v="1. Card Manufacture 礼品卡制造"/>
    <n v="5"/>
    <s v="1.2 Card Production   "/>
    <s v="1.2.1 Card Manufacture Data|Card No. and password"/>
    <s v="1.2.1 As Tmall Gift Card operation, I need record card manufacture info to the gift card management platform, as manage card data from production_x000a_作为天猫礼品卡运营，需要记录礼品卡制造信息，以便管理生产完成的礼品卡卡片"/>
    <s v="Front-End Development"/>
    <x v="0"/>
    <s v="Release 1"/>
    <x v="0"/>
    <s v="Labor"/>
    <x v="0"/>
    <x v="7"/>
    <x v="13"/>
    <s v="Y"/>
    <s v="Level 4 (5-8Years)"/>
    <s v="Y"/>
    <m/>
    <n v="160"/>
    <n v="313.50232034228594"/>
    <n v="50160.371254765749"/>
    <n v="7333.3876103458697"/>
  </r>
  <r>
    <s v="1. Card Manufacture 礼品卡制造"/>
    <n v="5"/>
    <s v="1.2 Card Production   "/>
    <s v="1.2.1 Card Manufacture Data|Card No. and password"/>
    <s v="1.2.1 As Tmall Gift Card operation, I need record card manufacture info to the gift card management platform, as manage card data from production_x000a_作为天猫礼品卡运营，需要记录礼品卡制造信息，以便管理生产完成的礼品卡卡片"/>
    <s v="Back-End Development"/>
    <x v="0"/>
    <s v="Release 1"/>
    <x v="0"/>
    <s v="Labor"/>
    <x v="0"/>
    <x v="7"/>
    <x v="14"/>
    <s v="Y"/>
    <s v="Level 4 (5-8Years)"/>
    <s v="Y"/>
    <m/>
    <n v="160"/>
    <n v="313.50232034228594"/>
    <n v="50160.371254765749"/>
    <n v="7333.3876103458697"/>
  </r>
  <r>
    <s v="1. Card Manufacture 礼品卡制造"/>
    <n v="5"/>
    <s v="1.2 Card Production   "/>
    <s v="1.2.1 Card Manufacture Data|Card No. and password"/>
    <s v="1.2.1 As Tmall Gift Card operation, I need record card manufacture info to the gift card management platform, as manage card data from production_x000a_作为天猫礼品卡运营，需要记录礼品卡制造信息，以便管理生产完成的礼品卡卡片"/>
    <s v="Function Testing"/>
    <x v="0"/>
    <s v="Release 1"/>
    <x v="0"/>
    <s v="Labor"/>
    <x v="0"/>
    <x v="7"/>
    <x v="3"/>
    <s v="Y"/>
    <s v="Level 4 (5-8Years)"/>
    <s v="Y"/>
    <m/>
    <n v="240"/>
    <n v="265.63458993476246"/>
    <n v="63752.301584342989"/>
    <n v="9320.5119275355246"/>
  </r>
  <r>
    <s v="1. Card Manufacture 礼品卡制造"/>
    <n v="5"/>
    <s v="1.3 Card Shipment to SHDR T-mall virtual store area(locate in SHDR DC) and sync with TP WMS"/>
    <s v="1.3.2 Card Shipment|Delivery card to DC "/>
    <s v="1.3.2 As Tmall Gift Card operation, I need notice card vendor to delivery card to DC, as deliver card to customer via Tmall existing logistic _x000a_作为天猫礼品卡运营，需要通知制卡供应商将制造完成的礼品卡发货至SHDR大仓，以便使用Tmall物流发货给顾客"/>
    <s v="Requirment Analysis"/>
    <x v="0"/>
    <s v="Release 1"/>
    <x v="1"/>
    <s v="Labor"/>
    <x v="0"/>
    <x v="8"/>
    <x v="11"/>
    <s v="N"/>
    <m/>
    <s v="N"/>
    <m/>
    <n v="15"/>
    <n v="483.99337052185018"/>
    <n v="7259.9005578277529"/>
    <n v="1061.388970442654"/>
  </r>
  <r>
    <s v="1. Card Manufacture 礼品卡制造"/>
    <n v="5"/>
    <s v="1.3 Card Shipment to SHDR T-mall virtual store area(locate in SHDR DC) and sync with TP WMS"/>
    <s v="1.3.2 Card Shipment|Delivery card to DC "/>
    <s v="1.3.2 As Tmall Gift Card operation, I need notice card vendor to delivery card to DC, as deliver card to customer via Tmall existing logistic _x000a_作为天猫礼品卡运营，需要通知制卡供应商将制造完成的礼品卡发货至SHDR大仓，以便使用Tmall物流发货给顾客"/>
    <s v="UI Design"/>
    <x v="0"/>
    <s v="Release 1"/>
    <x v="0"/>
    <s v="Labor"/>
    <x v="0"/>
    <x v="8"/>
    <x v="12"/>
    <s v="Y"/>
    <s v="Level 6 (1-3Years）"/>
    <s v="N"/>
    <m/>
    <n v="10"/>
    <n v="248.42648648648645"/>
    <n v="2484.2648648648646"/>
    <n v="363.19661767030186"/>
  </r>
  <r>
    <s v="1. Card Manufacture 礼品卡制造"/>
    <n v="5"/>
    <s v="1.3 Card Shipment to SHDR T-mall virtual store area(locate in SHDR DC) and sync with TP WMS"/>
    <s v="1.3.2 Card Shipment|Delivery card to DC "/>
    <s v="1.3.2 As Tmall Gift Card operation, I need notice card vendor to delivery card to DC, as deliver card to customer via Tmall existing logistic _x000a_作为天猫礼品卡运营，需要通知制卡供应商将制造完成的礼品卡发货至SHDR大仓，以便使用Tmall物流发货给顾客"/>
    <s v="Project Management"/>
    <x v="1"/>
    <s v="Release 1"/>
    <x v="1"/>
    <s v="Labor"/>
    <x v="0"/>
    <x v="7"/>
    <x v="9"/>
    <s v="N"/>
    <m/>
    <s v="N"/>
    <m/>
    <n v="12"/>
    <n v="483.99337052185018"/>
    <n v="5807.9204462622019"/>
    <n v="849.11117635412313"/>
  </r>
  <r>
    <s v="1. Card Manufacture 礼品卡制造"/>
    <n v="5"/>
    <s v="1.3 Card Shipment to SHDR T-mall virtual store area(locate in SHDR DC) and sync with TP WMS"/>
    <s v="1.3.2 Card Shipment|Delivery card to DC "/>
    <s v="1.3.2 As Tmall Gift Card operation, I need notice card vendor to delivery card to DC, as deliver card to customer via Tmall existing logistic _x000a_作为天猫礼品卡运营，需要通知制卡供应商将制造完成的礼品卡发货至SHDR大仓，以便使用Tmall物流发货给顾客"/>
    <s v="Front-End Development"/>
    <x v="0"/>
    <s v="Release 1"/>
    <x v="0"/>
    <s v="Labor"/>
    <x v="0"/>
    <x v="7"/>
    <x v="13"/>
    <s v="Y"/>
    <s v="Level 4 (5-8Years)"/>
    <s v="Y"/>
    <m/>
    <n v="80"/>
    <n v="313.50232034228594"/>
    <n v="25080.185627382874"/>
    <n v="3666.6938051729348"/>
  </r>
  <r>
    <s v="1. Card Manufacture 礼品卡制造"/>
    <n v="5"/>
    <s v="1.3 Card Shipment to SHDR T-mall virtual store area(locate in SHDR DC) and sync with TP WMS"/>
    <s v="1.3.2 Card Shipment|Delivery card to DC "/>
    <s v="1.3.2 As Tmall Gift Card operation, I need notice card vendor to delivery card to DC, as deliver card to customer via Tmall existing logistic _x000a_作为天猫礼品卡运营，需要通知制卡供应商将制造完成的礼品卡发货至SHDR大仓，以便使用Tmall物流发货给顾客"/>
    <s v="Back-End Development"/>
    <x v="0"/>
    <s v="Release 1"/>
    <x v="0"/>
    <s v="Labor"/>
    <x v="0"/>
    <x v="7"/>
    <x v="14"/>
    <s v="Y"/>
    <s v="Level 4 (5-8Years)"/>
    <s v="Y"/>
    <m/>
    <n v="80"/>
    <n v="313.50232034228594"/>
    <n v="25080.185627382874"/>
    <n v="3666.6938051729348"/>
  </r>
  <r>
    <s v="1. Card Manufacture 礼品卡制造"/>
    <n v="5"/>
    <s v="1.3 Card Shipment to SHDR T-mall virtual store area(locate in SHDR DC) and sync with TP WMS"/>
    <s v="1.3.2 Card Shipment|Delivery card to DC "/>
    <s v="1.3.2 As Tmall Gift Card operation, I need notice card vendor to delivery card to DC, as deliver card to customer via Tmall existing logistic _x000a_作为天猫礼品卡运营，需要通知制卡供应商将制造完成的礼品卡发货至SHDR大仓，以便使用Tmall物流发货给顾客"/>
    <s v="Function Testing"/>
    <x v="0"/>
    <s v="Release 1"/>
    <x v="0"/>
    <s v="Labor"/>
    <x v="0"/>
    <x v="7"/>
    <x v="3"/>
    <s v="Y"/>
    <s v="Level 4 (5-8Years)"/>
    <s v="Y"/>
    <m/>
    <n v="120"/>
    <n v="265.63458993476246"/>
    <n v="31876.150792171495"/>
    <n v="4660.2559637677623"/>
  </r>
  <r>
    <s v="1. Card Manufacture 礼品卡制造"/>
    <n v="5"/>
    <s v="1.3 Card Shipment to SHDR T-mall virtual store area(locate in SHDR DC) and sync with TP WMS"/>
    <s v="1.3.3 Card Shipment|Receive card to DC "/>
    <s v="1.3.3 As Tmall Flagship shop WH operation, I need receive card in DC, as sell card in Tmall with card inventory management_x000a_作为天猫旗舰店仓储运营，需要在大仓进行礼品卡收货，以实现天猫销售的实物库存管理基础"/>
    <s v="Requirment Analysis"/>
    <x v="0"/>
    <s v="Release 1"/>
    <x v="1"/>
    <s v="Labor"/>
    <x v="0"/>
    <x v="8"/>
    <x v="11"/>
    <s v="N"/>
    <m/>
    <s v="N"/>
    <m/>
    <n v="6"/>
    <n v="483.99337052185018"/>
    <n v="2903.960223131101"/>
    <n v="424.55558817706157"/>
  </r>
  <r>
    <s v="1. Card Manufacture 礼品卡制造"/>
    <n v="5"/>
    <s v="1.3 Card Shipment to SHDR T-mall virtual store area(locate in SHDR DC) and sync with TP WMS"/>
    <s v="1.3.3 Card Shipment|Receive card to DC "/>
    <s v="1.3.3 As Tmall Flagship shop WH operation, I need receive card in DC, as sell card in Tmall with card inventory management_x000a_作为天猫旗舰店仓储运营，需要在大仓进行礼品卡收货，以实现天猫销售的实物库存管理基础"/>
    <s v="UI Design"/>
    <x v="0"/>
    <s v="Release 1"/>
    <x v="0"/>
    <s v="Labor"/>
    <x v="0"/>
    <x v="8"/>
    <x v="12"/>
    <s v="Y"/>
    <s v="Level 6 (1-3Years）"/>
    <s v="N"/>
    <m/>
    <n v="4"/>
    <n v="248.42648648648645"/>
    <n v="993.70594594594581"/>
    <n v="145.27864706812073"/>
  </r>
  <r>
    <s v="1. Card Manufacture 礼品卡制造"/>
    <n v="5"/>
    <s v="1.3 Card Shipment to SHDR T-mall virtual store area(locate in SHDR DC) and sync with TP WMS"/>
    <s v="1.3.3 Card Shipment|Receive card to DC "/>
    <s v="1.3.3 As Tmall Flagship shop WH operation, I need receive card in DC, as sell card in Tmall with card inventory management_x000a_作为天猫旗舰店仓储运营，需要在大仓进行礼品卡收货，以实现天猫销售的实物库存管理基础"/>
    <s v="Project Management"/>
    <x v="1"/>
    <s v="Release 1"/>
    <x v="1"/>
    <s v="Labor"/>
    <x v="0"/>
    <x v="7"/>
    <x v="9"/>
    <s v="N"/>
    <m/>
    <s v="N"/>
    <m/>
    <n v="5"/>
    <n v="483.99337052185018"/>
    <n v="2419.966852609251"/>
    <n v="353.79632348088467"/>
  </r>
  <r>
    <s v="1. Card Manufacture 礼品卡制造"/>
    <n v="5"/>
    <s v="1.3 Card Shipment to SHDR T-mall virtual store area(locate in SHDR DC) and sync with TP WMS"/>
    <s v="1.3.3 Card Shipment|Receive card to DC "/>
    <s v="1.3.3 As Tmall Flagship shop WH operation, I need receive card in DC, as sell card in Tmall with card inventory management_x000a_作为天猫旗舰店仓储运营，需要在大仓进行礼品卡收货，以实现天猫销售的实物库存管理基础"/>
    <s v="Front-End Development"/>
    <x v="0"/>
    <s v="Release 1"/>
    <x v="0"/>
    <s v="Labor"/>
    <x v="0"/>
    <x v="7"/>
    <x v="13"/>
    <s v="Y"/>
    <s v="Level 4 (5-8Years)"/>
    <s v="Y"/>
    <m/>
    <n v="32"/>
    <n v="313.50232034228594"/>
    <n v="10032.07425095315"/>
    <n v="1466.6775220691741"/>
  </r>
  <r>
    <s v="1. Card Manufacture 礼品卡制造"/>
    <n v="5"/>
    <s v="1.3 Card Shipment to SHDR T-mall virtual store area(locate in SHDR DC) and sync with TP WMS"/>
    <s v="1.3.3 Card Shipment|Receive card to DC "/>
    <s v="1.3.3 As Tmall Flagship shop WH operation, I need receive card in DC, as sell card in Tmall with card inventory management_x000a_作为天猫旗舰店仓储运营，需要在大仓进行礼品卡收货，以实现天猫销售的实物库存管理基础"/>
    <s v="Back-End Development"/>
    <x v="0"/>
    <s v="Release 1"/>
    <x v="0"/>
    <s v="Labor"/>
    <x v="0"/>
    <x v="7"/>
    <x v="14"/>
    <s v="Y"/>
    <s v="Level 4 (5-8Years)"/>
    <s v="Y"/>
    <m/>
    <n v="32"/>
    <n v="313.50232034228594"/>
    <n v="10032.07425095315"/>
    <n v="1466.6775220691741"/>
  </r>
  <r>
    <s v="1. Card Manufacture 礼品卡制造"/>
    <n v="5"/>
    <s v="1.3 Card Shipment to SHDR T-mall virtual store area(locate in SHDR DC) and sync with TP WMS"/>
    <s v="1.3.3 Card Shipment|Receive card to DC "/>
    <s v="1.3.3 As Tmall Flagship shop WH operation, I need receive card in DC, as sell card in Tmall with card inventory management_x000a_作为天猫旗舰店仓储运营，需要在大仓进行礼品卡收货，以实现天猫销售的实物库存管理基础"/>
    <s v="Function Testing"/>
    <x v="0"/>
    <s v="Release 1"/>
    <x v="0"/>
    <s v="Labor"/>
    <x v="0"/>
    <x v="7"/>
    <x v="3"/>
    <s v="Y"/>
    <s v="Level 4 (5-8Years)"/>
    <s v="Y"/>
    <m/>
    <n v="48"/>
    <n v="265.63458993476246"/>
    <n v="12750.460316868597"/>
    <n v="1864.1023855071048"/>
  </r>
  <r>
    <s v="2. Card Sales 礼品卡售卡"/>
    <n v="6"/>
    <s v="2.1 T-Mall order processing"/>
    <s v="2.1.1 Tmall sales|Put card onto shelf"/>
    <s v="2.1.1 As Tmall Gift Card operation, I need to put gift card onto Tmall shelf, as provide the card types for customer to purchase_x000a_作为天猫礼品卡运营，我需要在天猫平台上架礼品卡商品，以便顾客选择购买礼品卡"/>
    <m/>
    <x v="2"/>
    <m/>
    <x v="2"/>
    <m/>
    <x v="1"/>
    <x v="5"/>
    <x v="2"/>
    <s v=""/>
    <m/>
    <m/>
    <m/>
    <m/>
    <n v="0"/>
    <n v="0"/>
    <n v="0"/>
  </r>
  <r>
    <s v="2. Card Sales 礼品卡售卡"/>
    <n v="6"/>
    <s v="2.1 T-Mall order processing"/>
    <s v="2.1.2 Tmall sales|select card to shopping cart"/>
    <s v="2.1.2 As a customer, I need to select one or more gift card specification in Tmall, as confirm card to purchase_x000a_作为顾客，需要在天猫平台中选择选择一个或多个礼品卡规格，以便确认订单商品"/>
    <m/>
    <x v="2"/>
    <m/>
    <x v="2"/>
    <m/>
    <x v="1"/>
    <x v="5"/>
    <x v="2"/>
    <s v=""/>
    <m/>
    <m/>
    <m/>
    <m/>
    <n v="0"/>
    <n v="0"/>
    <n v="0"/>
  </r>
  <r>
    <s v="2. Card Sales 礼品卡售卡"/>
    <n v="6"/>
    <s v="2.1 T-Mall order processing"/>
    <s v="2.1.3 Tmall sales|select or fill in order receiving address"/>
    <s v="2.1.3 As a customer, I need to select/fill in order receiving address and complete payment in Tmall to create a order_x000a_作为顾客，需要在天猫平台中选择/填写收货地址，完成支付去创建一个订单"/>
    <m/>
    <x v="2"/>
    <m/>
    <x v="2"/>
    <m/>
    <x v="1"/>
    <x v="5"/>
    <x v="2"/>
    <s v=""/>
    <m/>
    <m/>
    <m/>
    <m/>
    <n v="0"/>
    <n v="0"/>
    <n v="0"/>
  </r>
  <r>
    <s v="2. Card Sales 礼品卡售卡"/>
    <n v="6"/>
    <s v="2.1 T-Mall order processing"/>
    <s v="2.1.4 Tmall sales|order payment"/>
    <s v="2.1.4 As a customer, I need to check order details in Tmall order after completing the payment, for order confirmation_x000a_作为顾客，完成订单支付后，我需要在天猫订单中查看礼品卡订单明细，以确认订单"/>
    <m/>
    <x v="2"/>
    <m/>
    <x v="2"/>
    <m/>
    <x v="1"/>
    <x v="5"/>
    <x v="2"/>
    <s v=""/>
    <m/>
    <m/>
    <m/>
    <m/>
    <n v="0"/>
    <n v="0"/>
    <n v="0"/>
  </r>
  <r>
    <s v="2. Card Sales 礼品卡售卡"/>
    <n v="6"/>
    <s v="2.1 T-Mall order processing"/>
    <s v="2.1.5 Tmall sales|sync order to pick and  pack "/>
    <s v="2.1.5 As Tmall Gift Card operation, I need get card sales order information from Tmall, as for card pick and pack_x000a_作为天猫礼品卡运营，需要从天猫获取礼品卡销售订单信息，以便准备打包发货"/>
    <m/>
    <x v="2"/>
    <m/>
    <x v="2"/>
    <m/>
    <x v="1"/>
    <x v="5"/>
    <x v="2"/>
    <s v=""/>
    <m/>
    <m/>
    <m/>
    <m/>
    <n v="0"/>
    <n v="0"/>
    <n v="0"/>
  </r>
  <r>
    <s v="2. Card Sales 礼品卡售卡"/>
    <n v="6"/>
    <s v="2.2 SHDR Warehouse fulfillment (Card pick and pack)"/>
    <s v="2.2.1 Tmall delivery|sync order to gift card management platform"/>
    <s v="2.2.1 As Tmall Gift Card operation, I need sync card order from Tmall, as tracking card order for audit and prepare to link with card#_x000a_作为天猫礼品卡运营，需要从天猫平台获取礼品卡订单信息，以便追踪订单状态并为绑定卡号准备"/>
    <s v="Requirment Analysis"/>
    <x v="0"/>
    <s v="Release 1"/>
    <x v="1"/>
    <s v="Labor"/>
    <x v="0"/>
    <x v="8"/>
    <x v="11"/>
    <s v="N"/>
    <m/>
    <s v="N"/>
    <m/>
    <n v="116"/>
    <n v="483.99337052185018"/>
    <n v="56143.230980534623"/>
    <n v="8208.0747047565237"/>
  </r>
  <r>
    <s v="2. Card Sales 礼品卡售卡"/>
    <n v="6"/>
    <s v="2.2 SHDR Warehouse fulfillment (Card pick and pack)"/>
    <s v="2.2.1 Tmall delivery|sync order to gift card management platform"/>
    <s v="2.2.1 As Tmall Gift Card operation, I need sync card order from Tmall, as tracking card order for audit and prepare to link with card#_x000a_作为天猫礼品卡运营，需要从天猫平台获取礼品卡订单信息，以便追踪订单状态并为绑定卡号准备"/>
    <s v="UI Design"/>
    <x v="0"/>
    <s v="Release 1"/>
    <x v="0"/>
    <s v="Labor"/>
    <x v="0"/>
    <x v="8"/>
    <x v="12"/>
    <s v="Y"/>
    <s v="Level 6 (1-3Years）"/>
    <s v="N"/>
    <m/>
    <n v="77"/>
    <n v="248.42648648648645"/>
    <n v="19128.839459459457"/>
    <n v="2796.6139560613242"/>
  </r>
  <r>
    <s v="2. Card Sales 礼品卡售卡"/>
    <n v="6"/>
    <s v="2.2 SHDR Warehouse fulfillment (Card pick and pack)"/>
    <s v="2.2.1 Tmall delivery|sync order to gift card management platform"/>
    <s v="2.2.1 As Tmall Gift Card operation, I need sync card order from Tmall, as tracking card order for audit and prepare to link with card#_x000a_作为天猫礼品卡运营，需要从天猫平台获取礼品卡订单信息，以便追踪订单状态并为绑定卡号准备"/>
    <s v="Project Management"/>
    <x v="1"/>
    <s v="Release 1"/>
    <x v="1"/>
    <s v="Labor"/>
    <x v="0"/>
    <x v="7"/>
    <x v="9"/>
    <s v="N"/>
    <m/>
    <s v="N"/>
    <m/>
    <n v="96"/>
    <n v="483.99337052185018"/>
    <n v="46463.363570097616"/>
    <n v="6792.889410832985"/>
  </r>
  <r>
    <s v="2. Card Sales 礼品卡售卡"/>
    <n v="6"/>
    <s v="2.2 SHDR Warehouse fulfillment (Card pick and pack)"/>
    <s v="2.2.1 Tmall delivery|sync order to gift card management platform"/>
    <s v="2.2.1 As Tmall Gift Card operation, I need sync card order from Tmall, as tracking card order for audit and prepare to link with card#_x000a_作为天猫礼品卡运营，需要从天猫平台获取礼品卡订单信息，以便追踪订单状态并为绑定卡号准备"/>
    <s v="Front-End Development"/>
    <x v="0"/>
    <s v="Release 1"/>
    <x v="0"/>
    <s v="Labor"/>
    <x v="0"/>
    <x v="7"/>
    <x v="13"/>
    <s v="Y"/>
    <s v="Level 4 (5-8Years)"/>
    <s v="Y"/>
    <m/>
    <n v="640"/>
    <n v="313.50232034228594"/>
    <n v="200641.48501906299"/>
    <n v="29333.550441383479"/>
  </r>
  <r>
    <s v="2. Card Sales 礼品卡售卡"/>
    <n v="6"/>
    <s v="2.2 SHDR Warehouse fulfillment (Card pick and pack)"/>
    <s v="2.2.1 Tmall delivery|sync order to gift card management platform"/>
    <s v="2.2.1 As Tmall Gift Card operation, I need sync card order from Tmall, as tracking card order for audit and prepare to link with card#_x000a_作为天猫礼品卡运营，需要从天猫平台获取礼品卡订单信息，以便追踪订单状态并为绑定卡号准备"/>
    <s v="Back-End Development"/>
    <x v="0"/>
    <s v="Release 1"/>
    <x v="0"/>
    <s v="Labor"/>
    <x v="0"/>
    <x v="7"/>
    <x v="14"/>
    <s v="Y"/>
    <s v="Level 4 (5-8Years)"/>
    <s v="Y"/>
    <m/>
    <n v="640"/>
    <n v="313.50232034228594"/>
    <n v="200641.48501906299"/>
    <n v="29333.550441383479"/>
  </r>
  <r>
    <s v="2. Card Sales 礼品卡售卡"/>
    <n v="6"/>
    <s v="2.2 SHDR Warehouse fulfillment (Card pick and pack)"/>
    <s v="2.2.1 Tmall delivery|sync order to gift card management platform"/>
    <s v="2.2.1 As Tmall Gift Card operation, I need sync card order from Tmall, as tracking card order for audit and prepare to link with card#_x000a_作为天猫礼品卡运营，需要从天猫平台获取礼品卡订单信息，以便追踪订单状态并为绑定卡号准备"/>
    <s v="Function Testing"/>
    <x v="0"/>
    <s v="Release 1"/>
    <x v="0"/>
    <s v="Labor"/>
    <x v="0"/>
    <x v="7"/>
    <x v="3"/>
    <s v="Y"/>
    <s v="Level 4 (5-8Years)"/>
    <s v="Y"/>
    <m/>
    <n v="960"/>
    <n v="265.63458993476246"/>
    <n v="255009.20633737196"/>
    <n v="37282.047710142098"/>
  </r>
  <r>
    <s v="2. Card Sales 礼品卡售卡"/>
    <n v="6"/>
    <s v="2.2 SHDR Warehouse fulfillment (Card pick and pack)"/>
    <s v="2.2.2 Tmall delivery|link card with order in delivery"/>
    <s v="2.2.2 As Tmall Gift Card operation, I need WH Operation to link physical gift card link with order in pick and pack, as assign ticket PT/PLU for sold card_x000a_作为天猫礼品卡运营，需要仓储运营在礼品卡发货时将实体卡与天猫订单中所选商品类型关联，以便为礼品卡指定可兑换的票种"/>
    <s v="Requirment Analysis"/>
    <x v="0"/>
    <s v="Release 1"/>
    <x v="1"/>
    <s v="Labor"/>
    <x v="0"/>
    <x v="8"/>
    <x v="11"/>
    <s v="N"/>
    <m/>
    <s v="N"/>
    <m/>
    <n v="29"/>
    <n v="483.99337052185018"/>
    <n v="14035.807745133656"/>
    <n v="2052.0186761891309"/>
  </r>
  <r>
    <s v="2. Card Sales 礼品卡售卡"/>
    <n v="6"/>
    <s v="2.2 SHDR Warehouse fulfillment (Card pick and pack)"/>
    <s v="2.2.2 Tmall delivery|link card with order in delivery"/>
    <s v="2.2.2 As Tmall Gift Card operation, I need WH Operation to link physical gift card link with order in pick and pack, as assign ticket PT/PLU for sold card_x000a_作为天猫礼品卡运营，需要仓储运营在礼品卡发货时将实体卡与天猫订单中所选商品类型关联，以便为礼品卡指定可兑换的票种"/>
    <s v="UI Design"/>
    <x v="0"/>
    <s v="Release 1"/>
    <x v="0"/>
    <s v="Labor"/>
    <x v="0"/>
    <x v="8"/>
    <x v="12"/>
    <s v="Y"/>
    <s v="Level 6 (1-3Years）"/>
    <s v="N"/>
    <m/>
    <n v="20"/>
    <n v="248.42648648648645"/>
    <n v="4968.5297297297293"/>
    <n v="726.39323534060372"/>
  </r>
  <r>
    <s v="2. Card Sales 礼品卡售卡"/>
    <n v="6"/>
    <s v="2.2 SHDR Warehouse fulfillment (Card pick and pack)"/>
    <s v="2.2.2 Tmall delivery|link card with order in delivery"/>
    <s v="2.2.2 As Tmall Gift Card operation, I need WH Operation to link physical gift card link with order in pick and pack, as assign ticket PT/PLU for sold card_x000a_作为天猫礼品卡运营，需要仓储运营在礼品卡发货时将实体卡与天猫订单中所选商品类型关联，以便为礼品卡指定可兑换的票种"/>
    <s v="Project Management"/>
    <x v="1"/>
    <s v="Release 1"/>
    <x v="1"/>
    <s v="Labor"/>
    <x v="0"/>
    <x v="7"/>
    <x v="9"/>
    <s v="N"/>
    <m/>
    <s v="N"/>
    <m/>
    <n v="24"/>
    <n v="483.99337052185018"/>
    <n v="11615.840892524404"/>
    <n v="1698.2223527082463"/>
  </r>
  <r>
    <s v="2. Card Sales 礼品卡售卡"/>
    <n v="6"/>
    <s v="2.2 SHDR Warehouse fulfillment (Card pick and pack)"/>
    <s v="2.2.2 Tmall delivery|link card with order in delivery"/>
    <s v="2.2.2 As Tmall Gift Card operation, I need WH Operation to link physical gift card link with order in pick and pack, as assign ticket PT/PLU for sold card_x000a_作为天猫礼品卡运营，需要仓储运营在礼品卡发货时将实体卡与天猫订单中所选商品类型关联，以便为礼品卡指定可兑换的票种"/>
    <s v="Front-End Development"/>
    <x v="0"/>
    <s v="Release 1"/>
    <x v="0"/>
    <s v="Labor"/>
    <x v="0"/>
    <x v="7"/>
    <x v="13"/>
    <s v="Y"/>
    <s v="Level 4 (5-8Years)"/>
    <s v="Y"/>
    <m/>
    <n v="160"/>
    <n v="313.50232034228594"/>
    <n v="50160.371254765749"/>
    <n v="7333.3876103458697"/>
  </r>
  <r>
    <s v="2. Card Sales 礼品卡售卡"/>
    <n v="6"/>
    <s v="2.2 SHDR Warehouse fulfillment (Card pick and pack)"/>
    <s v="2.2.2 Tmall delivery|link card with order in delivery"/>
    <s v="2.2.2 As Tmall Gift Card operation, I need WH Operation to link physical gift card link with order in pick and pack, as assign ticket PT/PLU for sold card_x000a_作为天猫礼品卡运营，需要仓储运营在礼品卡发货时将实体卡与天猫订单中所选商品类型关联，以便为礼品卡指定可兑换的票种"/>
    <s v="Back-End Development"/>
    <x v="0"/>
    <s v="Release 1"/>
    <x v="0"/>
    <s v="Labor"/>
    <x v="0"/>
    <x v="7"/>
    <x v="14"/>
    <s v="Y"/>
    <s v="Level 4 (5-8Years)"/>
    <s v="Y"/>
    <m/>
    <n v="160"/>
    <n v="313.50232034228594"/>
    <n v="50160.371254765749"/>
    <n v="7333.3876103458697"/>
  </r>
  <r>
    <s v="2. Card Sales 礼品卡售卡"/>
    <n v="6"/>
    <s v="2.2 SHDR Warehouse fulfillment (Card pick and pack)"/>
    <s v="2.2.2 Tmall delivery|link card with order in delivery"/>
    <s v="2.2.2 As Tmall Gift Card operation, I need WH Operation to link physical gift card link with order in pick and pack, as assign ticket PT/PLU for sold card_x000a_作为天猫礼品卡运营，需要仓储运营在礼品卡发货时将实体卡与天猫订单中所选商品类型关联，以便为礼品卡指定可兑换的票种"/>
    <s v="Function Testing"/>
    <x v="0"/>
    <s v="Release 1"/>
    <x v="0"/>
    <s v="Labor"/>
    <x v="0"/>
    <x v="7"/>
    <x v="3"/>
    <s v="Y"/>
    <s v="Level 4 (5-8Years)"/>
    <s v="Y"/>
    <m/>
    <n v="240"/>
    <n v="265.63458993476246"/>
    <n v="63752.301584342989"/>
    <n v="9320.5119275355246"/>
  </r>
  <r>
    <s v="2. Card Sales 礼品卡售卡"/>
    <n v="6"/>
    <s v="2.2 SHDR Warehouse fulfillment (Card pick and pack)"/>
    <s v="2.2.3 Tmall delivery|pick and pack gift card"/>
    <s v="2.2.3 As Tmall Gift Card WH operation, I need pick and pack card after linked card to order, as delivery to customer_x000a_作为天猫礼品卡仓储运营，需要将礼品卡打包发货，以便通过快递寄送至顾客"/>
    <m/>
    <x v="2"/>
    <m/>
    <x v="2"/>
    <m/>
    <x v="1"/>
    <x v="5"/>
    <x v="2"/>
    <s v=""/>
    <m/>
    <m/>
    <m/>
    <m/>
    <n v="0"/>
    <n v="0"/>
    <n v="0"/>
  </r>
  <r>
    <s v="2. Card Sales 礼品卡售卡"/>
    <n v="6"/>
    <s v="2.2 SHDR Warehouse fulfillment (Card pick and pack)"/>
    <s v="2.2.4 Tmall delivery|sync delivery information to gift card management platform"/>
    <s v="2.2.4 As Tmall Gift Card operation, I need sync card order delivery status from Tmall, as tracking card status for audit_x000a_作为天猫礼品卡运营，需要从天猫平台获取礼品卡物流信息，以便追踪卡片状态"/>
    <s v="Requirment Analysis"/>
    <x v="0"/>
    <s v="Release 1"/>
    <x v="1"/>
    <s v="Labor"/>
    <x v="0"/>
    <x v="8"/>
    <x v="11"/>
    <s v="N"/>
    <m/>
    <s v="N"/>
    <m/>
    <n v="3"/>
    <n v="483.99337052185018"/>
    <n v="1451.9801115655505"/>
    <n v="212.27779408853078"/>
  </r>
  <r>
    <s v="2. Card Sales 礼品卡售卡"/>
    <n v="6"/>
    <s v="2.2 SHDR Warehouse fulfillment (Card pick and pack)"/>
    <s v="2.2.4 Tmall delivery|sync delivery information to gift card management platform"/>
    <s v="2.2.4 As Tmall Gift Card operation, I need sync card order delivery status from Tmall, as tracking card status for audit_x000a_作为天猫礼品卡运营，需要从天猫平台获取礼品卡物流信息，以便追踪卡片状态"/>
    <s v="UI Design"/>
    <x v="0"/>
    <s v="Release 1"/>
    <x v="0"/>
    <s v="Labor"/>
    <x v="0"/>
    <x v="8"/>
    <x v="12"/>
    <s v="Y"/>
    <s v="Level 6 (1-3Years）"/>
    <s v="N"/>
    <m/>
    <n v="2"/>
    <n v="248.42648648648645"/>
    <n v="496.85297297297291"/>
    <n v="72.639323534060367"/>
  </r>
  <r>
    <s v="2. Card Sales 礼品卡售卡"/>
    <n v="6"/>
    <s v="2.2 SHDR Warehouse fulfillment (Card pick and pack)"/>
    <s v="2.2.4 Tmall delivery|sync delivery information to gift card management platform"/>
    <s v="2.2.4 As Tmall Gift Card operation, I need sync card order delivery status from Tmall, as tracking card status for audit_x000a_作为天猫礼品卡运营，需要从天猫平台获取礼品卡物流信息，以便追踪卡片状态"/>
    <s v="Project Management"/>
    <x v="1"/>
    <s v="Release 1"/>
    <x v="1"/>
    <s v="Labor"/>
    <x v="0"/>
    <x v="7"/>
    <x v="9"/>
    <s v="N"/>
    <m/>
    <s v="N"/>
    <m/>
    <n v="3"/>
    <n v="483.99337052185018"/>
    <n v="1451.9801115655505"/>
    <n v="212.27779408853078"/>
  </r>
  <r>
    <s v="2. Card Sales 礼品卡售卡"/>
    <n v="6"/>
    <s v="2.2 SHDR Warehouse fulfillment (Card pick and pack)"/>
    <s v="2.2.4 Tmall delivery|sync delivery information to gift card management platform"/>
    <s v="2.2.4 As Tmall Gift Card operation, I need sync card order delivery status from Tmall, as tracking card status for audit_x000a_作为天猫礼品卡运营，需要从天猫平台获取礼品卡物流信息，以便追踪卡片状态"/>
    <s v="Front-End Development"/>
    <x v="0"/>
    <s v="Release 1"/>
    <x v="0"/>
    <s v="Labor"/>
    <x v="0"/>
    <x v="7"/>
    <x v="13"/>
    <s v="Y"/>
    <s v="Level 4 (5-8Years)"/>
    <s v="Y"/>
    <m/>
    <n v="16"/>
    <n v="313.50232034228594"/>
    <n v="5016.0371254765751"/>
    <n v="733.33876103458704"/>
  </r>
  <r>
    <s v="2. Card Sales 礼品卡售卡"/>
    <n v="6"/>
    <s v="2.2 SHDR Warehouse fulfillment (Card pick and pack)"/>
    <s v="2.2.4 Tmall delivery|sync delivery information to gift card management platform"/>
    <s v="2.2.4 As Tmall Gift Card operation, I need sync card order delivery status from Tmall, as tracking card status for audit_x000a_作为天猫礼品卡运营，需要从天猫平台获取礼品卡物流信息，以便追踪卡片状态"/>
    <s v="Back-End Development"/>
    <x v="0"/>
    <s v="Release 1"/>
    <x v="0"/>
    <s v="Labor"/>
    <x v="0"/>
    <x v="7"/>
    <x v="14"/>
    <s v="Y"/>
    <s v="Level 4 (5-8Years)"/>
    <s v="Y"/>
    <m/>
    <n v="16"/>
    <n v="313.50232034228594"/>
    <n v="5016.0371254765751"/>
    <n v="733.33876103458704"/>
  </r>
  <r>
    <s v="2. Card Sales 礼品卡售卡"/>
    <n v="6"/>
    <s v="2.2 SHDR Warehouse fulfillment (Card pick and pack)"/>
    <s v="2.2.4 Tmall delivery|sync delivery information to gift card management platform"/>
    <s v="2.2.4 As Tmall Gift Card operation, I need sync card order delivery status from Tmall, as tracking card status for audit_x000a_作为天猫礼品卡运营，需要从天猫平台获取礼品卡物流信息，以便追踪卡片状态"/>
    <s v="Function Testing"/>
    <x v="0"/>
    <s v="Release 1"/>
    <x v="0"/>
    <s v="Labor"/>
    <x v="0"/>
    <x v="7"/>
    <x v="3"/>
    <s v="Y"/>
    <s v="Level 4 (5-8Years)"/>
    <s v="Y"/>
    <m/>
    <n v="24"/>
    <n v="265.63458993476246"/>
    <n v="6375.2301584342986"/>
    <n v="932.05119275355241"/>
  </r>
  <r>
    <s v="2. Card Sales 礼品卡售卡"/>
    <n v="6"/>
    <s v="2.3 Logistics shipment"/>
    <s v="2.3.1 Tmall receiving|check delivery status"/>
    <s v="2.3.1 As a customer, I need to check the card delivery status and information in Tmall order page, for delivery tracking_x000a_作为顾客，我可以查看订单物流信息，以便追踪物流状态"/>
    <m/>
    <x v="2"/>
    <m/>
    <x v="2"/>
    <m/>
    <x v="1"/>
    <x v="5"/>
    <x v="2"/>
    <s v=""/>
    <m/>
    <m/>
    <m/>
    <m/>
    <n v="0"/>
    <n v="0"/>
    <n v="0"/>
  </r>
  <r>
    <s v="2. Card Sales 礼品卡售卡"/>
    <n v="6"/>
    <s v="2.3 Logistics shipment"/>
    <s v="2.3.2 Tmall receiving|receive cards"/>
    <s v="2.3.2 As a customer, I need to confirm order receiving in Tmall, as enable card's redemption _x000a_作为顾客，需要收到礼品卡后在天猫平台中确认收货，以使得卡片可以兑换"/>
    <m/>
    <x v="2"/>
    <m/>
    <x v="2"/>
    <m/>
    <x v="1"/>
    <x v="5"/>
    <x v="2"/>
    <s v=""/>
    <m/>
    <m/>
    <m/>
    <m/>
    <n v="0"/>
    <n v="0"/>
    <n v="0"/>
  </r>
  <r>
    <s v="2. Card Sales 礼品卡售卡"/>
    <n v="6"/>
    <s v="2.3 Logistics shipment"/>
    <s v="2.3.3  Tmall receiving|sync receiving information to gift card management platform"/>
    <s v="2.3.3 As Tmall Gift Card operation, I need sync card order receiving status from Tmall, as tracking card status and issue coupon for redeem_x000a_作为天猫礼品卡运营，需要从天猫平台获取礼品卡收货信息，以便追踪卡片状态并发放兑换券"/>
    <s v="Requirment Analysis"/>
    <x v="0"/>
    <s v="Release 1"/>
    <x v="1"/>
    <s v="Labor"/>
    <x v="0"/>
    <x v="8"/>
    <x v="11"/>
    <s v="N"/>
    <m/>
    <s v="N"/>
    <m/>
    <n v="3"/>
    <n v="483.99337052185018"/>
    <n v="1451.9801115655505"/>
    <n v="212.27779408853078"/>
  </r>
  <r>
    <s v="2. Card Sales 礼品卡售卡"/>
    <n v="6"/>
    <s v="2.3 Logistics shipment"/>
    <s v="2.3.3  Tmall receiving|sync receiving information to gift card management platform"/>
    <s v="2.3.3 As Tmall Gift Card operation, I need sync card order receiving status from Tmall, as tracking card status and issue coupon for redeem_x000a_作为天猫礼品卡运营，需要从天猫平台获取礼品卡收货信息，以便追踪卡片状态并发放兑换券"/>
    <s v="UI Design"/>
    <x v="0"/>
    <s v="Release 1"/>
    <x v="0"/>
    <s v="Labor"/>
    <x v="0"/>
    <x v="8"/>
    <x v="12"/>
    <s v="Y"/>
    <s v="Level 6 (1-3Years）"/>
    <s v="N"/>
    <m/>
    <n v="2"/>
    <n v="248.42648648648645"/>
    <n v="496.85297297297291"/>
    <n v="72.639323534060367"/>
  </r>
  <r>
    <s v="2. Card Sales 礼品卡售卡"/>
    <n v="6"/>
    <s v="2.3 Logistics shipment"/>
    <s v="2.3.3  Tmall receiving|sync receiving information to gift card management platform"/>
    <s v="2.3.3 As Tmall Gift Card operation, I need sync card order receiving status from Tmall, as tracking card status and issue coupon for redeem_x000a_作为天猫礼品卡运营，需要从天猫平台获取礼品卡收货信息，以便追踪卡片状态并发放兑换券"/>
    <s v="Project Management"/>
    <x v="1"/>
    <s v="Release 1"/>
    <x v="1"/>
    <s v="Labor"/>
    <x v="0"/>
    <x v="7"/>
    <x v="9"/>
    <s v="N"/>
    <m/>
    <s v="N"/>
    <m/>
    <n v="3"/>
    <n v="483.99337052185018"/>
    <n v="1451.9801115655505"/>
    <n v="212.27779408853078"/>
  </r>
  <r>
    <s v="2. Card Sales 礼品卡售卡"/>
    <n v="6"/>
    <s v="2.3 Logistics shipment"/>
    <s v="2.3.3  Tmall receiving|sync receiving information to gift card management platform"/>
    <s v="2.3.3 As Tmall Gift Card operation, I need sync card order receiving status from Tmall, as tracking card status and issue coupon for redeem_x000a_作为天猫礼品卡运营，需要从天猫平台获取礼品卡收货信息，以便追踪卡片状态并发放兑换券"/>
    <s v="Front-End Development"/>
    <x v="0"/>
    <s v="Release 1"/>
    <x v="0"/>
    <s v="Labor"/>
    <x v="0"/>
    <x v="7"/>
    <x v="13"/>
    <s v="Y"/>
    <s v="Level 4 (5-8Years)"/>
    <s v="Y"/>
    <m/>
    <n v="16"/>
    <n v="313.50232034228594"/>
    <n v="5016.0371254765751"/>
    <n v="733.33876103458704"/>
  </r>
  <r>
    <s v="2. Card Sales 礼品卡售卡"/>
    <n v="6"/>
    <s v="2.3 Logistics shipment"/>
    <s v="2.3.3  Tmall receiving|sync receiving information to gift card management platform"/>
    <s v="2.3.3 As Tmall Gift Card operation, I need sync card order receiving status from Tmall, as tracking card status and issue coupon for redeem_x000a_作为天猫礼品卡运营，需要从天猫平台获取礼品卡收货信息，以便追踪卡片状态并发放兑换券"/>
    <s v="Back-End Development"/>
    <x v="0"/>
    <s v="Release 1"/>
    <x v="0"/>
    <s v="Labor"/>
    <x v="0"/>
    <x v="7"/>
    <x v="14"/>
    <s v="Y"/>
    <s v="Level 4 (5-8Years)"/>
    <s v="Y"/>
    <m/>
    <n v="16"/>
    <n v="313.50232034228594"/>
    <n v="5016.0371254765751"/>
    <n v="733.33876103458704"/>
  </r>
  <r>
    <s v="2. Card Sales 礼品卡售卡"/>
    <n v="6"/>
    <s v="2.3 Logistics shipment"/>
    <s v="2.3.3  Tmall receiving|sync receiving information to gift card management platform"/>
    <s v="2.3.3 As Tmall Gift Card operation, I need sync card order receiving status from Tmall, as tracking card status and issue coupon for redeem_x000a_作为天猫礼品卡运营，需要从天猫平台获取礼品卡收货信息，以便追踪卡片状态并发放兑换券"/>
    <s v="Function Testing"/>
    <x v="0"/>
    <s v="Release 1"/>
    <x v="0"/>
    <s v="Labor"/>
    <x v="0"/>
    <x v="7"/>
    <x v="3"/>
    <s v="Y"/>
    <s v="Level 4 (5-8Years)"/>
    <s v="Y"/>
    <m/>
    <n v="24"/>
    <n v="265.63458993476246"/>
    <n v="6375.2301584342986"/>
    <n v="932.05119275355241"/>
  </r>
  <r>
    <s v="2. Card Sales 礼品卡售卡"/>
    <n v="6"/>
    <s v="2.4 Card receives confirmation and activation"/>
    <s v="2.4.2 Tmall receiving|issue ticket coupon for received card"/>
    <s v="2.4.2 As Tmall Gift Card operation, I need issue coupon for each received card, as for redemption to dated ticket_x000a_作为天猫礼品卡运营，需要为收货的礼品卡生成门票兑换券，以便支持兑换为门票"/>
    <s v="Requirment Analysis"/>
    <x v="0"/>
    <s v="Release 1"/>
    <x v="1"/>
    <s v="Labor"/>
    <x v="0"/>
    <x v="8"/>
    <x v="11"/>
    <s v="N"/>
    <m/>
    <s v="N"/>
    <m/>
    <n v="29"/>
    <n v="483.99337052185018"/>
    <n v="14035.807745133656"/>
    <n v="2052.0186761891309"/>
  </r>
  <r>
    <s v="2. Card Sales 礼品卡售卡"/>
    <n v="6"/>
    <s v="2.4 Card receives confirmation and activation"/>
    <s v="2.4.2 Tmall receiving|issue ticket coupon for received card"/>
    <s v="2.4.2 As Tmall Gift Card operation, I need issue coupon for each received card, as for redemption to dated ticket_x000a_作为天猫礼品卡运营，需要为收货的礼品卡生成门票兑换券，以便支持兑换为门票"/>
    <s v="UI Design"/>
    <x v="0"/>
    <s v="Release 1"/>
    <x v="0"/>
    <s v="Labor"/>
    <x v="0"/>
    <x v="8"/>
    <x v="12"/>
    <s v="Y"/>
    <s v="Level 6 (1-3Years）"/>
    <s v="N"/>
    <m/>
    <n v="20"/>
    <n v="248.42648648648645"/>
    <n v="4968.5297297297293"/>
    <n v="726.39323534060372"/>
  </r>
  <r>
    <s v="2. Card Sales 礼品卡售卡"/>
    <n v="6"/>
    <s v="2.4 Card receives confirmation and activation"/>
    <s v="2.4.2 Tmall receiving|issue ticket coupon for received card"/>
    <s v="2.4.2 As Tmall Gift Card operation, I need issue coupon for each received card, as for redemption to dated ticket_x000a_作为天猫礼品卡运营，需要为收货的礼品卡生成门票兑换券，以便支持兑换为门票"/>
    <s v="Project Management"/>
    <x v="1"/>
    <s v="Release 1"/>
    <x v="1"/>
    <s v="Labor"/>
    <x v="0"/>
    <x v="7"/>
    <x v="9"/>
    <s v="N"/>
    <m/>
    <s v="N"/>
    <m/>
    <n v="24"/>
    <n v="483.99337052185018"/>
    <n v="11615.840892524404"/>
    <n v="1698.2223527082463"/>
  </r>
  <r>
    <s v="2. Card Sales 礼品卡售卡"/>
    <n v="6"/>
    <s v="2.4 Card receives confirmation and activation"/>
    <s v="2.4.2 Tmall receiving|issue ticket coupon for received card"/>
    <s v="2.4.2 As Tmall Gift Card operation, I need issue coupon for each received card, as for redemption to dated ticket_x000a_作为天猫礼品卡运营，需要为收货的礼品卡生成门票兑换券，以便支持兑换为门票"/>
    <s v="Front-End Development"/>
    <x v="0"/>
    <s v="Release 1"/>
    <x v="0"/>
    <s v="Labor"/>
    <x v="0"/>
    <x v="7"/>
    <x v="13"/>
    <s v="Y"/>
    <s v="Level 4 (5-8Years)"/>
    <s v="Y"/>
    <m/>
    <n v="160"/>
    <n v="313.50232034228594"/>
    <n v="50160.371254765749"/>
    <n v="7333.3876103458697"/>
  </r>
  <r>
    <s v="2. Card Sales 礼品卡售卡"/>
    <n v="6"/>
    <s v="2.4 Card receives confirmation and activation"/>
    <s v="2.4.2 Tmall receiving|issue ticket coupon for received card"/>
    <s v="2.4.2 As Tmall Gift Card operation, I need issue coupon for each received card, as for redemption to dated ticket_x000a_作为天猫礼品卡运营，需要为收货的礼品卡生成门票兑换券，以便支持兑换为门票"/>
    <s v="Back-End Development"/>
    <x v="0"/>
    <s v="Release 1"/>
    <x v="0"/>
    <s v="Labor"/>
    <x v="0"/>
    <x v="7"/>
    <x v="14"/>
    <s v="Y"/>
    <s v="Level 4 (5-8Years)"/>
    <s v="Y"/>
    <m/>
    <n v="160"/>
    <n v="313.50232034228594"/>
    <n v="50160.371254765749"/>
    <n v="7333.3876103458697"/>
  </r>
  <r>
    <s v="2. Card Sales 礼品卡售卡"/>
    <n v="6"/>
    <s v="2.4 Card receives confirmation and activation"/>
    <s v="2.4.2 Tmall receiving|issue ticket coupon for received card"/>
    <s v="2.4.2 As Tmall Gift Card operation, I need issue coupon for each received card, as for redemption to dated ticket_x000a_作为天猫礼品卡运营，需要为收货的礼品卡生成门票兑换券，以便支持兑换为门票"/>
    <s v="Function Testing"/>
    <x v="0"/>
    <s v="Release 1"/>
    <x v="0"/>
    <s v="Labor"/>
    <x v="0"/>
    <x v="7"/>
    <x v="3"/>
    <s v="Y"/>
    <s v="Level 4 (5-8Years)"/>
    <s v="Y"/>
    <m/>
    <n v="240"/>
    <n v="265.63458993476246"/>
    <n v="63752.301584342989"/>
    <n v="9320.5119275355246"/>
  </r>
  <r>
    <s v="2. Card Sales 礼品卡售卡"/>
    <n v="6"/>
    <s v="2.4 Card receives confirmation and activation"/>
    <s v="2.4.2 Tmall receiving|issue ticket coupon for received card"/>
    <s v="2.4.2 As Tmall Gift Card operation, I need issue coupon for each received card, as for redemption to dated ticket_x000a_作为天猫礼品卡运营，需要为收货的礼品卡生成门票兑换券，以便支持兑换为门票"/>
    <s v="Once card status is in &quot;Ready for redeem&quot; or “Refund rejected/canceled”, the platform trigger Coupon Service generate VID on linked ticket voucher to support the redemption by interface, the voucher order info need includes:_x000a_- Tmall Card Order ID_x000a_- Coupon ID with linked Card ID _x000a_- Payment sequence number of Tmall order_x000a_礼品卡管理系统获取订单确认收货（或退款失败/取消）时，通过接口通知Coupon Service为该订单下的礼品卡生成用于兑换相应票种的兑换券VID，以支持兑换步骤"/>
    <x v="0"/>
    <s v="Release 1"/>
    <x v="0"/>
    <s v="Labor"/>
    <x v="2"/>
    <x v="7"/>
    <x v="14"/>
    <s v="Y"/>
    <s v="Level 4 (5-8Years)"/>
    <s v="N"/>
    <m/>
    <n v="80"/>
    <n v="313.50232034228594"/>
    <n v="25080.185627382874"/>
    <n v="3666.6938051729348"/>
  </r>
  <r>
    <s v="2. Card Sales 礼品卡售卡"/>
    <n v="6"/>
    <s v="2.4 Card receives confirmation and activation"/>
    <s v="2.4.2 Tmall receiving|issue ticket coupon for received card"/>
    <s v="2.4.2 As Tmall Gift Card operation, I need issue coupon for each received card, as for redemption to dated ticket_x000a_作为天猫礼品卡运营，需要为收货的礼品卡生成门票兑换券，以便支持兑换为门票"/>
    <s v="Once card status is in &quot;Ready for redeem&quot; or “Refund rejected/canceled”, the platform trigger Coupon Service generate VID on linked ticket voucher to support the redemption by interface, the voucher order info need includes:_x000a_- Tmall Card Order ID_x000a_- Coupon ID with linked Card ID _x000a_- Payment sequence number of Tmall order_x000a_礼品卡管理系统获取订单确认收货（或退款失败/取消）时，通过接口通知Coupon Service为该订单下的礼品卡生成用于兑换相应票种的兑换券VID，以支持兑换步骤"/>
    <x v="0"/>
    <s v="Release 1"/>
    <x v="0"/>
    <s v="Labor"/>
    <x v="2"/>
    <x v="7"/>
    <x v="3"/>
    <s v="Y"/>
    <s v="Level 4 (5-8Years)"/>
    <s v="N"/>
    <m/>
    <n v="24"/>
    <n v="265.63458993476246"/>
    <n v="6375.2301584342986"/>
    <n v="932.05119275355241"/>
  </r>
  <r>
    <s v="2. Card Sales 礼品卡售卡"/>
    <n v="6"/>
    <s v="2.4 Card receives confirmation and activation"/>
    <s v="2.4.2 Tmall receiving|issue ticket coupon for received card"/>
    <s v="2.4.2 As Tmall Gift Card operation, I need issue coupon for each received card, as for redemption to dated ticket_x000a_作为天猫礼品卡运营，需要为收货的礼品卡生成门票兑换券，以便支持兑换为门票"/>
    <s v="Once card status is in &quot;Ready for redeem&quot; or “Refund rejected/canceled”, the platform trigger Coupon Service generate VID on linked ticket voucher to support the redemption by interface, the voucher order info need includes:_x000a_- Tmall Card Order ID_x000a_- Coupon ID with linked Card ID _x000a_- Payment sequence number of Tmall order_x000a_礼品卡管理系统获取订单确认收货（或退款失败/取消）时，通过接口通知Coupon Service为该订单下的礼品卡生成用于兑换相应票种的兑换券VID，以支持兑换步骤"/>
    <x v="0"/>
    <s v="Release 1"/>
    <x v="0"/>
    <s v="Labor"/>
    <x v="2"/>
    <x v="7"/>
    <x v="11"/>
    <s v="Y"/>
    <s v="Level 4 (5-8Years)"/>
    <s v="N"/>
    <m/>
    <n v="16"/>
    <n v="328.73273648648643"/>
    <n v="5259.7237837837829"/>
    <n v="768.9654654654654"/>
  </r>
  <r>
    <s v="2. Card Sales 礼品卡售卡"/>
    <n v="6"/>
    <s v="2.4 Card receives confirmation and activation"/>
    <s v="2.4.2 Tmall receiving|issue ticket coupon for received card"/>
    <s v="2.4.2 As Tmall Gift Card operation, I need issue coupon for each received card, as for redemption to dated ticket_x000a_作为天猫礼品卡运营，需要为收货的礼品卡生成门票兑换券，以便支持兑换为门票"/>
    <s v="Once card status is in &quot;Ready for redeem&quot; or “Refund rejected/canceled”, the platform trigger Coupon Service generate VID on linked ticket voucher to support the redemption by interface, the voucher order info need includes:_x000a_- Tmall Card Order ID_x000a_- Coupon ID with linked Card ID _x000a_- Payment sequence number of Tmall order_x000a_礼品卡管理系统获取订单确认收货（或退款失败/取消）时，通过接口通知Coupon Service为该订单下的礼品卡生成用于兑换相应票种的兑换券VID，以支持兑换步骤"/>
    <x v="1"/>
    <s v="Release 1"/>
    <x v="1"/>
    <s v="Labor"/>
    <x v="2"/>
    <x v="7"/>
    <x v="9"/>
    <s v="N"/>
    <m/>
    <s v="N"/>
    <m/>
    <n v="8"/>
    <n v="483.99337052185018"/>
    <n v="3871.9469641748015"/>
    <n v="566.07411756941542"/>
  </r>
  <r>
    <s v="2. Card Sales 礼品卡售卡"/>
    <n v="6"/>
    <s v="2.4 Card receives confirmation and activation"/>
    <s v="2.4.3 Tmall receiving|post accounting voucher for ticket coupon"/>
    <s v="2.4.3 As Finance, I need post accounting voucher for each received card, as prepay reconciliation_x000a_作为财务，需要为已生成的礼品卡门票兑换券生成销售财务凭证，以便将收入计入预收款项"/>
    <m/>
    <x v="2"/>
    <m/>
    <x v="2"/>
    <m/>
    <x v="1"/>
    <x v="5"/>
    <x v="2"/>
    <s v=""/>
    <m/>
    <m/>
    <m/>
    <m/>
    <n v="0"/>
    <n v="0"/>
    <n v="0"/>
  </r>
  <r>
    <s v="2. Card Sales 礼品卡售卡"/>
    <n v="6"/>
    <s v="2.4 Card receives confirmation and activation"/>
    <s v="2.4.4 Tmall receiving|post accounting voucher for freight"/>
    <s v="2.4.4 As Finance, I need post accounting voucher for freight, as revenue accounting_x000a_作为天猫礼品卡财务，需要为礼品卡的运费生成财务凭证，以便计入收入"/>
    <m/>
    <x v="2"/>
    <m/>
    <x v="2"/>
    <m/>
    <x v="1"/>
    <x v="5"/>
    <x v="2"/>
    <s v=""/>
    <m/>
    <m/>
    <m/>
    <m/>
    <n v="0"/>
    <n v="0"/>
    <n v="0"/>
  </r>
  <r>
    <s v="5. Card Ticket Park Entry _x000a_礼品卡入园核销"/>
    <n v="2"/>
    <s v="5.3 Report &amp; Reconciliation "/>
    <s v="5.3.1 Report &amp; Reconciliation|card sales report"/>
    <s v="5.3.1 As Tmall Gift Card operation, Finance and A&amp;A, I need query and export card sales report, as data foundation for daily operation and audit _x000a_作为天猫礼品卡运营，财务，和内控合规，需要查询和导出礼品卡销售报表，以便进行统计和审计"/>
    <s v="Requirment Analysis"/>
    <x v="0"/>
    <s v="Release 1"/>
    <x v="1"/>
    <s v="Labor"/>
    <x v="0"/>
    <x v="8"/>
    <x v="11"/>
    <s v="N"/>
    <m/>
    <s v="N"/>
    <m/>
    <n v="15"/>
    <n v="483.99337052185018"/>
    <n v="7259.9005578277529"/>
    <n v="1061.388970442654"/>
  </r>
  <r>
    <s v="5. Card Ticket Park Entry _x000a_礼品卡入园核销"/>
    <n v="2"/>
    <s v="5.3 Report &amp; Reconciliation "/>
    <s v="5.3.1 Report &amp; Reconciliation|card sales report"/>
    <s v="5.3.1 As Tmall Gift Card operation, Finance and A&amp;A, I need query and export card sales report, as data foundation for daily operation and audit _x000a_作为天猫礼品卡运营，财务，和内控合规，需要查询和导出礼品卡销售报表，以便进行统计和审计"/>
    <s v="UI Design"/>
    <x v="0"/>
    <s v="Release 1"/>
    <x v="0"/>
    <s v="Labor"/>
    <x v="0"/>
    <x v="8"/>
    <x v="12"/>
    <s v="Y"/>
    <s v="Level 6 (1-3Years）"/>
    <s v="N"/>
    <m/>
    <n v="10"/>
    <n v="248.42648648648645"/>
    <n v="2484.2648648648646"/>
    <n v="363.19661767030186"/>
  </r>
  <r>
    <s v="5. Card Ticket Park Entry _x000a_礼品卡入园核销"/>
    <n v="2"/>
    <s v="5.3 Report &amp; Reconciliation "/>
    <s v="5.3.1 Report &amp; Reconciliation|card sales report"/>
    <s v="5.3.1 As Tmall Gift Card operation, Finance and A&amp;A, I need query and export card sales report, as data foundation for daily operation and audit _x000a_作为天猫礼品卡运营，财务，和内控合规，需要查询和导出礼品卡销售报表，以便进行统计和审计"/>
    <s v="Project Management"/>
    <x v="1"/>
    <s v="Release 1"/>
    <x v="1"/>
    <s v="Labor"/>
    <x v="0"/>
    <x v="7"/>
    <x v="9"/>
    <s v="N"/>
    <m/>
    <s v="N"/>
    <m/>
    <n v="12"/>
    <n v="483.99337052185018"/>
    <n v="5807.9204462622019"/>
    <n v="849.11117635412313"/>
  </r>
  <r>
    <s v="5. Card Ticket Park Entry _x000a_礼品卡入园核销"/>
    <n v="2"/>
    <s v="5.3 Report &amp; Reconciliation "/>
    <s v="5.3.1 Report &amp; Reconciliation|card sales report"/>
    <s v="5.3.1 As Tmall Gift Card operation, Finance and A&amp;A, I need query and export card sales report, as data foundation for daily operation and audit _x000a_作为天猫礼品卡运营，财务，和内控合规，需要查询和导出礼品卡销售报表，以便进行统计和审计"/>
    <s v="Front-End Development"/>
    <x v="0"/>
    <s v="Release 1"/>
    <x v="0"/>
    <s v="Labor"/>
    <x v="0"/>
    <x v="7"/>
    <x v="13"/>
    <s v="Y"/>
    <s v="Level 4 (5-8Years)"/>
    <s v="Y"/>
    <m/>
    <n v="80"/>
    <n v="313.50232034228594"/>
    <n v="25080.185627382874"/>
    <n v="3666.6938051729348"/>
  </r>
  <r>
    <s v="5. Card Ticket Park Entry _x000a_礼品卡入园核销"/>
    <n v="2"/>
    <s v="5.3 Report &amp; Reconciliation "/>
    <s v="5.3.1 Report &amp; Reconciliation|card sales report"/>
    <s v="5.3.1 As Tmall Gift Card operation, Finance and A&amp;A, I need query and export card sales report, as data foundation for daily operation and audit _x000a_作为天猫礼品卡运营，财务，和内控合规，需要查询和导出礼品卡销售报表，以便进行统计和审计"/>
    <s v="Back-End Development"/>
    <x v="0"/>
    <s v="Release 1"/>
    <x v="0"/>
    <s v="Labor"/>
    <x v="0"/>
    <x v="7"/>
    <x v="14"/>
    <s v="Y"/>
    <s v="Level 4 (5-8Years)"/>
    <s v="Y"/>
    <m/>
    <n v="80"/>
    <n v="313.50232034228594"/>
    <n v="25080.185627382874"/>
    <n v="3666.6938051729348"/>
  </r>
  <r>
    <s v="5. Card Ticket Park Entry _x000a_礼品卡入园核销"/>
    <n v="2"/>
    <s v="5.3 Report &amp; Reconciliation "/>
    <s v="5.3.1 Report &amp; Reconciliation|card sales report"/>
    <s v="5.3.1 As Tmall Gift Card operation, Finance and A&amp;A, I need query and export card sales report, as data foundation for daily operation and audit _x000a_作为天猫礼品卡运营，财务，和内控合规，需要查询和导出礼品卡销售报表，以便进行统计和审计"/>
    <s v="Function Testing"/>
    <x v="0"/>
    <s v="Release 1"/>
    <x v="0"/>
    <s v="Labor"/>
    <x v="0"/>
    <x v="7"/>
    <x v="3"/>
    <s v="Y"/>
    <s v="Level 4 (5-8Years)"/>
    <s v="Y"/>
    <m/>
    <n v="120"/>
    <n v="265.63458993476246"/>
    <n v="31876.150792171495"/>
    <n v="4660.2559637677623"/>
  </r>
  <r>
    <s v="5. Card Ticket Park Entry _x000a_礼品卡入园核销"/>
    <n v="2"/>
    <s v="5.3 Report &amp; Reconciliation "/>
    <s v="5.3.2 Report &amp; Reconciliation|Put card sales into CDP"/>
    <s v="5.3.2 As Finance and A&amp;A, I need put card's issued coupon data into CDP existing report, as for payment reconciliation and audit _x000a_作为财务和内控，需要将礼品卡生成的门票兑换券纳入现有CDP报表，以便进行统计对账和审计"/>
    <m/>
    <x v="2"/>
    <m/>
    <x v="2"/>
    <m/>
    <x v="1"/>
    <x v="5"/>
    <x v="2"/>
    <s v=""/>
    <m/>
    <m/>
    <m/>
    <m/>
    <n v="0"/>
    <n v="0"/>
    <n v="0"/>
  </r>
  <r>
    <s v="4. Card Refund &amp; Return_x000a_礼品卡退货"/>
    <n v="3"/>
    <s v="4.1 Refund request in T-mall"/>
    <s v="4.1.1 Refund request in T-mall|Guest select card for submit request"/>
    <s v="4.1.1 As a customer, I need to select paid gift card order to initiate refund, as engage Tmall guest service to support my request_x000a_作为顾客，需要在天猫平台中选择已付款的礼品卡订单提交退货申请，以便天猫客服介入处理"/>
    <m/>
    <x v="2"/>
    <m/>
    <x v="2"/>
    <m/>
    <x v="1"/>
    <x v="5"/>
    <x v="2"/>
    <s v=""/>
    <m/>
    <m/>
    <m/>
    <m/>
    <n v="0"/>
    <n v="0"/>
    <n v="0"/>
  </r>
  <r>
    <s v="4. Card Refund &amp; Return_x000a_礼品卡退货"/>
    <n v="3"/>
    <s v="4.2 Return &amp; Verification"/>
    <s v="4.2.1 Return &amp; Verification|get refund before shipped"/>
    <s v="4.2.1 As a customer,  I need to receive the refund immediately after submitting the request before the card is shipped, as Tmall member benefit_x000a_作为顾客，在订单未发货时提交退款申请后可以直接收到退款"/>
    <m/>
    <x v="2"/>
    <m/>
    <x v="2"/>
    <m/>
    <x v="1"/>
    <x v="5"/>
    <x v="2"/>
    <s v=""/>
    <m/>
    <m/>
    <m/>
    <m/>
    <n v="0"/>
    <n v="0"/>
    <n v="0"/>
  </r>
  <r>
    <s v="4. Card Refund &amp; Return_x000a_礼品卡退货"/>
    <n v="3"/>
    <s v="4.2 Return &amp; Verification"/>
    <s v="4.2.2 Return &amp; Verification|sync unshipped refund request information to gift card management platform"/>
    <s v="4.2.2 As Tmall Gift Card operation, I need sync unshipped card order refunding status from Tmall, as tracking card status for audit_x000a_作为天猫礼品卡运营，需要从天猫平台获取未发货礼品卡退款申请，并更新礼品卡状态，以便追踪和审计礼品卡退货"/>
    <s v="Requirment Analysis"/>
    <x v="0"/>
    <s v="Release 1"/>
    <x v="1"/>
    <s v="Labor"/>
    <x v="0"/>
    <x v="8"/>
    <x v="11"/>
    <s v="N"/>
    <m/>
    <s v="N"/>
    <m/>
    <n v="6"/>
    <n v="483.99337052185018"/>
    <n v="2903.960223131101"/>
    <n v="424.55558817706157"/>
  </r>
  <r>
    <s v="4. Card Refund &amp; Return_x000a_礼品卡退货"/>
    <n v="3"/>
    <s v="4.2 Return &amp; Verification"/>
    <s v="4.2.2 Return &amp; Verification|sync unshipped refund request information to gift card management platform"/>
    <s v="4.2.2 As Tmall Gift Card operation, I need sync unshipped card order refunding status from Tmall, as tracking card status for audit_x000a_作为天猫礼品卡运营，需要从天猫平台获取未发货礼品卡退款申请，并更新礼品卡状态，以便追踪和审计礼品卡退货"/>
    <s v="UI Design"/>
    <x v="0"/>
    <s v="Release 1"/>
    <x v="0"/>
    <s v="Labor"/>
    <x v="0"/>
    <x v="8"/>
    <x v="12"/>
    <s v="Y"/>
    <s v="Level 6 (1-3Years）"/>
    <s v="N"/>
    <m/>
    <n v="4"/>
    <n v="248.42648648648645"/>
    <n v="993.70594594594581"/>
    <n v="145.27864706812073"/>
  </r>
  <r>
    <s v="4. Card Refund &amp; Return_x000a_礼品卡退货"/>
    <n v="3"/>
    <s v="4.2 Return &amp; Verification"/>
    <s v="4.2.2 Return &amp; Verification|sync unshipped refund request information to gift card management platform"/>
    <s v="4.2.2 As Tmall Gift Card operation, I need sync unshipped card order refunding status from Tmall, as tracking card status for audit_x000a_作为天猫礼品卡运营，需要从天猫平台获取未发货礼品卡退款申请，并更新礼品卡状态，以便追踪和审计礼品卡退货"/>
    <s v="Project Management"/>
    <x v="1"/>
    <s v="Release 1"/>
    <x v="1"/>
    <s v="Labor"/>
    <x v="0"/>
    <x v="7"/>
    <x v="9"/>
    <s v="N"/>
    <m/>
    <s v="N"/>
    <m/>
    <n v="5"/>
    <n v="483.99337052185018"/>
    <n v="2419.966852609251"/>
    <n v="353.79632348088467"/>
  </r>
  <r>
    <s v="4. Card Refund &amp; Return_x000a_礼品卡退货"/>
    <n v="3"/>
    <s v="4.2 Return &amp; Verification"/>
    <s v="4.2.2 Return &amp; Verification|sync unshipped refund request information to gift card management platform"/>
    <s v="4.2.2 As Tmall Gift Card operation, I need sync unshipped card order refunding status from Tmall, as tracking card status for audit_x000a_作为天猫礼品卡运营，需要从天猫平台获取未发货礼品卡退款申请，并更新礼品卡状态，以便追踪和审计礼品卡退货"/>
    <s v="Front-End Development"/>
    <x v="0"/>
    <s v="Release 1"/>
    <x v="0"/>
    <s v="Labor"/>
    <x v="0"/>
    <x v="7"/>
    <x v="13"/>
    <s v="Y"/>
    <s v="Level 4 (5-8Years)"/>
    <s v="Y"/>
    <m/>
    <n v="32"/>
    <n v="313.50232034228594"/>
    <n v="10032.07425095315"/>
    <n v="1466.6775220691741"/>
  </r>
  <r>
    <s v="4. Card Refund &amp; Return_x000a_礼品卡退货"/>
    <n v="3"/>
    <s v="4.2 Return &amp; Verification"/>
    <s v="4.2.2 Return &amp; Verification|sync unshipped refund request information to gift card management platform"/>
    <s v="4.2.2 As Tmall Gift Card operation, I need sync unshipped card order refunding status from Tmall, as tracking card status for audit_x000a_作为天猫礼品卡运营，需要从天猫平台获取未发货礼品卡退款申请，并更新礼品卡状态，以便追踪和审计礼品卡退货"/>
    <s v="Back-End Development"/>
    <x v="0"/>
    <s v="Release 1"/>
    <x v="0"/>
    <s v="Labor"/>
    <x v="0"/>
    <x v="7"/>
    <x v="14"/>
    <s v="Y"/>
    <s v="Level 4 (5-8Years)"/>
    <s v="Y"/>
    <m/>
    <n v="32"/>
    <n v="313.50232034228594"/>
    <n v="10032.07425095315"/>
    <n v="1466.6775220691741"/>
  </r>
  <r>
    <s v="4. Card Refund &amp; Return_x000a_礼品卡退货"/>
    <n v="3"/>
    <s v="4.2 Return &amp; Verification"/>
    <s v="4.2.2 Return &amp; Verification|sync unshipped refund request information to gift card management platform"/>
    <s v="4.2.2 As Tmall Gift Card operation, I need sync unshipped card order refunding status from Tmall, as tracking card status for audit_x000a_作为天猫礼品卡运营，需要从天猫平台获取未发货礼品卡退款申请，并更新礼品卡状态，以便追踪和审计礼品卡退货"/>
    <s v="Function Testing"/>
    <x v="0"/>
    <s v="Release 1"/>
    <x v="0"/>
    <s v="Labor"/>
    <x v="0"/>
    <x v="7"/>
    <x v="3"/>
    <s v="Y"/>
    <s v="Level 4 (5-8Years)"/>
    <s v="Y"/>
    <m/>
    <n v="48"/>
    <n v="265.63458993476246"/>
    <n v="12750.460316868597"/>
    <n v="1864.1023855071048"/>
  </r>
  <r>
    <s v="4. Card Refund &amp; Return_x000a_礼品卡退货"/>
    <n v="3"/>
    <s v="4.2 Return &amp; Verification"/>
    <s v="4.2.3 Return &amp; Verification|update card with refund order to gift card management platform"/>
    <s v="4.2.3 As Tmall Gift Card operation, I need to unlink the card with Tmall order after the order is refund when the order is not shipped but already linked cards, as release the card and link to other order_x000a_作为天猫礼品卡运营，若订单没有发货但已绑定礼品卡，我需要在天猫订单退款后将已绑定的卡品与该天猫订单解除关联，以便释放该卡并关联到其他订单"/>
    <s v="Requirment Analysis"/>
    <x v="0"/>
    <s v="Release 1"/>
    <x v="1"/>
    <s v="Labor"/>
    <x v="0"/>
    <x v="8"/>
    <x v="11"/>
    <s v="N"/>
    <m/>
    <s v="N"/>
    <m/>
    <n v="6"/>
    <n v="483.99337052185018"/>
    <n v="2903.960223131101"/>
    <n v="424.55558817706157"/>
  </r>
  <r>
    <s v="4. Card Refund &amp; Return_x000a_礼品卡退货"/>
    <n v="3"/>
    <s v="4.2 Return &amp; Verification"/>
    <s v="4.2.3 Return &amp; Verification|update card with refund order to gift card management platform"/>
    <s v="4.2.3 As Tmall Gift Card operation, I need to unlink the card with Tmall order after the order is refund when the order is not shipped but already linked cards, as release the card and link to other order_x000a_作为天猫礼品卡运营，若订单没有发货但已绑定礼品卡，我需要在天猫订单退款后将已绑定的卡品与该天猫订单解除关联，以便释放该卡并关联到其他订单"/>
    <s v="UI Design"/>
    <x v="0"/>
    <s v="Release 1"/>
    <x v="0"/>
    <s v="Labor"/>
    <x v="0"/>
    <x v="8"/>
    <x v="12"/>
    <s v="Y"/>
    <s v="Level 6 (1-3Years）"/>
    <s v="N"/>
    <m/>
    <n v="4"/>
    <n v="248.42648648648645"/>
    <n v="993.70594594594581"/>
    <n v="145.27864706812073"/>
  </r>
  <r>
    <s v="4. Card Refund &amp; Return_x000a_礼品卡退货"/>
    <n v="3"/>
    <s v="4.2 Return &amp; Verification"/>
    <s v="4.2.3 Return &amp; Verification|update card with refund order to gift card management platform"/>
    <s v="4.2.3 As Tmall Gift Card operation, I need to unlink the card with Tmall order after the order is refund when the order is not shipped but already linked cards, as release the card and link to other order_x000a_作为天猫礼品卡运营，若订单没有发货但已绑定礼品卡，我需要在天猫订单退款后将已绑定的卡品与该天猫订单解除关联，以便释放该卡并关联到其他订单"/>
    <s v="Project Management"/>
    <x v="1"/>
    <s v="Release 1"/>
    <x v="1"/>
    <s v="Labor"/>
    <x v="0"/>
    <x v="7"/>
    <x v="9"/>
    <s v="N"/>
    <m/>
    <s v="N"/>
    <m/>
    <n v="12"/>
    <n v="483.99337052185018"/>
    <n v="5807.9204462622019"/>
    <n v="849.11117635412313"/>
  </r>
  <r>
    <s v="4. Card Refund &amp; Return_x000a_礼品卡退货"/>
    <n v="3"/>
    <s v="4.2 Return &amp; Verification"/>
    <s v="4.2.3 Return &amp; Verification|update card with refund order to gift card management platform"/>
    <s v="4.2.3 As Tmall Gift Card operation, I need to unlink the card with Tmall order after the order is refund when the order is not shipped but already linked cards, as release the card and link to other order_x000a_作为天猫礼品卡运营，若订单没有发货但已绑定礼品卡，我需要在天猫订单退款后将已绑定的卡品与该天猫订单解除关联，以便释放该卡并关联到其他订单"/>
    <s v="Front-End Development"/>
    <x v="0"/>
    <s v="Release 1"/>
    <x v="0"/>
    <s v="Labor"/>
    <x v="0"/>
    <x v="7"/>
    <x v="13"/>
    <s v="Y"/>
    <s v="Level 4 (5-8Years)"/>
    <s v="Y"/>
    <m/>
    <n v="32"/>
    <n v="313.50232034228594"/>
    <n v="10032.07425095315"/>
    <n v="1466.6775220691741"/>
  </r>
  <r>
    <s v="4. Card Refund &amp; Return_x000a_礼品卡退货"/>
    <n v="3"/>
    <s v="4.2 Return &amp; Verification"/>
    <s v="4.2.3 Return &amp; Verification|update card with refund order to gift card management platform"/>
    <s v="4.2.3 As Tmall Gift Card operation, I need to unlink the card with Tmall order after the order is refund when the order is not shipped but already linked cards, as release the card and link to other order_x000a_作为天猫礼品卡运营，若订单没有发货但已绑定礼品卡，我需要在天猫订单退款后将已绑定的卡品与该天猫订单解除关联，以便释放该卡并关联到其他订单"/>
    <s v="Back-End Development"/>
    <x v="0"/>
    <s v="Release 1"/>
    <x v="0"/>
    <s v="Labor"/>
    <x v="0"/>
    <x v="7"/>
    <x v="14"/>
    <s v="Y"/>
    <s v="Level 4 (5-8Years)"/>
    <s v="Y"/>
    <m/>
    <n v="32"/>
    <n v="313.50232034228594"/>
    <n v="10032.07425095315"/>
    <n v="1466.6775220691741"/>
  </r>
  <r>
    <s v="4. Card Refund &amp; Return_x000a_礼品卡退货"/>
    <n v="3"/>
    <s v="4.2 Return &amp; Verification"/>
    <s v="4.2.3 Return &amp; Verification|update card with refund order to gift card management platform"/>
    <s v="4.2.3 As Tmall Gift Card operation, I need to unlink the card with Tmall order after the order is refund when the order is not shipped but already linked cards, as release the card and link to other order_x000a_作为天猫礼品卡运营，若订单没有发货但已绑定礼品卡，我需要在天猫订单退款后将已绑定的卡品与该天猫订单解除关联，以便释放该卡并关联到其他订单"/>
    <s v="Function Testing"/>
    <x v="0"/>
    <s v="Release 1"/>
    <x v="0"/>
    <s v="Labor"/>
    <x v="0"/>
    <x v="7"/>
    <x v="3"/>
    <s v="Y"/>
    <s v="Level 4 (5-8Years)"/>
    <s v="Y"/>
    <m/>
    <n v="48"/>
    <n v="265.63458993476246"/>
    <n v="12750.460316868597"/>
    <n v="1864.1023855071048"/>
  </r>
  <r>
    <s v="4. Card Refund &amp; Return_x000a_礼品卡退货"/>
    <n v="3"/>
    <s v="4.2 Return &amp; Verification"/>
    <s v="4.2.4 Return &amp; Verification|sync shipped refund request information to gift card management platform"/>
    <s v="4.2.4 As Tmall Gift Card operation, I need sync shipped card order refunding status from Tmall, as tracking card status for audit_x000a_作为天猫礼品卡运营，需要从天猫平台获取已发货礼品卡退款申请，并更新礼品卡状态，以便追踪和审计礼品卡退货"/>
    <s v="Requirment Analysis"/>
    <x v="0"/>
    <s v="Release 1"/>
    <x v="1"/>
    <s v="Labor"/>
    <x v="0"/>
    <x v="8"/>
    <x v="11"/>
    <s v="N"/>
    <m/>
    <s v="N"/>
    <m/>
    <n v="9"/>
    <n v="483.99337052185018"/>
    <n v="4355.9403346966519"/>
    <n v="636.83338226559238"/>
  </r>
  <r>
    <s v="4. Card Refund &amp; Return_x000a_礼品卡退货"/>
    <n v="3"/>
    <s v="4.2 Return &amp; Verification"/>
    <s v="4.2.4 Return &amp; Verification|sync shipped refund request information to gift card management platform"/>
    <s v="4.2.4 As Tmall Gift Card operation, I need sync shipped card order refunding status from Tmall, as tracking card status for audit_x000a_作为天猫礼品卡运营，需要从天猫平台获取已发货礼品卡退款申请，并更新礼品卡状态，以便追踪和审计礼品卡退货"/>
    <s v="UI Design"/>
    <x v="0"/>
    <s v="Release 1"/>
    <x v="0"/>
    <s v="Labor"/>
    <x v="0"/>
    <x v="8"/>
    <x v="12"/>
    <s v="Y"/>
    <s v="Level 6 (1-3Years）"/>
    <s v="N"/>
    <m/>
    <n v="6"/>
    <n v="248.42648648648645"/>
    <n v="1490.5589189189186"/>
    <n v="217.9179706021811"/>
  </r>
  <r>
    <s v="4. Card Refund &amp; Return_x000a_礼品卡退货"/>
    <n v="3"/>
    <s v="4.2 Return &amp; Verification"/>
    <s v="4.2.4 Return &amp; Verification|sync shipped refund request information to gift card management platform"/>
    <s v="4.2.4 As Tmall Gift Card operation, I need sync shipped card order refunding status from Tmall, as tracking card status for audit_x000a_作为天猫礼品卡运营，需要从天猫平台获取已发货礼品卡退款申请，并更新礼品卡状态，以便追踪和审计礼品卡退货"/>
    <s v="Project Management"/>
    <x v="1"/>
    <s v="Release 1"/>
    <x v="1"/>
    <s v="Labor"/>
    <x v="0"/>
    <x v="7"/>
    <x v="9"/>
    <s v="N"/>
    <m/>
    <s v="N"/>
    <m/>
    <n v="8"/>
    <n v="483.99337052185018"/>
    <n v="3871.9469641748015"/>
    <n v="566.07411756941542"/>
  </r>
  <r>
    <s v="4. Card Refund &amp; Return_x000a_礼品卡退货"/>
    <n v="3"/>
    <s v="4.2 Return &amp; Verification"/>
    <s v="4.2.4 Return &amp; Verification|sync shipped refund request information to gift card management platform"/>
    <s v="4.2.4 As Tmall Gift Card operation, I need sync shipped card order refunding status from Tmall, as tracking card status for audit_x000a_作为天猫礼品卡运营，需要从天猫平台获取已发货礼品卡退款申请，并更新礼品卡状态，以便追踪和审计礼品卡退货"/>
    <s v="Front-End Development"/>
    <x v="0"/>
    <s v="Release 1"/>
    <x v="0"/>
    <s v="Labor"/>
    <x v="0"/>
    <x v="7"/>
    <x v="13"/>
    <s v="Y"/>
    <s v="Level 4 (5-8Years)"/>
    <s v="Y"/>
    <m/>
    <n v="48"/>
    <n v="313.50232034228594"/>
    <n v="15048.111376429726"/>
    <n v="2200.016283103761"/>
  </r>
  <r>
    <s v="4. Card Refund &amp; Return_x000a_礼品卡退货"/>
    <n v="3"/>
    <s v="4.2 Return &amp; Verification"/>
    <s v="4.2.4 Return &amp; Verification|sync shipped refund request information to gift card management platform"/>
    <s v="4.2.4 As Tmall Gift Card operation, I need sync shipped card order refunding status from Tmall, as tracking card status for audit_x000a_作为天猫礼品卡运营，需要从天猫平台获取已发货礼品卡退款申请，并更新礼品卡状态，以便追踪和审计礼品卡退货"/>
    <s v="Back-End Development"/>
    <x v="0"/>
    <s v="Release 1"/>
    <x v="0"/>
    <s v="Labor"/>
    <x v="0"/>
    <x v="7"/>
    <x v="14"/>
    <s v="Y"/>
    <s v="Level 4 (5-8Years)"/>
    <s v="Y"/>
    <m/>
    <n v="48"/>
    <n v="313.50232034228594"/>
    <n v="15048.111376429726"/>
    <n v="2200.016283103761"/>
  </r>
  <r>
    <s v="4. Card Refund &amp; Return_x000a_礼品卡退货"/>
    <n v="3"/>
    <s v="4.2 Return &amp; Verification"/>
    <s v="4.2.4 Return &amp; Verification|sync shipped refund request information to gift card management platform"/>
    <s v="4.2.4 As Tmall Gift Card operation, I need sync shipped card order refunding status from Tmall, as tracking card status for audit_x000a_作为天猫礼品卡运营，需要从天猫平台获取已发货礼品卡退款申请，并更新礼品卡状态，以便追踪和审计礼品卡退货"/>
    <s v="Function Testing"/>
    <x v="0"/>
    <s v="Release 1"/>
    <x v="0"/>
    <s v="Labor"/>
    <x v="0"/>
    <x v="7"/>
    <x v="3"/>
    <s v="Y"/>
    <s v="Level 4 (5-8Years)"/>
    <s v="Y"/>
    <m/>
    <n v="72"/>
    <n v="265.63458993476246"/>
    <n v="19125.690475302898"/>
    <n v="2796.1535782606575"/>
  </r>
  <r>
    <s v="4. Card Refund &amp; Return_x000a_礼品卡退货"/>
    <n v="3"/>
    <s v="4.2 Return &amp; Verification"/>
    <s v="4.2.5  Return &amp; Verification|return cards to DC for verification"/>
    <s v="4.2.5 As a customer, I need to send the refunding card and its package back to SHDR Tmall warehouse, as Tmall guest service to confirm they are intact_x000a_作为顾客，需要根据天猫客服的要求，将退款礼品卡和包装寄回仓库检查，以便客服确认卡片和包装完好无损"/>
    <m/>
    <x v="2"/>
    <m/>
    <x v="2"/>
    <m/>
    <x v="1"/>
    <x v="5"/>
    <x v="2"/>
    <s v=""/>
    <m/>
    <m/>
    <m/>
    <m/>
    <n v="0"/>
    <n v="0"/>
    <n v="0"/>
  </r>
  <r>
    <s v="4. Card Refund &amp; Return_x000a_礼品卡退货"/>
    <n v="3"/>
    <s v="4.2 Return &amp; Verification"/>
    <s v="4.2.6 Return &amp; Verification|reject refund if card cannot meet refund requirements"/>
    <s v="4.2.6 As Tmall Gift Card operation, I need warehouse operations check on both card and package status when guest send them back, as reject if card or package cannot meet refund requirements_x000a_作为天猫礼品卡运营，要求天猫仓储运营检查顾客退回的礼品卡和包装，以便拒绝不符合要求的退款申请"/>
    <m/>
    <x v="2"/>
    <m/>
    <x v="2"/>
    <m/>
    <x v="1"/>
    <x v="5"/>
    <x v="2"/>
    <s v=""/>
    <m/>
    <m/>
    <m/>
    <m/>
    <n v="0"/>
    <n v="0"/>
    <n v="0"/>
  </r>
  <r>
    <s v="4. Card Refund &amp; Return_x000a_礼品卡退货"/>
    <n v="3"/>
    <s v="4.2 Return &amp; Verification"/>
    <s v="4.2.7 Return &amp; Verification|sync rejected refund request information to gift card management platform"/>
    <s v="4.2.7 As Tmall Gift Card operation, I need sync card order refund rejected/canceled status from Tmall, as tracking card status for audit_x000a_作为天猫礼品卡运营，需要从天猫平台获取礼品卡退款拒绝或取消状态，以便追踪和审计礼品卡退货"/>
    <s v="Requirment Analysis"/>
    <x v="0"/>
    <s v="Release 1"/>
    <x v="1"/>
    <s v="Labor"/>
    <x v="0"/>
    <x v="8"/>
    <x v="11"/>
    <s v="N"/>
    <m/>
    <s v="N"/>
    <m/>
    <n v="6"/>
    <n v="483.99337052185018"/>
    <n v="2903.960223131101"/>
    <n v="424.55558817706157"/>
  </r>
  <r>
    <s v="4. Card Refund &amp; Return_x000a_礼品卡退货"/>
    <n v="3"/>
    <s v="4.2 Return &amp; Verification"/>
    <s v="4.2.7 Return &amp; Verification|sync rejected refund request information to gift card management platform"/>
    <s v="4.2.7 As Tmall Gift Card operation, I need sync card order refund rejected/canceled status from Tmall, as tracking card status for audit_x000a_作为天猫礼品卡运营，需要从天猫平台获取礼品卡退款拒绝或取消状态，以便追踪和审计礼品卡退货"/>
    <s v="UI Design"/>
    <x v="0"/>
    <s v="Release 1"/>
    <x v="0"/>
    <s v="Labor"/>
    <x v="0"/>
    <x v="8"/>
    <x v="12"/>
    <s v="Y"/>
    <s v="Level 6 (1-3Years）"/>
    <s v="N"/>
    <m/>
    <n v="4"/>
    <n v="248.42648648648645"/>
    <n v="993.70594594594581"/>
    <n v="145.27864706812073"/>
  </r>
  <r>
    <s v="4. Card Refund &amp; Return_x000a_礼品卡退货"/>
    <n v="3"/>
    <s v="4.2 Return &amp; Verification"/>
    <s v="4.2.7 Return &amp; Verification|sync rejected refund request information to gift card management platform"/>
    <s v="4.2.7 As Tmall Gift Card operation, I need sync card order refund rejected/canceled status from Tmall, as tracking card status for audit_x000a_作为天猫礼品卡运营，需要从天猫平台获取礼品卡退款拒绝或取消状态，以便追踪和审计礼品卡退货"/>
    <s v="Project Management"/>
    <x v="1"/>
    <s v="Release 1"/>
    <x v="1"/>
    <s v="Labor"/>
    <x v="0"/>
    <x v="7"/>
    <x v="9"/>
    <s v="N"/>
    <m/>
    <s v="N"/>
    <m/>
    <n v="5"/>
    <n v="483.99337052185018"/>
    <n v="2419.966852609251"/>
    <n v="353.79632348088467"/>
  </r>
  <r>
    <s v="4. Card Refund &amp; Return_x000a_礼品卡退货"/>
    <n v="3"/>
    <s v="4.2 Return &amp; Verification"/>
    <s v="4.2.7 Return &amp; Verification|sync rejected refund request information to gift card management platform"/>
    <s v="4.2.7 As Tmall Gift Card operation, I need sync card order refund rejected/canceled status from Tmall, as tracking card status for audit_x000a_作为天猫礼品卡运营，需要从天猫平台获取礼品卡退款拒绝或取消状态，以便追踪和审计礼品卡退货"/>
    <s v="Front-End Development"/>
    <x v="0"/>
    <s v="Release 1"/>
    <x v="0"/>
    <s v="Labor"/>
    <x v="0"/>
    <x v="7"/>
    <x v="13"/>
    <s v="Y"/>
    <s v="Level 4 (5-8Years)"/>
    <s v="Y"/>
    <m/>
    <n v="32"/>
    <n v="313.50232034228594"/>
    <n v="10032.07425095315"/>
    <n v="1466.6775220691741"/>
  </r>
  <r>
    <s v="4. Card Refund &amp; Return_x000a_礼品卡退货"/>
    <n v="3"/>
    <s v="4.2 Return &amp; Verification"/>
    <s v="4.2.7 Return &amp; Verification|sync rejected refund request information to gift card management platform"/>
    <s v="4.2.7 As Tmall Gift Card operation, I need sync card order refund rejected/canceled status from Tmall, as tracking card status for audit_x000a_作为天猫礼品卡运营，需要从天猫平台获取礼品卡退款拒绝或取消状态，以便追踪和审计礼品卡退货"/>
    <s v="Back-End Development"/>
    <x v="0"/>
    <s v="Release 1"/>
    <x v="0"/>
    <s v="Labor"/>
    <x v="0"/>
    <x v="7"/>
    <x v="14"/>
    <s v="Y"/>
    <s v="Level 4 (5-8Years)"/>
    <s v="Y"/>
    <m/>
    <n v="32"/>
    <n v="313.50232034228594"/>
    <n v="10032.07425095315"/>
    <n v="1466.6775220691741"/>
  </r>
  <r>
    <s v="4. Card Refund &amp; Return_x000a_礼品卡退货"/>
    <n v="3"/>
    <s v="4.2 Return &amp; Verification"/>
    <s v="4.2.7 Return &amp; Verification|sync rejected refund request information to gift card management platform"/>
    <s v="4.2.7 As Tmall Gift Card operation, I need sync card order refund rejected/canceled status from Tmall, as tracking card status for audit_x000a_作为天猫礼品卡运营，需要从天猫平台获取礼品卡退款拒绝或取消状态，以便追踪和审计礼品卡退货"/>
    <s v="Function Testing"/>
    <x v="0"/>
    <s v="Release 1"/>
    <x v="0"/>
    <s v="Labor"/>
    <x v="0"/>
    <x v="7"/>
    <x v="3"/>
    <s v="Y"/>
    <s v="Level 4 (5-8Years)"/>
    <s v="Y"/>
    <m/>
    <n v="48"/>
    <n v="265.63458993476246"/>
    <n v="12750.460316868597"/>
    <n v="1864.1023855071048"/>
  </r>
  <r>
    <s v="4. Card Refund &amp; Return_x000a_礼品卡退货"/>
    <n v="3"/>
    <s v="4.3 Confirm &amp; Refund on T-mall"/>
    <s v="4.3.1 Confirm &amp; Refund on T-mall|refund success"/>
    <s v="4.3.1 As a customer, I need to receive the refund after Tmall guest services agree the refund request, to get a refund success status_x000a_作为用户，当天猫客服同意退款后，我直接收到退款金额，以便确认退款成功 "/>
    <m/>
    <x v="2"/>
    <m/>
    <x v="2"/>
    <m/>
    <x v="1"/>
    <x v="5"/>
    <x v="2"/>
    <s v=""/>
    <m/>
    <m/>
    <m/>
    <m/>
    <n v="0"/>
    <n v="0"/>
    <n v="0"/>
  </r>
  <r>
    <s v="4. Card Refund &amp; Return_x000a_礼品卡退货"/>
    <n v="3"/>
    <s v="4.3 Confirm &amp; Refund on T-mall"/>
    <s v="4.3.2 Confirm &amp; Refund on T-mall|update card status after refund"/>
    <s v="4.3.2 As Tmall Gift Card operation, I need update card status to refunded if request is approved, as tracking card status for audit_x000a_作为天猫礼品卡运营，需要先更新礼品卡状态，再修改退款成功状态，以满足管理和审计要求"/>
    <s v="Requirment Analysis"/>
    <x v="0"/>
    <s v="Release 1"/>
    <x v="1"/>
    <s v="Labor"/>
    <x v="0"/>
    <x v="8"/>
    <x v="11"/>
    <s v="N"/>
    <m/>
    <s v="N"/>
    <m/>
    <n v="15"/>
    <n v="483.99337052185018"/>
    <n v="7259.9005578277529"/>
    <n v="1061.388970442654"/>
  </r>
  <r>
    <s v="4. Card Refund &amp; Return_x000a_礼品卡退货"/>
    <n v="3"/>
    <s v="4.3 Confirm &amp; Refund on T-mall"/>
    <s v="4.3.2 Confirm &amp; Refund on T-mall|update card status after refund"/>
    <s v="4.3.2 As Tmall Gift Card operation, I need update card status to refunded if request is approved, as tracking card status for audit_x000a_作为天猫礼品卡运营，需要先更新礼品卡状态，再修改退款成功状态，以满足管理和审计要求"/>
    <s v="UI Design"/>
    <x v="0"/>
    <s v="Release 1"/>
    <x v="0"/>
    <s v="Labor"/>
    <x v="0"/>
    <x v="8"/>
    <x v="12"/>
    <s v="Y"/>
    <s v="Level 6 (1-3Years）"/>
    <s v="N"/>
    <m/>
    <n v="10"/>
    <n v="248.42648648648645"/>
    <n v="2484.2648648648646"/>
    <n v="363.19661767030186"/>
  </r>
  <r>
    <s v="4. Card Refund &amp; Return_x000a_礼品卡退货"/>
    <n v="3"/>
    <s v="4.3 Confirm &amp; Refund on T-mall"/>
    <s v="4.3.2 Confirm &amp; Refund on T-mall|update card status after refund"/>
    <s v="4.3.2 As Tmall Gift Card operation, I need update card status to refunded if request is approved, as tracking card status for audit_x000a_作为天猫礼品卡运营，需要先更新礼品卡状态，再修改退款成功状态，以满足管理和审计要求"/>
    <s v="Project Management"/>
    <x v="1"/>
    <s v="Release 1"/>
    <x v="1"/>
    <s v="Labor"/>
    <x v="0"/>
    <x v="7"/>
    <x v="9"/>
    <s v="N"/>
    <m/>
    <s v="N"/>
    <m/>
    <n v="12"/>
    <n v="483.99337052185018"/>
    <n v="5807.9204462622019"/>
    <n v="849.11117635412313"/>
  </r>
  <r>
    <s v="4. Card Refund &amp; Return_x000a_礼品卡退货"/>
    <n v="3"/>
    <s v="4.3 Confirm &amp; Refund on T-mall"/>
    <s v="4.3.2 Confirm &amp; Refund on T-mall|update card status after refund"/>
    <s v="4.3.2 As Tmall Gift Card operation, I need update card status to refunded if request is approved, as tracking card status for audit_x000a_作为天猫礼品卡运营，需要先更新礼品卡状态，再修改退款成功状态，以满足管理和审计要求"/>
    <s v="Front-End Development"/>
    <x v="0"/>
    <s v="Release 1"/>
    <x v="0"/>
    <s v="Labor"/>
    <x v="0"/>
    <x v="7"/>
    <x v="13"/>
    <s v="Y"/>
    <s v="Level 4 (5-8Years)"/>
    <s v="Y"/>
    <m/>
    <n v="80"/>
    <n v="313.50232034228594"/>
    <n v="25080.185627382874"/>
    <n v="3666.6938051729348"/>
  </r>
  <r>
    <s v="4. Card Refund &amp; Return_x000a_礼品卡退货"/>
    <n v="3"/>
    <s v="4.3 Confirm &amp; Refund on T-mall"/>
    <s v="4.3.2 Confirm &amp; Refund on T-mall|update card status after refund"/>
    <s v="4.3.2 As Tmall Gift Card operation, I need update card status to refunded if request is approved, as tracking card status for audit_x000a_作为天猫礼品卡运营，需要先更新礼品卡状态，再修改退款成功状态，以满足管理和审计要求"/>
    <s v="Back-End Development"/>
    <x v="0"/>
    <s v="Release 1"/>
    <x v="0"/>
    <s v="Labor"/>
    <x v="0"/>
    <x v="7"/>
    <x v="14"/>
    <s v="Y"/>
    <s v="Level 4 (5-8Years)"/>
    <s v="Y"/>
    <m/>
    <n v="80"/>
    <n v="313.50232034228594"/>
    <n v="25080.185627382874"/>
    <n v="3666.6938051729348"/>
  </r>
  <r>
    <s v="4. Card Refund &amp; Return_x000a_礼品卡退货"/>
    <n v="3"/>
    <s v="4.3 Confirm &amp; Refund on T-mall"/>
    <s v="4.3.2 Confirm &amp; Refund on T-mall|update card status after refund"/>
    <s v="4.3.2 As Tmall Gift Card operation, I need update card status to refunded if request is approved, as tracking card status for audit_x000a_作为天猫礼品卡运营，需要先更新礼品卡状态，再修改退款成功状态，以满足管理和审计要求"/>
    <s v="Function Testing"/>
    <x v="0"/>
    <s v="Release 1"/>
    <x v="0"/>
    <s v="Labor"/>
    <x v="0"/>
    <x v="7"/>
    <x v="3"/>
    <s v="Y"/>
    <s v="Level 4 (5-8Years)"/>
    <s v="Y"/>
    <m/>
    <n v="120"/>
    <n v="265.63458993476246"/>
    <n v="31876.150792171495"/>
    <n v="4660.2559637677623"/>
  </r>
  <r>
    <s v="4. Card Refund &amp; Return_x000a_礼品卡退货"/>
    <n v="3"/>
    <s v="4.2 Return &amp; Verification"/>
    <s v="4.2.8  Return &amp; Verification|check card expire date on refund request "/>
    <s v="4.2.8 As Tmall Gift Card operation, I need guest service check if card is expired when guest request refund, as reject expired card refunding_x000a_作为天猫礼品卡运营，要求天猫客服处理退款请求时核查礼品卡有效期，以便拒绝过期礼品卡退款"/>
    <s v="Requirment Analysis"/>
    <x v="0"/>
    <s v="Release 1"/>
    <x v="1"/>
    <s v="Labor"/>
    <x v="0"/>
    <x v="8"/>
    <x v="11"/>
    <s v="N"/>
    <m/>
    <s v="N"/>
    <m/>
    <n v="3"/>
    <n v="483.99337052185018"/>
    <n v="1451.9801115655505"/>
    <n v="212.27779408853078"/>
  </r>
  <r>
    <s v="4. Card Refund &amp; Return_x000a_礼品卡退货"/>
    <n v="3"/>
    <s v="4.2 Return &amp; Verification"/>
    <s v="4.2.8  Return &amp; Verification|check card expire date on refund request "/>
    <s v="4.2.8 As Tmall Gift Card operation, I need guest service check if card is expired when guest request refund, as reject expired card refunding_x000a_作为天猫礼品卡运营，要求天猫客服处理退款请求时核查礼品卡有效期，以便拒绝过期礼品卡退款"/>
    <s v="UI Design"/>
    <x v="0"/>
    <s v="Release 1"/>
    <x v="0"/>
    <s v="Labor"/>
    <x v="0"/>
    <x v="8"/>
    <x v="12"/>
    <s v="Y"/>
    <s v="Level 6 (1-3Years）"/>
    <s v="N"/>
    <m/>
    <n v="2"/>
    <n v="248.42648648648645"/>
    <n v="496.85297297297291"/>
    <n v="72.639323534060367"/>
  </r>
  <r>
    <s v="4. Card Refund &amp; Return_x000a_礼品卡退货"/>
    <n v="3"/>
    <s v="4.2 Return &amp; Verification"/>
    <s v="4.2.8  Return &amp; Verification|check card expire date on refund request "/>
    <s v="4.2.8 As Tmall Gift Card operation, I need guest service check if card is expired when guest request refund, as reject expired card refunding_x000a_作为天猫礼品卡运营，要求天猫客服处理退款请求时核查礼品卡有效期，以便拒绝过期礼品卡退款"/>
    <s v="Project Management"/>
    <x v="1"/>
    <s v="Release 1"/>
    <x v="1"/>
    <s v="Labor"/>
    <x v="0"/>
    <x v="7"/>
    <x v="9"/>
    <s v="N"/>
    <m/>
    <s v="N"/>
    <m/>
    <n v="3"/>
    <n v="483.99337052185018"/>
    <n v="1451.9801115655505"/>
    <n v="212.27779408853078"/>
  </r>
  <r>
    <s v="4. Card Refund &amp; Return_x000a_礼品卡退货"/>
    <n v="3"/>
    <s v="4.2 Return &amp; Verification"/>
    <s v="4.2.8  Return &amp; Verification|check card expire date on refund request "/>
    <s v="4.2.8 As Tmall Gift Card operation, I need guest service check if card is expired when guest request refund, as reject expired card refunding_x000a_作为天猫礼品卡运营，要求天猫客服处理退款请求时核查礼品卡有效期，以便拒绝过期礼品卡退款"/>
    <s v="Front-End Development"/>
    <x v="0"/>
    <s v="Release 1"/>
    <x v="0"/>
    <s v="Labor"/>
    <x v="0"/>
    <x v="7"/>
    <x v="13"/>
    <s v="Y"/>
    <s v="Level 4 (5-8Years)"/>
    <s v="Y"/>
    <m/>
    <n v="16"/>
    <n v="313.50232034228594"/>
    <n v="5016.0371254765751"/>
    <n v="733.33876103458704"/>
  </r>
  <r>
    <s v="4. Card Refund &amp; Return_x000a_礼品卡退货"/>
    <n v="3"/>
    <s v="4.2 Return &amp; Verification"/>
    <s v="4.2.8  Return &amp; Verification|check card expire date on refund request "/>
    <s v="4.2.8 As Tmall Gift Card operation, I need guest service check if card is expired when guest request refund, as reject expired card refunding_x000a_作为天猫礼品卡运营，要求天猫客服处理退款请求时核查礼品卡有效期，以便拒绝过期礼品卡退款"/>
    <s v="Back-End Development"/>
    <x v="0"/>
    <s v="Release 1"/>
    <x v="0"/>
    <s v="Labor"/>
    <x v="0"/>
    <x v="7"/>
    <x v="14"/>
    <s v="Y"/>
    <s v="Level 4 (5-8Years)"/>
    <s v="Y"/>
    <m/>
    <n v="16"/>
    <n v="313.50232034228594"/>
    <n v="5016.0371254765751"/>
    <n v="733.33876103458704"/>
  </r>
  <r>
    <s v="4. Card Refund &amp; Return_x000a_礼品卡退货"/>
    <n v="3"/>
    <s v="4.2 Return &amp; Verification"/>
    <s v="4.2.8  Return &amp; Verification|check card expire date on refund request "/>
    <s v="4.2.8 As Tmall Gift Card operation, I need guest service check if card is expired when guest request refund, as reject expired card refunding_x000a_作为天猫礼品卡运营，要求天猫客服处理退款请求时核查礼品卡有效期，以便拒绝过期礼品卡退款"/>
    <s v="Function Testing"/>
    <x v="0"/>
    <s v="Release 1"/>
    <x v="0"/>
    <s v="Labor"/>
    <x v="0"/>
    <x v="7"/>
    <x v="3"/>
    <s v="Y"/>
    <s v="Level 4 (5-8Years)"/>
    <s v="Y"/>
    <m/>
    <n v="24"/>
    <n v="265.63458993476246"/>
    <n v="6375.2301584342986"/>
    <n v="932.05119275355241"/>
  </r>
  <r>
    <s v="4. Card Refund &amp; Return_x000a_礼品卡退货"/>
    <n v="3"/>
    <s v="4.2 Return &amp; Verification"/>
    <s v="4.2.9 Return &amp; Verification|block the card to redeem in refund"/>
    <s v="4.2.9 As Tmall Gift Card operation, I need block refunding card‘s coupon for redemption, as fraud prevention_x000a_作为天猫礼品卡运营，需要锁定退款中礼品卡门票兑换券使之不可兑换，以防止欺诈"/>
    <s v="Requirment Analysis"/>
    <x v="0"/>
    <s v="Release 1"/>
    <x v="1"/>
    <s v="Labor"/>
    <x v="0"/>
    <x v="8"/>
    <x v="11"/>
    <s v="N"/>
    <m/>
    <s v="N"/>
    <m/>
    <n v="15"/>
    <n v="483.99337052185018"/>
    <n v="7259.9005578277529"/>
    <n v="1061.388970442654"/>
  </r>
  <r>
    <s v="4. Card Refund &amp; Return_x000a_礼品卡退货"/>
    <n v="3"/>
    <s v="4.2 Return &amp; Verification"/>
    <s v="4.2.9 Return &amp; Verification|block the card to redeem in refund"/>
    <s v="4.2.9 As Tmall Gift Card operation, I need block refunding card‘s coupon for redemption, as fraud prevention_x000a_作为天猫礼品卡运营，需要锁定退款中礼品卡门票兑换券使之不可兑换，以防止欺诈"/>
    <s v="UI Design"/>
    <x v="0"/>
    <s v="Release 1"/>
    <x v="0"/>
    <s v="Labor"/>
    <x v="0"/>
    <x v="8"/>
    <x v="12"/>
    <s v="Y"/>
    <s v="Level 6 (1-3Years）"/>
    <s v="N"/>
    <m/>
    <n v="10"/>
    <n v="248.42648648648645"/>
    <n v="2484.2648648648646"/>
    <n v="363.19661767030186"/>
  </r>
  <r>
    <s v="4. Card Refund &amp; Return_x000a_礼品卡退货"/>
    <n v="3"/>
    <s v="4.2 Return &amp; Verification"/>
    <s v="4.2.9 Return &amp; Verification|block the card to redeem in refund"/>
    <s v="4.2.9 As Tmall Gift Card operation, I need block refunding card‘s coupon for redemption, as fraud prevention_x000a_作为天猫礼品卡运营，需要锁定退款中礼品卡门票兑换券使之不可兑换，以防止欺诈"/>
    <s v="Project Management"/>
    <x v="1"/>
    <s v="Release 1"/>
    <x v="1"/>
    <s v="Labor"/>
    <x v="0"/>
    <x v="7"/>
    <x v="9"/>
    <s v="N"/>
    <m/>
    <s v="N"/>
    <m/>
    <n v="12"/>
    <n v="483.99337052185018"/>
    <n v="5807.9204462622019"/>
    <n v="849.11117635412313"/>
  </r>
  <r>
    <s v="4. Card Refund &amp; Return_x000a_礼品卡退货"/>
    <n v="3"/>
    <s v="4.2 Return &amp; Verification"/>
    <s v="4.2.9 Return &amp; Verification|block the card to redeem in refund"/>
    <s v="4.2.9 As Tmall Gift Card operation, I need block refunding card‘s coupon for redemption, as fraud prevention_x000a_作为天猫礼品卡运营，需要锁定退款中礼品卡门票兑换券使之不可兑换，以防止欺诈"/>
    <s v="Front-End Development"/>
    <x v="0"/>
    <s v="Release 1"/>
    <x v="0"/>
    <s v="Labor"/>
    <x v="0"/>
    <x v="7"/>
    <x v="13"/>
    <s v="Y"/>
    <s v="Level 4 (5-8Years)"/>
    <s v="Y"/>
    <m/>
    <n v="80"/>
    <n v="313.50232034228594"/>
    <n v="25080.185627382874"/>
    <n v="3666.6938051729348"/>
  </r>
  <r>
    <s v="4. Card Refund &amp; Return_x000a_礼品卡退货"/>
    <n v="3"/>
    <s v="4.2 Return &amp; Verification"/>
    <s v="4.2.9 Return &amp; Verification|block the card to redeem in refund"/>
    <s v="4.2.9 As Tmall Gift Card operation, I need block refunding card‘s coupon for redemption, as fraud prevention_x000a_作为天猫礼品卡运营，需要锁定退款中礼品卡门票兑换券使之不可兑换，以防止欺诈"/>
    <s v="Back-End Development"/>
    <x v="0"/>
    <s v="Release 1"/>
    <x v="0"/>
    <s v="Labor"/>
    <x v="0"/>
    <x v="7"/>
    <x v="14"/>
    <s v="Y"/>
    <s v="Level 4 (5-8Years)"/>
    <s v="Y"/>
    <m/>
    <n v="80"/>
    <n v="313.50232034228594"/>
    <n v="25080.185627382874"/>
    <n v="3666.6938051729348"/>
  </r>
  <r>
    <s v="4. Card Refund &amp; Return_x000a_礼品卡退货"/>
    <n v="3"/>
    <s v="4.2 Return &amp; Verification"/>
    <s v="4.2.9 Return &amp; Verification|block the card to redeem in refund"/>
    <s v="4.2.9 As Tmall Gift Card operation, I need block refunding card‘s coupon for redemption, as fraud prevention_x000a_作为天猫礼品卡运营，需要锁定退款中礼品卡门票兑换券使之不可兑换，以防止欺诈"/>
    <s v="Function Testing"/>
    <x v="0"/>
    <s v="Release 1"/>
    <x v="0"/>
    <s v="Labor"/>
    <x v="0"/>
    <x v="7"/>
    <x v="3"/>
    <s v="Y"/>
    <s v="Level 4 (5-8Years)"/>
    <s v="Y"/>
    <m/>
    <n v="120"/>
    <n v="265.63458993476246"/>
    <n v="31876.150792171495"/>
    <n v="4660.2559637677623"/>
  </r>
  <r>
    <s v="4. Card Refund &amp; Return_x000a_礼品卡退货"/>
    <n v="3"/>
    <s v="4.2 Return &amp; Verification"/>
    <s v="4.2.10 Return &amp; Verification|check card status on refund request"/>
    <s v="4.2.10 As Tmall Gift Card operation, I need guest service check on both card order status and card status when guest request refund, as reject if order or card cannot meet refund requirements_x000a_作为天猫礼品卡运营，要求天猫客服检查礼品卡订单状态和礼品卡兑换状态，以便拒绝不符合要求的退款申请"/>
    <s v="Requirment Analysis"/>
    <x v="0"/>
    <s v="Release 1"/>
    <x v="1"/>
    <s v="Labor"/>
    <x v="0"/>
    <x v="8"/>
    <x v="11"/>
    <s v="N"/>
    <m/>
    <s v="N"/>
    <m/>
    <n v="3"/>
    <n v="483.99337052185018"/>
    <n v="1451.9801115655505"/>
    <n v="212.27779408853078"/>
  </r>
  <r>
    <s v="4. Card Refund &amp; Return_x000a_礼品卡退货"/>
    <n v="3"/>
    <s v="4.2 Return &amp; Verification"/>
    <s v="4.2.10 Return &amp; Verification|check card status on refund request"/>
    <s v="4.2.10 As Tmall Gift Card operation, I need guest service check on both card order status and card status when guest request refund, as reject if order or card cannot meet refund requirements_x000a_作为天猫礼品卡运营，要求天猫客服检查礼品卡订单状态和礼品卡兑换状态，以便拒绝不符合要求的退款申请"/>
    <s v="UI Design"/>
    <x v="0"/>
    <s v="Release 1"/>
    <x v="0"/>
    <s v="Labor"/>
    <x v="0"/>
    <x v="8"/>
    <x v="12"/>
    <s v="Y"/>
    <s v="Level 6 (1-3Years）"/>
    <s v="N"/>
    <m/>
    <n v="2"/>
    <n v="248.42648648648645"/>
    <n v="496.85297297297291"/>
    <n v="72.639323534060367"/>
  </r>
  <r>
    <s v="4. Card Refund &amp; Return_x000a_礼品卡退货"/>
    <n v="3"/>
    <s v="4.2 Return &amp; Verification"/>
    <s v="4.2.10 Return &amp; Verification|check card status on refund request"/>
    <s v="4.2.10 As Tmall Gift Card operation, I need guest service check on both card order status and card status when guest request refund, as reject if order or card cannot meet refund requirements_x000a_作为天猫礼品卡运营，要求天猫客服检查礼品卡订单状态和礼品卡兑换状态，以便拒绝不符合要求的退款申请"/>
    <s v="Project Management"/>
    <x v="1"/>
    <s v="Release 1"/>
    <x v="1"/>
    <s v="Labor"/>
    <x v="0"/>
    <x v="7"/>
    <x v="9"/>
    <s v="N"/>
    <m/>
    <s v="N"/>
    <m/>
    <n v="3"/>
    <n v="483.99337052185018"/>
    <n v="1451.9801115655505"/>
    <n v="212.27779408853078"/>
  </r>
  <r>
    <s v="4. Card Refund &amp; Return_x000a_礼品卡退货"/>
    <n v="3"/>
    <s v="4.2 Return &amp; Verification"/>
    <s v="4.2.10 Return &amp; Verification|check card status on refund request"/>
    <s v="4.2.10 As Tmall Gift Card operation, I need guest service check on both card order status and card status when guest request refund, as reject if order or card cannot meet refund requirements_x000a_作为天猫礼品卡运营，要求天猫客服检查礼品卡订单状态和礼品卡兑换状态，以便拒绝不符合要求的退款申请"/>
    <s v="Front-End Development"/>
    <x v="0"/>
    <s v="Release 1"/>
    <x v="0"/>
    <s v="Labor"/>
    <x v="0"/>
    <x v="7"/>
    <x v="13"/>
    <s v="Y"/>
    <s v="Level 4 (5-8Years)"/>
    <s v="Y"/>
    <m/>
    <n v="16"/>
    <n v="313.50232034228594"/>
    <n v="5016.0371254765751"/>
    <n v="733.33876103458704"/>
  </r>
  <r>
    <s v="4. Card Refund &amp; Return_x000a_礼品卡退货"/>
    <n v="3"/>
    <s v="4.2 Return &amp; Verification"/>
    <s v="4.2.10 Return &amp; Verification|check card status on refund request"/>
    <s v="4.2.10 As Tmall Gift Card operation, I need guest service check on both card order status and card status when guest request refund, as reject if order or card cannot meet refund requirements_x000a_作为天猫礼品卡运营，要求天猫客服检查礼品卡订单状态和礼品卡兑换状态，以便拒绝不符合要求的退款申请"/>
    <s v="Back-End Development"/>
    <x v="0"/>
    <s v="Release 1"/>
    <x v="0"/>
    <s v="Labor"/>
    <x v="0"/>
    <x v="7"/>
    <x v="14"/>
    <s v="Y"/>
    <s v="Level 4 (5-8Years)"/>
    <s v="Y"/>
    <m/>
    <n v="16"/>
    <n v="313.50232034228594"/>
    <n v="5016.0371254765751"/>
    <n v="733.33876103458704"/>
  </r>
  <r>
    <s v="4. Card Refund &amp; Return_x000a_礼品卡退货"/>
    <n v="3"/>
    <s v="4.2 Return &amp; Verification"/>
    <s v="4.2.10 Return &amp; Verification|check card status on refund request"/>
    <s v="4.2.10 As Tmall Gift Card operation, I need guest service check on both card order status and card status when guest request refund, as reject if order or card cannot meet refund requirements_x000a_作为天猫礼品卡运营，要求天猫客服检查礼品卡订单状态和礼品卡兑换状态，以便拒绝不符合要求的退款申请"/>
    <s v="Function Testing"/>
    <x v="0"/>
    <s v="Release 1"/>
    <x v="0"/>
    <s v="Labor"/>
    <x v="0"/>
    <x v="7"/>
    <x v="3"/>
    <s v="Y"/>
    <s v="Level 4 (5-8Years)"/>
    <s v="Y"/>
    <m/>
    <n v="24"/>
    <n v="265.63458993476246"/>
    <n v="6375.2301584342986"/>
    <n v="932.05119275355241"/>
  </r>
  <r>
    <s v="4. Card Refund &amp; Return_x000a_礼品卡退货"/>
    <n v="3"/>
    <s v="4.2 Return &amp; Verification"/>
    <s v="4.2.11 Return &amp; Verification|resume card redemption if refund is rejected"/>
    <s v="4.2.11 As Tmall Gift Card operation, I need resume card‘s coupon for redemption if request is rejected/canceled, as guest can redeem as normal_x000a_作为天猫礼品卡运营，需要在退款申请拒绝/取消后，恢复已收货礼品卡门票兑换券至可兑换状态，以便游客可以继续兑换 "/>
    <s v="Requirment Analysis"/>
    <x v="0"/>
    <s v="Release 1"/>
    <x v="1"/>
    <s v="Labor"/>
    <x v="0"/>
    <x v="8"/>
    <x v="11"/>
    <s v="N"/>
    <m/>
    <s v="N"/>
    <m/>
    <n v="15"/>
    <n v="483.99337052185018"/>
    <n v="7259.9005578277529"/>
    <n v="1061.388970442654"/>
  </r>
  <r>
    <s v="4. Card Refund &amp; Return_x000a_礼品卡退货"/>
    <n v="3"/>
    <s v="4.2 Return &amp; Verification"/>
    <s v="4.2.11 Return &amp; Verification|resume card redemption if refund is rejected"/>
    <s v="4.2.11 As Tmall Gift Card operation, I need resume card‘s coupon for redemption if request is rejected/canceled, as guest can redeem as normal_x000a_作为天猫礼品卡运营，需要在退款申请拒绝/取消后，恢复已收货礼品卡门票兑换券至可兑换状态，以便游客可以继续兑换 "/>
    <s v="UI Design"/>
    <x v="0"/>
    <s v="Release 1"/>
    <x v="0"/>
    <s v="Labor"/>
    <x v="0"/>
    <x v="8"/>
    <x v="12"/>
    <s v="Y"/>
    <s v="Level 6 (1-3Years）"/>
    <s v="N"/>
    <m/>
    <n v="10"/>
    <n v="248.42648648648645"/>
    <n v="2484.2648648648646"/>
    <n v="363.19661767030186"/>
  </r>
  <r>
    <s v="4. Card Refund &amp; Return_x000a_礼品卡退货"/>
    <n v="3"/>
    <s v="4.2 Return &amp; Verification"/>
    <s v="4.2.11 Return &amp; Verification|resume card redemption if refund is rejected"/>
    <s v="4.2.11 As Tmall Gift Card operation, I need resume card‘s coupon for redemption if request is rejected/canceled, as guest can redeem as normal_x000a_作为天猫礼品卡运营，需要在退款申请拒绝/取消后，恢复已收货礼品卡门票兑换券至可兑换状态，以便游客可以继续兑换 "/>
    <s v="Project Management"/>
    <x v="1"/>
    <s v="Release 1"/>
    <x v="1"/>
    <s v="Labor"/>
    <x v="0"/>
    <x v="7"/>
    <x v="9"/>
    <s v="N"/>
    <m/>
    <s v="N"/>
    <m/>
    <n v="12"/>
    <n v="483.99337052185018"/>
    <n v="5807.9204462622019"/>
    <n v="849.11117635412313"/>
  </r>
  <r>
    <s v="4. Card Refund &amp; Return_x000a_礼品卡退货"/>
    <n v="3"/>
    <s v="4.2 Return &amp; Verification"/>
    <s v="4.2.11 Return &amp; Verification|resume card redemption if refund is rejected"/>
    <s v="4.2.11 As Tmall Gift Card operation, I need resume card‘s coupon for redemption if request is rejected/canceled, as guest can redeem as normal_x000a_作为天猫礼品卡运营，需要在退款申请拒绝/取消后，恢复已收货礼品卡门票兑换券至可兑换状态，以便游客可以继续兑换 "/>
    <s v="Front-End Development"/>
    <x v="0"/>
    <s v="Release 1"/>
    <x v="0"/>
    <s v="Labor"/>
    <x v="0"/>
    <x v="7"/>
    <x v="13"/>
    <s v="Y"/>
    <s v="Level 4 (5-8Years)"/>
    <s v="Y"/>
    <m/>
    <n v="80"/>
    <n v="313.50232034228594"/>
    <n v="25080.185627382874"/>
    <n v="3666.6938051729348"/>
  </r>
  <r>
    <s v="4. Card Refund &amp; Return_x000a_礼品卡退货"/>
    <n v="3"/>
    <s v="4.2 Return &amp; Verification"/>
    <s v="4.2.11 Return &amp; Verification|resume card redemption if refund is rejected"/>
    <s v="4.2.11 As Tmall Gift Card operation, I need resume card‘s coupon for redemption if request is rejected/canceled, as guest can redeem as normal_x000a_作为天猫礼品卡运营，需要在退款申请拒绝/取消后，恢复已收货礼品卡门票兑换券至可兑换状态，以便游客可以继续兑换 "/>
    <s v="Back-End Development"/>
    <x v="0"/>
    <s v="Release 1"/>
    <x v="0"/>
    <s v="Labor"/>
    <x v="0"/>
    <x v="7"/>
    <x v="14"/>
    <s v="Y"/>
    <s v="Level 4 (5-8Years)"/>
    <s v="Y"/>
    <m/>
    <n v="80"/>
    <n v="313.50232034228594"/>
    <n v="25080.185627382874"/>
    <n v="3666.6938051729348"/>
  </r>
  <r>
    <s v="4. Card Refund &amp; Return_x000a_礼品卡退货"/>
    <n v="3"/>
    <s v="4.2 Return &amp; Verification"/>
    <s v="4.2.11 Return &amp; Verification|resume card redemption if refund is rejected"/>
    <s v="4.2.11 As Tmall Gift Card operation, I need resume card‘s coupon for redemption if request is rejected/canceled, as guest can redeem as normal_x000a_作为天猫礼品卡运营，需要在退款申请拒绝/取消后，恢复已收货礼品卡门票兑换券至可兑换状态，以便游客可以继续兑换 "/>
    <s v="Function Testing"/>
    <x v="0"/>
    <s v="Release 1"/>
    <x v="0"/>
    <s v="Labor"/>
    <x v="0"/>
    <x v="7"/>
    <x v="3"/>
    <s v="Y"/>
    <s v="Level 4 (5-8Years)"/>
    <s v="Y"/>
    <m/>
    <n v="120"/>
    <n v="265.63458993476246"/>
    <n v="31876.150792171495"/>
    <n v="4660.2559637677623"/>
  </r>
  <r>
    <s v="4. Card Refund &amp; Return_x000a_礼品卡退货"/>
    <n v="3"/>
    <s v="4.2 Return &amp; Verification"/>
    <s v="4.2.12 Return &amp; Verification|manual update card status when partial return/refund"/>
    <s v="4.2.12 As Tmall Gift Card operation, I need manual to update the card's status in the gift card management platform, as for manual refund process_x000a_作为天猫礼品卡运营，需要在礼品卡管理系统中手动更改卡片状态，以便处理线下人工退款的场景"/>
    <s v="Requirment Analysis"/>
    <x v="0"/>
    <s v="Release 1"/>
    <x v="1"/>
    <s v="Labor"/>
    <x v="0"/>
    <x v="8"/>
    <x v="11"/>
    <s v="N"/>
    <m/>
    <s v="N"/>
    <m/>
    <n v="9"/>
    <n v="483.99337052185018"/>
    <n v="4355.9403346966519"/>
    <n v="636.83338226559238"/>
  </r>
  <r>
    <s v="4. Card Refund &amp; Return_x000a_礼品卡退货"/>
    <n v="3"/>
    <s v="4.2 Return &amp; Verification"/>
    <s v="4.2.12 Return &amp; Verification|manual update card status when partial return/refund"/>
    <s v="4.2.12 As Tmall Gift Card operation, I need manual to update the card's status in the gift card management platform, as for manual refund process_x000a_作为天猫礼品卡运营，需要在礼品卡管理系统中手动更改卡片状态，以便处理线下人工退款的场景"/>
    <s v="UI Design"/>
    <x v="0"/>
    <s v="Release 1"/>
    <x v="0"/>
    <s v="Labor"/>
    <x v="0"/>
    <x v="8"/>
    <x v="12"/>
    <s v="Y"/>
    <s v="Level 6 (1-3Years）"/>
    <s v="N"/>
    <m/>
    <n v="6"/>
    <n v="248.42648648648645"/>
    <n v="1490.5589189189186"/>
    <n v="217.9179706021811"/>
  </r>
  <r>
    <s v="4. Card Refund &amp; Return_x000a_礼品卡退货"/>
    <n v="3"/>
    <s v="4.2 Return &amp; Verification"/>
    <s v="4.2.12 Return &amp; Verification|manual update card status when partial return/refund"/>
    <s v="4.2.12 As Tmall Gift Card operation, I need manual to update the card's status in the gift card management platform, as for manual refund process_x000a_作为天猫礼品卡运营，需要在礼品卡管理系统中手动更改卡片状态，以便处理线下人工退款的场景"/>
    <s v="Project Management"/>
    <x v="1"/>
    <s v="Release 1"/>
    <x v="1"/>
    <s v="Labor"/>
    <x v="0"/>
    <x v="7"/>
    <x v="9"/>
    <s v="N"/>
    <m/>
    <s v="N"/>
    <m/>
    <n v="8"/>
    <n v="483.99337052185018"/>
    <n v="3871.9469641748015"/>
    <n v="566.07411756941542"/>
  </r>
  <r>
    <s v="4. Card Refund &amp; Return_x000a_礼品卡退货"/>
    <n v="3"/>
    <s v="4.2 Return &amp; Verification"/>
    <s v="4.2.12 Return &amp; Verification|manual update card status when partial return/refund"/>
    <s v="4.2.12 As Tmall Gift Card operation, I need manual to update the card's status in the gift card management platform, as for manual refund process_x000a_作为天猫礼品卡运营，需要在礼品卡管理系统中手动更改卡片状态，以便处理线下人工退款的场景"/>
    <s v="Front-End Development"/>
    <x v="0"/>
    <s v="Release 1"/>
    <x v="0"/>
    <s v="Labor"/>
    <x v="0"/>
    <x v="7"/>
    <x v="13"/>
    <s v="Y"/>
    <s v="Level 4 (5-8Years)"/>
    <s v="Y"/>
    <m/>
    <n v="48"/>
    <n v="313.50232034228594"/>
    <n v="15048.111376429726"/>
    <n v="2200.016283103761"/>
  </r>
  <r>
    <s v="4. Card Refund &amp; Return_x000a_礼品卡退货"/>
    <n v="3"/>
    <s v="4.2 Return &amp; Verification"/>
    <s v="4.2.12 Return &amp; Verification|manual update card status when partial return/refund"/>
    <s v="4.2.12 As Tmall Gift Card operation, I need manual to update the card's status in the gift card management platform, as for manual refund process_x000a_作为天猫礼品卡运营，需要在礼品卡管理系统中手动更改卡片状态，以便处理线下人工退款的场景"/>
    <s v="Back-End Development"/>
    <x v="0"/>
    <s v="Release 1"/>
    <x v="0"/>
    <s v="Labor"/>
    <x v="0"/>
    <x v="7"/>
    <x v="14"/>
    <s v="Y"/>
    <s v="Level 4 (5-8Years)"/>
    <s v="Y"/>
    <m/>
    <n v="48"/>
    <n v="313.50232034228594"/>
    <n v="15048.111376429726"/>
    <n v="2200.016283103761"/>
  </r>
  <r>
    <s v="4. Card Refund &amp; Return_x000a_礼品卡退货"/>
    <n v="3"/>
    <s v="4.2 Return &amp; Verification"/>
    <s v="4.2.12 Return &amp; Verification|manual update card status when partial return/refund"/>
    <s v="4.2.12 As Tmall Gift Card operation, I need manual to update the card's status in the gift card management platform, as for manual refund process_x000a_作为天猫礼品卡运营，需要在礼品卡管理系统中手动更改卡片状态，以便处理线下人工退款的场景"/>
    <s v="Function Testing"/>
    <x v="0"/>
    <s v="Release 1"/>
    <x v="0"/>
    <s v="Labor"/>
    <x v="0"/>
    <x v="7"/>
    <x v="3"/>
    <s v="Y"/>
    <s v="Level 4 (5-8Years)"/>
    <s v="Y"/>
    <m/>
    <n v="72"/>
    <n v="265.63458993476246"/>
    <n v="19125.690475302898"/>
    <n v="2796.1535782606575"/>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Requirment Analysis"/>
    <x v="0"/>
    <s v="Release 1"/>
    <x v="1"/>
    <s v="Labor"/>
    <x v="0"/>
    <x v="8"/>
    <x v="11"/>
    <s v="N"/>
    <m/>
    <s v="N"/>
    <m/>
    <n v="15"/>
    <n v="483.99337052185018"/>
    <n v="7259.9005578277529"/>
    <n v="1061.38897044265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UI Design"/>
    <x v="0"/>
    <s v="Release 1"/>
    <x v="0"/>
    <s v="Labor"/>
    <x v="0"/>
    <x v="8"/>
    <x v="12"/>
    <s v="Y"/>
    <s v="Level 6 (1-3Years）"/>
    <s v="N"/>
    <m/>
    <n v="10"/>
    <n v="248.42648648648645"/>
    <n v="2484.2648648648646"/>
    <n v="363.19661767030186"/>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Project Management"/>
    <x v="1"/>
    <s v="Release 1"/>
    <x v="1"/>
    <s v="Labor"/>
    <x v="0"/>
    <x v="7"/>
    <x v="9"/>
    <s v="N"/>
    <m/>
    <s v="N"/>
    <m/>
    <n v="12"/>
    <n v="483.99337052185018"/>
    <n v="5807.9204462622019"/>
    <n v="849.11117635412313"/>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Front-End Development"/>
    <x v="0"/>
    <s v="Release 1"/>
    <x v="0"/>
    <s v="Labor"/>
    <x v="0"/>
    <x v="7"/>
    <x v="13"/>
    <s v="Y"/>
    <s v="Level 4 (5-8Years)"/>
    <s v="Y"/>
    <m/>
    <n v="80"/>
    <n v="313.50232034228594"/>
    <n v="25080.185627382874"/>
    <n v="3666.693805172934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Back-End Development"/>
    <x v="0"/>
    <s v="Release 1"/>
    <x v="0"/>
    <s v="Labor"/>
    <x v="0"/>
    <x v="7"/>
    <x v="14"/>
    <s v="Y"/>
    <s v="Level 4 (5-8Years)"/>
    <s v="Y"/>
    <m/>
    <n v="80"/>
    <n v="313.50232034228594"/>
    <n v="25080.185627382874"/>
    <n v="3666.693805172934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Function Testing"/>
    <x v="0"/>
    <s v="Release 1"/>
    <x v="0"/>
    <s v="Labor"/>
    <x v="0"/>
    <x v="7"/>
    <x v="3"/>
    <s v="Y"/>
    <s v="Level 4 (5-8Years)"/>
    <s v="Y"/>
    <m/>
    <n v="120"/>
    <n v="265.63458993476246"/>
    <n v="31876.150792171495"/>
    <n v="4660.2559637677623"/>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根据单个订单号查询需退款的订单，返回包含订单状态，vid状态，日期，价格，优惠券使用信息，支付信息（用于退款）根据条件（如PLU，使用日期等）返回订单的最新信息"/>
    <x v="0"/>
    <s v="Release 1"/>
    <x v="0"/>
    <s v="Labor"/>
    <x v="2"/>
    <x v="7"/>
    <x v="14"/>
    <s v="Y"/>
    <s v="Level 4 (5-8Years)"/>
    <s v="N"/>
    <m/>
    <n v="240"/>
    <n v="313.50232034228594"/>
    <n v="75240.556882148623"/>
    <n v="11000.081415518805"/>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根据单个订单号查询需退款的订单，返回包含订单状态，vid状态，日期，价格，优惠券使用信息，支付信息（用于退款）根据条件（如PLU，使用日期等）返回订单的最新信息"/>
    <x v="0"/>
    <s v="Release 1"/>
    <x v="0"/>
    <s v="Labor"/>
    <x v="2"/>
    <x v="7"/>
    <x v="3"/>
    <s v="Y"/>
    <s v="Level 4 (5-8Years)"/>
    <s v="N"/>
    <m/>
    <n v="24"/>
    <n v="265.63458993476246"/>
    <n v="6375.2301584342986"/>
    <n v="932.05119275355241"/>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根据单个订单号查询需退款的订单，返回包含订单状态，vid状态，日期，价格，优惠券使用信息，支付信息（用于退款）根据条件（如PLU，使用日期等）返回订单的最新信息"/>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根据单个订单号查询需退款的订单，返回包含订单状态，vid状态，日期，价格，优惠券使用信息，支付信息（用于退款）根据条件（如PLU，使用日期等）返回订单的最新信息"/>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部分或整单的订单退款接口"/>
    <x v="0"/>
    <s v="Release 1"/>
    <x v="0"/>
    <s v="Labor"/>
    <x v="2"/>
    <x v="7"/>
    <x v="14"/>
    <s v="Y"/>
    <s v="Level 4 (5-8Years)"/>
    <s v="N"/>
    <m/>
    <n v="340"/>
    <n v="313.50232034228594"/>
    <n v="106590.78891637722"/>
    <n v="15583.44867198497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部分或整单的订单退款接口"/>
    <x v="0"/>
    <s v="Release 1"/>
    <x v="0"/>
    <s v="Labor"/>
    <x v="2"/>
    <x v="7"/>
    <x v="3"/>
    <s v="Y"/>
    <s v="Level 4 (5-8Years)"/>
    <s v="N"/>
    <m/>
    <n v="40"/>
    <n v="265.63458993476246"/>
    <n v="10625.383597390499"/>
    <n v="1553.4186545892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部分或整单的订单退款接口"/>
    <x v="0"/>
    <s v="Release 1"/>
    <x v="0"/>
    <s v="Labor"/>
    <x v="2"/>
    <x v="7"/>
    <x v="11"/>
    <s v="Y"/>
    <s v="Level 4 (5-8Years)"/>
    <s v="N"/>
    <m/>
    <n v="12"/>
    <n v="328.73273648648643"/>
    <n v="3944.7928378378374"/>
    <n v="576.7240990990990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部分或整单的订单退款接口"/>
    <x v="1"/>
    <s v="Release 1"/>
    <x v="1"/>
    <s v="Labor"/>
    <x v="2"/>
    <x v="7"/>
    <x v="9"/>
    <s v="N"/>
    <m/>
    <s v="N"/>
    <m/>
    <n v="4"/>
    <n v="483.99337052185018"/>
    <n v="1935.9734820874007"/>
    <n v="283.03705878470771"/>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部分或整单的订单退款接口"/>
    <x v="0"/>
    <s v="Release 1"/>
    <x v="0"/>
    <s v="Labor"/>
    <x v="2"/>
    <x v="7"/>
    <x v="15"/>
    <s v="Y"/>
    <s v="Level 4 (5-8Years)"/>
    <s v="N"/>
    <m/>
    <n v="8"/>
    <n v="328.73273648648643"/>
    <n v="2629.8618918918914"/>
    <n v="384.4827327327327"/>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退款成功、退款取消接口开发"/>
    <x v="0"/>
    <s v="Release 1"/>
    <x v="0"/>
    <s v="Labor"/>
    <x v="2"/>
    <x v="7"/>
    <x v="14"/>
    <s v="Y"/>
    <s v="Level 4 (5-8Years)"/>
    <s v="N"/>
    <m/>
    <n v="340"/>
    <n v="313.50232034228594"/>
    <n v="106590.78891637722"/>
    <n v="15583.44867198497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退款成功、退款取消接口开发"/>
    <x v="0"/>
    <s v="Release 1"/>
    <x v="0"/>
    <s v="Labor"/>
    <x v="2"/>
    <x v="7"/>
    <x v="3"/>
    <s v="Y"/>
    <s v="Level 4 (5-8Years)"/>
    <s v="N"/>
    <m/>
    <n v="40"/>
    <n v="265.63458993476246"/>
    <n v="10625.383597390499"/>
    <n v="1553.4186545892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退款成功、退款取消接口开发"/>
    <x v="0"/>
    <s v="Release 1"/>
    <x v="0"/>
    <s v="Labor"/>
    <x v="2"/>
    <x v="7"/>
    <x v="11"/>
    <s v="Y"/>
    <s v="Level 4 (5-8Years)"/>
    <s v="N"/>
    <m/>
    <n v="12"/>
    <n v="328.73273648648643"/>
    <n v="3944.7928378378374"/>
    <n v="576.7240990990990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退款成功、退款取消接口开发"/>
    <x v="1"/>
    <s v="Release 1"/>
    <x v="1"/>
    <s v="Labor"/>
    <x v="2"/>
    <x v="7"/>
    <x v="9"/>
    <s v="N"/>
    <m/>
    <s v="N"/>
    <m/>
    <n v="4"/>
    <n v="483.99337052185018"/>
    <n v="1935.9734820874007"/>
    <n v="283.03705878470771"/>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多条件批量查询，需要支持按条件批量查询的（比如给台风天的场景）_x000a_2，根据PLU查券的信息，比如下架了没有_x000a_3，根据vid查单券的信息_x000a_4，根据订单号查订单的信息"/>
    <x v="0"/>
    <s v="Release 1"/>
    <x v="0"/>
    <s v="Labor"/>
    <x v="2"/>
    <x v="7"/>
    <x v="14"/>
    <s v="Y"/>
    <s v="Level 4 (5-8Years)"/>
    <s v="N"/>
    <m/>
    <n v="440"/>
    <n v="313.50232034228594"/>
    <n v="137941.0209506058"/>
    <n v="20166.8159284511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多条件批量查询，需要支持按条件批量查询的（比如给台风天的场景）_x000a_2，根据PLU查券的信息，比如下架了没有_x000a_3，根据vid查单券的信息_x000a_4，根据订单号查订单的信息"/>
    <x v="0"/>
    <s v="Release 1"/>
    <x v="0"/>
    <s v="Labor"/>
    <x v="2"/>
    <x v="7"/>
    <x v="3"/>
    <s v="Y"/>
    <s v="Level 4 (5-8Years)"/>
    <s v="N"/>
    <m/>
    <n v="24"/>
    <n v="265.63458993476246"/>
    <n v="6375.2301584342986"/>
    <n v="932.05119275355241"/>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多条件批量查询，需要支持按条件批量查询的（比如给台风天的场景）_x000a_2，根据PLU查券的信息，比如下架了没有_x000a_3，根据vid查单券的信息_x000a_4，根据订单号查订单的信息"/>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多条件批量查询，需要支持按条件批量查询的（比如给台风天的场景）_x000a_2，根据PLU查券的信息，比如下架了没有_x000a_3，根据vid查单券的信息_x000a_4，根据订单号查订单的信息"/>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SO大宗订单退款"/>
    <x v="0"/>
    <s v="Release 1"/>
    <x v="0"/>
    <s v="Labor"/>
    <x v="2"/>
    <x v="7"/>
    <x v="14"/>
    <s v="Y"/>
    <s v="Level 4 (5-8Years)"/>
    <s v="N"/>
    <m/>
    <n v="160"/>
    <n v="313.50232034228594"/>
    <n v="50160.371254765749"/>
    <n v="7333.3876103458697"/>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SO大宗订单退款"/>
    <x v="0"/>
    <s v="Release 1"/>
    <x v="0"/>
    <s v="Labor"/>
    <x v="2"/>
    <x v="7"/>
    <x v="3"/>
    <s v="Y"/>
    <s v="Level 4 (5-8Years)"/>
    <s v="N"/>
    <m/>
    <n v="24"/>
    <n v="265.63458993476246"/>
    <n v="6375.2301584342986"/>
    <n v="932.05119275355241"/>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SO大宗订单退款"/>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SO大宗订单退款"/>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SO大宗订单退款"/>
    <x v="0"/>
    <s v="Release 1"/>
    <x v="0"/>
    <s v="Labor"/>
    <x v="2"/>
    <x v="7"/>
    <x v="15"/>
    <s v="Y"/>
    <s v="Level 4 (5-8Years)"/>
    <s v="N"/>
    <m/>
    <n v="8"/>
    <n v="328.73273648648643"/>
    <n v="2629.8618918918914"/>
    <n v="384.4827327327327"/>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Online ERS Admin Portal增加退款信息模块，库存返还信息块"/>
    <x v="0"/>
    <s v="Release 1"/>
    <x v="0"/>
    <s v="Labor"/>
    <x v="2"/>
    <x v="7"/>
    <x v="14"/>
    <s v="Y"/>
    <s v="Level 4 (5-8Years)"/>
    <s v="N"/>
    <m/>
    <n v="240"/>
    <n v="313.50232034228594"/>
    <n v="75240.556882148623"/>
    <n v="11000.081415518805"/>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Online ERS Admin Portal增加退款信息模块，库存返还信息块"/>
    <x v="0"/>
    <s v="Release 1"/>
    <x v="0"/>
    <s v="Labor"/>
    <x v="2"/>
    <x v="7"/>
    <x v="13"/>
    <s v="Y"/>
    <s v="Level 4 (5-8Years)"/>
    <s v="Y"/>
    <m/>
    <n v="400"/>
    <n v="313.50232034228594"/>
    <n v="125400.92813691437"/>
    <n v="18333.469025864673"/>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Online ERS Admin Portal增加退款信息模块，库存返还信息块"/>
    <x v="0"/>
    <s v="Release 1"/>
    <x v="0"/>
    <s v="Labor"/>
    <x v="2"/>
    <x v="7"/>
    <x v="3"/>
    <s v="Y"/>
    <s v="Level 4 (5-8Years)"/>
    <s v="Y"/>
    <m/>
    <n v="320"/>
    <n v="265.63458993476246"/>
    <n v="85003.068779123991"/>
    <n v="12427.349236714033"/>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Online ERS Admin Portal增加退款信息模块，库存返还信息块"/>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Online ERS Admin Portal增加退款信息模块，库存返还信息块"/>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icket/AP/Coupon/PFC/Pre-bundle/Hotel的订单用券退款后，归还用券库存，并且小红点的展示跟随库存的变化而变化，并且写入coupon redemption report."/>
    <x v="0"/>
    <s v="Release 1"/>
    <x v="0"/>
    <s v="Labor"/>
    <x v="2"/>
    <x v="7"/>
    <x v="13"/>
    <s v="Y"/>
    <s v="Level 4 (5-8Years)"/>
    <s v="Y"/>
    <m/>
    <n v="400"/>
    <n v="313.50232034228594"/>
    <n v="125400.92813691437"/>
    <n v="18333.469025864673"/>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icket/AP/Coupon/PFC/Pre-bundle/Hotel的订单用券退款后，归还用券库存，并且小红点的展示跟随库存的变化而变化，并且写入coupon redemption report."/>
    <x v="0"/>
    <s v="Release 1"/>
    <x v="0"/>
    <s v="Labor"/>
    <x v="2"/>
    <x v="7"/>
    <x v="14"/>
    <s v="Y"/>
    <s v="Level 4 (5-8Years)"/>
    <s v="Y"/>
    <m/>
    <n v="664"/>
    <n v="313.50232034228594"/>
    <n v="208165.54070727786"/>
    <n v="30433.55858293536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icket/AP/Coupon/PFC/Pre-bundle/Hotel的订单用券退款后，归还用券库存，并且小红点的展示跟随库存的变化而变化，并且写入coupon redemption report."/>
    <x v="0"/>
    <s v="Release 1"/>
    <x v="0"/>
    <s v="Labor"/>
    <x v="2"/>
    <x v="7"/>
    <x v="3"/>
    <s v="Y"/>
    <s v="Level 4 (5-8Years)"/>
    <s v="Y"/>
    <m/>
    <n v="200"/>
    <n v="265.63458993476246"/>
    <n v="53126.917986952489"/>
    <n v="7767.093272946270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icket/AP/Coupon/PFC/Pre-bundle/Hotel的订单用券退款后，归还用券库存，并且小红点的展示跟随库存的变化而变化，并且写入coupon redemption report."/>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icket/AP/Coupon/PFC/Pre-bundle/Hotel的订单用券退款后，归还用券库存，并且小红点的展示跟随库存的变化而变化，并且写入coupon redemption report."/>
    <x v="1"/>
    <s v="Release 1"/>
    <x v="1"/>
    <s v="Labor"/>
    <x v="2"/>
    <x v="7"/>
    <x v="9"/>
    <s v="N"/>
    <m/>
    <s v="N"/>
    <m/>
    <n v="16"/>
    <n v="483.99337052185018"/>
    <n v="7743.8939283496029"/>
    <n v="1132.148235138830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Ticket/AP/Coupon/PFC/Pre-bundle/Hotel的订单用券退款后，归还用券库存，并且小红点的展示跟随库存的变化而变化，并且写入coupon redemption report."/>
    <x v="0"/>
    <s v="Release 1"/>
    <x v="0"/>
    <s v="Labor"/>
    <x v="2"/>
    <x v="7"/>
    <x v="15"/>
    <s v="Y"/>
    <s v="Level 4 (5-8Years)"/>
    <s v="N"/>
    <m/>
    <n v="16"/>
    <n v="328.73273648648643"/>
    <n v="5259.7237837837829"/>
    <n v="768.965465465465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订单新增退款订单小状态，申请记录"/>
    <x v="0"/>
    <s v="Release 1"/>
    <x v="0"/>
    <s v="Labor"/>
    <x v="2"/>
    <x v="7"/>
    <x v="14"/>
    <s v="Y"/>
    <s v="Level 4 (5-8Years)"/>
    <s v="N"/>
    <m/>
    <n v="80"/>
    <n v="313.50232034228594"/>
    <n v="25080.185627382874"/>
    <n v="3666.693805172934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订单新增退款订单小状态，申请记录"/>
    <x v="0"/>
    <s v="Release 1"/>
    <x v="0"/>
    <s v="Labor"/>
    <x v="2"/>
    <x v="7"/>
    <x v="11"/>
    <s v="Y"/>
    <s v="Level 4 (5-8Years)"/>
    <s v="N"/>
    <m/>
    <n v="16"/>
    <n v="328.73273648648643"/>
    <n v="5259.7237837837829"/>
    <n v="768.965465465465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订单新增退款订单小状态，申请记录"/>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订单新增退款订单小状态，申请记录"/>
    <x v="0"/>
    <s v="Release 1"/>
    <x v="0"/>
    <s v="Labor"/>
    <x v="2"/>
    <x v="7"/>
    <x v="3"/>
    <s v="Y"/>
    <s v="Level 4 (5-8Years)"/>
    <s v="N"/>
    <m/>
    <n v="40"/>
    <n v="265.63458993476246"/>
    <n v="10625.383597390499"/>
    <n v="1553.4186545892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2.订单详情查询接口按订单号查询，支持不同类型订单号查询，nebula后台显示正确状态信息"/>
    <x v="0"/>
    <s v="Release 1"/>
    <x v="0"/>
    <s v="Labor"/>
    <x v="2"/>
    <x v="7"/>
    <x v="14"/>
    <s v="Y"/>
    <s v="Level 4 (5-8Years)"/>
    <s v="N"/>
    <m/>
    <n v="80"/>
    <n v="313.50232034228594"/>
    <n v="25080.185627382874"/>
    <n v="3666.693805172934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2.订单详情查询接口按订单号查询，支持不同类型订单号查询，nebula后台显示正确状态信息"/>
    <x v="0"/>
    <s v="Release 1"/>
    <x v="0"/>
    <s v="Labor"/>
    <x v="2"/>
    <x v="7"/>
    <x v="3"/>
    <s v="Y"/>
    <s v="Level 4 (5-8Years)"/>
    <s v="N"/>
    <m/>
    <n v="40"/>
    <n v="265.63458993476246"/>
    <n v="10625.383597390499"/>
    <n v="1553.4186545892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2.订单详情查询接口按订单号查询，支持不同类型订单号查询，nebula后台显示正确状态信息"/>
    <x v="0"/>
    <s v="Release 1"/>
    <x v="0"/>
    <s v="Labor"/>
    <x v="2"/>
    <x v="7"/>
    <x v="11"/>
    <s v="Y"/>
    <s v="Level 4 (5-8Years)"/>
    <s v="N"/>
    <m/>
    <n v="16"/>
    <n v="328.73273648648643"/>
    <n v="5259.7237837837829"/>
    <n v="768.965465465465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2.订单详情查询接口按订单号查询，支持不同类型订单号查询，nebula后台显示正确状态信息"/>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3.单个订单详情查询接口按plu及其他条件查询接口"/>
    <x v="0"/>
    <s v="Release 1"/>
    <x v="0"/>
    <s v="Labor"/>
    <x v="2"/>
    <x v="7"/>
    <x v="14"/>
    <s v="Y"/>
    <s v="Level 4 (5-8Years)"/>
    <s v="N"/>
    <m/>
    <n v="60"/>
    <n v="313.50232034228594"/>
    <n v="18810.139220537156"/>
    <n v="2750.020353879701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4.批量订单详情查询接口按plu及其他条件查询接口"/>
    <x v="0"/>
    <s v="Release 1"/>
    <x v="0"/>
    <s v="Labor"/>
    <x v="2"/>
    <x v="7"/>
    <x v="14"/>
    <s v="Y"/>
    <s v="Level 4 (5-8Years)"/>
    <s v="N"/>
    <m/>
    <n v="40"/>
    <n v="313.50232034228594"/>
    <n v="12540.092813691437"/>
    <n v="1833.346902586467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5.订单号及vid信息执行退款申请，券状态更新，订单状态更新，mq通知"/>
    <x v="0"/>
    <s v="Release 1"/>
    <x v="0"/>
    <s v="Labor"/>
    <x v="2"/>
    <x v="7"/>
    <x v="14"/>
    <s v="Y"/>
    <s v="Level 4 (5-8Years)"/>
    <s v="Y"/>
    <m/>
    <n v="120"/>
    <n v="313.50232034228594"/>
    <n v="37620.278441074312"/>
    <n v="5500.0407077594027"/>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5.订单号及vid信息执行退款申请，券状态更新，订单状态更新，mq通知"/>
    <x v="0"/>
    <s v="Release 1"/>
    <x v="0"/>
    <s v="Labor"/>
    <x v="2"/>
    <x v="7"/>
    <x v="3"/>
    <s v="Y"/>
    <s v="Level 4 (5-8Years)"/>
    <s v="N"/>
    <m/>
    <n v="40"/>
    <n v="265.63458993476246"/>
    <n v="10625.383597390499"/>
    <n v="1553.4186545892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5.订单号及vid信息执行退款申请，券状态更新，订单状态更新，mq通知"/>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5.订单号及vid信息执行退款申请，券状态更新，订单状态更新，mq通知"/>
    <x v="1"/>
    <s v="Release 1"/>
    <x v="1"/>
    <s v="Labor"/>
    <x v="2"/>
    <x v="7"/>
    <x v="9"/>
    <s v="N"/>
    <m/>
    <s v="N"/>
    <m/>
    <n v="16"/>
    <n v="483.99337052185018"/>
    <n v="7743.8939283496029"/>
    <n v="1132.148235138830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6.支持订单整单和部分拆单进行退款处理，支持销售单申请和大宗单申请"/>
    <x v="0"/>
    <s v="Release 1"/>
    <x v="0"/>
    <s v="Labor"/>
    <x v="2"/>
    <x v="7"/>
    <x v="14"/>
    <s v="Y"/>
    <s v="Level 4 (5-8Years)"/>
    <s v="Y"/>
    <m/>
    <n v="60"/>
    <n v="313.50232034228594"/>
    <n v="18810.139220537156"/>
    <n v="2750.020353879701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6.支持订单整单和部分拆单进行退款处理，支持销售单申请和大宗单申请"/>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6.支持订单整单和部分拆单进行退款处理，支持销售单申请和大宗单申请"/>
    <x v="1"/>
    <s v="Release 1"/>
    <x v="1"/>
    <s v="Labor"/>
    <x v="2"/>
    <x v="7"/>
    <x v="9"/>
    <s v="N"/>
    <m/>
    <s v="N"/>
    <m/>
    <n v="16"/>
    <n v="483.99337052185018"/>
    <n v="7743.8939283496029"/>
    <n v="1132.148235138830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6.支持订单整单和部分拆单进行退款处理，支持销售单申请和大宗单申请"/>
    <x v="0"/>
    <s v="Release 1"/>
    <x v="0"/>
    <s v="Labor"/>
    <x v="2"/>
    <x v="7"/>
    <x v="15"/>
    <s v="Y"/>
    <s v="Level 4 (5-8Years)"/>
    <s v="N"/>
    <m/>
    <n v="16"/>
    <n v="328.73273648648643"/>
    <n v="5259.7237837837829"/>
    <n v="768.965465465465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7.退款申请历史记录，已申请，处理中的退款申请不允许重复操作"/>
    <x v="0"/>
    <s v="Release 1"/>
    <x v="0"/>
    <s v="Labor"/>
    <x v="2"/>
    <x v="7"/>
    <x v="14"/>
    <s v="Y"/>
    <s v="Level 4 (5-8Years)"/>
    <s v="N"/>
    <m/>
    <n v="40"/>
    <n v="313.50232034228594"/>
    <n v="12540.092813691437"/>
    <n v="1833.346902586467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7.退款申请历史记录，已申请，处理中的退款申请不允许重复操作"/>
    <x v="0"/>
    <s v="Release 1"/>
    <x v="0"/>
    <s v="Labor"/>
    <x v="2"/>
    <x v="7"/>
    <x v="3"/>
    <s v="Y"/>
    <s v="Level 4 (5-8Years)"/>
    <s v="N"/>
    <m/>
    <n v="40"/>
    <n v="265.63458993476246"/>
    <n v="10625.383597390499"/>
    <n v="1553.4186545892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7.退款申请历史记录，已申请，处理中的退款申请不允许重复操作"/>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7.退款申请历史记录，已申请，处理中的退款申请不允许重复操作"/>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8.退款中的订单，拦截接口核销状态同步，不允许进行核销操作"/>
    <x v="0"/>
    <s v="Release 1"/>
    <x v="0"/>
    <s v="Labor"/>
    <x v="2"/>
    <x v="7"/>
    <x v="14"/>
    <s v="Y"/>
    <s v="Level 4 (5-8Years)"/>
    <s v="N"/>
    <m/>
    <n v="40"/>
    <n v="313.50232034228594"/>
    <n v="12540.092813691437"/>
    <n v="1833.346902586467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8.退款中的订单，拦截接口核销状态同步，不允许进行核销操作"/>
    <x v="0"/>
    <s v="Release 1"/>
    <x v="0"/>
    <s v="Labor"/>
    <x v="2"/>
    <x v="7"/>
    <x v="3"/>
    <s v="Y"/>
    <s v="Level 4 (5-8Years)"/>
    <s v="N"/>
    <m/>
    <n v="40"/>
    <n v="265.63458993476246"/>
    <n v="10625.383597390499"/>
    <n v="1553.4186545892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8.退款中的订单，拦截接口核销状态同步，不允许进行核销操作"/>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8.退款中的订单，拦截接口核销状态同步，不允许进行核销操作"/>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9.申请退款之后，执行退款成功操作，返回原库存"/>
    <x v="0"/>
    <s v="Release 1"/>
    <x v="0"/>
    <s v="Labor"/>
    <x v="2"/>
    <x v="7"/>
    <x v="14"/>
    <s v="Y"/>
    <s v="Level 4 (5-8Years)"/>
    <s v="N"/>
    <m/>
    <n v="60"/>
    <n v="313.50232034228594"/>
    <n v="18810.139220537156"/>
    <n v="2750.020353879701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9.申请退款之后，执行退款成功操作，返回原库存"/>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9.申请退款之后，执行退款成功操作，返回原库存"/>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0.申请退款之后，执行退款操作失败，退款申请置为退款失败"/>
    <x v="0"/>
    <s v="Release 1"/>
    <x v="0"/>
    <s v="Labor"/>
    <x v="2"/>
    <x v="7"/>
    <x v="14"/>
    <s v="Y"/>
    <s v="Level 4 (5-8Years)"/>
    <s v="N"/>
    <m/>
    <n v="60"/>
    <n v="313.50232034228594"/>
    <n v="18810.139220537156"/>
    <n v="2750.020353879701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0.申请退款之后，执行退款操作失败，退款申请置为退款失败"/>
    <x v="0"/>
    <s v="Release 1"/>
    <x v="0"/>
    <s v="Labor"/>
    <x v="2"/>
    <x v="7"/>
    <x v="3"/>
    <s v="Y"/>
    <s v="Level 4 (5-8Years)"/>
    <s v="N"/>
    <m/>
    <n v="16"/>
    <n v="265.63458993476246"/>
    <n v="4250.1534389561994"/>
    <n v="621.36746183570165"/>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0.申请退款之后，执行退款操作失败，退款申请置为退款失败"/>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0.申请退款之后，执行退款操作失败，退款申请置为退款失败"/>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1.退款中的vid状态为freeze，不允许在nebula后台执行退款退单操作，包括销售单和大宗单"/>
    <x v="0"/>
    <s v="Release 1"/>
    <x v="0"/>
    <s v="Labor"/>
    <x v="2"/>
    <x v="7"/>
    <x v="14"/>
    <s v="Y"/>
    <s v="Level 4 (5-8Years)"/>
    <s v="N"/>
    <m/>
    <n v="60"/>
    <n v="313.50232034228594"/>
    <n v="18810.139220537156"/>
    <n v="2750.020353879701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1.退款中的vid状态为freeze，不允许在nebula后台执行退款退单操作，包括销售单和大宗单"/>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1.退款中的vid状态为freeze，不允许在nebula后台执行退款退单操作，包括销售单和大宗单"/>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2.退款中的vid状态为freeze，不允许在nebula后台执行改期延期操作"/>
    <x v="0"/>
    <s v="Release 1"/>
    <x v="0"/>
    <s v="Labor"/>
    <x v="2"/>
    <x v="7"/>
    <x v="14"/>
    <s v="Y"/>
    <s v="Level 4 (5-8Years)"/>
    <s v="N"/>
    <m/>
    <n v="60"/>
    <n v="313.50232034228594"/>
    <n v="18810.139220537156"/>
    <n v="2750.020353879701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2.退款中的vid状态为freeze，不允许在nebula后台执行改期延期操作"/>
    <x v="0"/>
    <s v="Release 1"/>
    <x v="0"/>
    <s v="Labor"/>
    <x v="2"/>
    <x v="7"/>
    <x v="3"/>
    <s v="Y"/>
    <s v="Level 4 (5-8Years)"/>
    <s v="N"/>
    <m/>
    <n v="40"/>
    <n v="265.63458993476246"/>
    <n v="10625.383597390499"/>
    <n v="1553.4186545892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2.退款中的vid状态为freeze，不允许在nebula后台执行改期延期操作"/>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2.退款中的vid状态为freeze，不允许在nebula后台执行改期延期操作"/>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3.退款中的vid状态为freeze，不允许在nebula后台执行批量退款退单操作，包括销售单和大宗单"/>
    <x v="0"/>
    <s v="Release 1"/>
    <x v="0"/>
    <s v="Labor"/>
    <x v="2"/>
    <x v="7"/>
    <x v="14"/>
    <s v="Y"/>
    <s v="Level 4 (5-8Years)"/>
    <s v="N"/>
    <m/>
    <n v="60"/>
    <n v="313.50232034228594"/>
    <n v="18810.139220537156"/>
    <n v="2750.0203538797014"/>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3.退款中的vid状态为freeze，不允许在nebula后台执行批量退款退单操作，包括销售单和大宗单"/>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3.退款中的vid状态为freeze，不允许在nebula后台执行批量退款退单操作，包括销售单和大宗单"/>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4.逆向单申请时间点变更，sap报表更新"/>
    <x v="0"/>
    <s v="Release 1"/>
    <x v="0"/>
    <s v="Labor"/>
    <x v="2"/>
    <x v="7"/>
    <x v="14"/>
    <s v="Y"/>
    <s v="Level 4 (5-8Years)"/>
    <s v="N"/>
    <m/>
    <n v="240"/>
    <n v="313.50232034228594"/>
    <n v="75240.556882148623"/>
    <n v="11000.081415518805"/>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4.逆向单申请时间点变更，sap报表更新"/>
    <x v="0"/>
    <s v="Release 1"/>
    <x v="0"/>
    <s v="Labor"/>
    <x v="2"/>
    <x v="7"/>
    <x v="3"/>
    <s v="Y"/>
    <s v="Level 4 (5-8Years)"/>
    <s v="Y"/>
    <m/>
    <n v="320"/>
    <n v="265.63458993476246"/>
    <n v="85003.068779123991"/>
    <n v="12427.349236714033"/>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4.逆向单申请时间点变更，sap报表更新"/>
    <x v="0"/>
    <s v="Release 1"/>
    <x v="0"/>
    <s v="Labor"/>
    <x v="2"/>
    <x v="7"/>
    <x v="11"/>
    <s v="Y"/>
    <s v="Level 4 (5-8Years)"/>
    <s v="N"/>
    <m/>
    <n v="24"/>
    <n v="328.73273648648643"/>
    <n v="7889.5856756756748"/>
    <n v="1153.448198198198"/>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14.逆向单申请时间点变更，sap报表更新"/>
    <x v="1"/>
    <s v="Release 1"/>
    <x v="1"/>
    <s v="Labor"/>
    <x v="2"/>
    <x v="7"/>
    <x v="9"/>
    <s v="N"/>
    <m/>
    <s v="N"/>
    <m/>
    <n v="8"/>
    <n v="483.99337052185018"/>
    <n v="3871.9469641748015"/>
    <n v="566.07411756941542"/>
  </r>
  <r>
    <s v="4. Card Refund &amp; Return_x000a_礼品卡退货"/>
    <n v="3"/>
    <s v="4.3 Confirm &amp; Refund on T-mall"/>
    <s v="4.3.3 Confirm &amp; Refund on T-mall|update card coupon status when refund success and post acccounting voucher"/>
    <s v="4.3.3 As Finance, I need update card‘s coupon status to refunded and post SAP voucher if request is approved, as reverse prepay reconciliation_x000a_作为天猫礼品卡运营，需要在退款后更新礼品卡对应的门票兑换券状态并生成退货财务凭证，以冲抵销售预售"/>
    <s v="整体功能测试，包含nft/sit/uat/fit/sl/prod"/>
    <x v="0"/>
    <s v="Release 1"/>
    <x v="0"/>
    <s v="Labor"/>
    <x v="2"/>
    <x v="7"/>
    <x v="3"/>
    <s v="Y"/>
    <s v="Level 4 (5-8Years)"/>
    <s v="N"/>
    <m/>
    <n v="272"/>
    <n v="265.63458993476246"/>
    <n v="72252.60846225539"/>
    <n v="10563.246851206928"/>
  </r>
  <r>
    <s v="4. Card Refund &amp; Return_x000a_礼品卡退货"/>
    <n v="3"/>
    <s v="4.3 Confirm &amp; Refund on T-mall"/>
    <s v="4.3.4 Confirm &amp; Refund on T-mall|reject refund request after redeem to dated ticket"/>
    <s v="4.3.4 As Tmall Gift Card operation, I need guest service and DRC to reject card refund if card‘s coupon already redeem to dated ticket, as keep the consistent refund rule with ticket sold in other channels_x000a_作为天猫礼品卡运营，要求天猫客服和预定服务中心演职人员拒绝为已兑换为指定日门票的礼品卡退款，以维持和其他渠道售出门票一致的规则"/>
    <m/>
    <x v="2"/>
    <m/>
    <x v="2"/>
    <m/>
    <x v="1"/>
    <x v="5"/>
    <x v="2"/>
    <m/>
    <m/>
    <m/>
    <m/>
    <m/>
    <m/>
    <n v="0"/>
    <n v="0"/>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Requirment Analysis"/>
    <x v="0"/>
    <s v="Release 1"/>
    <x v="1"/>
    <s v="Labor"/>
    <x v="0"/>
    <x v="8"/>
    <x v="11"/>
    <s v="N"/>
    <m/>
    <s v="N"/>
    <m/>
    <n v="29"/>
    <n v="483.99337052185018"/>
    <n v="14035.807745133656"/>
    <n v="2052.0186761891309"/>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UI Design"/>
    <x v="0"/>
    <s v="Release 1"/>
    <x v="0"/>
    <s v="Labor"/>
    <x v="0"/>
    <x v="8"/>
    <x v="12"/>
    <s v="Y"/>
    <s v="Level 6 (1-3Years）"/>
    <s v="N"/>
    <m/>
    <n v="20"/>
    <n v="248.42648648648645"/>
    <n v="4968.5297297297293"/>
    <n v="726.39323534060372"/>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Project Management"/>
    <x v="1"/>
    <s v="Release 1"/>
    <x v="1"/>
    <s v="Labor"/>
    <x v="0"/>
    <x v="7"/>
    <x v="9"/>
    <s v="N"/>
    <m/>
    <s v="N"/>
    <m/>
    <n v="24"/>
    <n v="483.99337052185018"/>
    <n v="11615.840892524404"/>
    <n v="1698.2223527082463"/>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Front-End Development"/>
    <x v="0"/>
    <s v="Release 1"/>
    <x v="0"/>
    <s v="Labor"/>
    <x v="0"/>
    <x v="7"/>
    <x v="13"/>
    <s v="Y"/>
    <s v="Level 4 (5-8Years)"/>
    <s v="Y"/>
    <m/>
    <n v="160"/>
    <n v="313.50232034228594"/>
    <n v="50160.371254765749"/>
    <n v="7333.3876103458697"/>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Back-End Development"/>
    <x v="0"/>
    <s v="Release 1"/>
    <x v="0"/>
    <s v="Labor"/>
    <x v="0"/>
    <x v="7"/>
    <x v="14"/>
    <s v="Y"/>
    <s v="Level 4 (5-8Years)"/>
    <s v="Y"/>
    <m/>
    <n v="160"/>
    <n v="313.50232034228594"/>
    <n v="50160.371254765749"/>
    <n v="7333.3876103458697"/>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Function Testing"/>
    <x v="0"/>
    <s v="Release 1"/>
    <x v="0"/>
    <s v="Labor"/>
    <x v="0"/>
    <x v="7"/>
    <x v="3"/>
    <s v="Y"/>
    <s v="Level 4 (5-8Years)"/>
    <s v="Y"/>
    <m/>
    <n v="240"/>
    <n v="265.63458993476246"/>
    <n v="63752.301584342989"/>
    <n v="9320.5119275355246"/>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Requirment Analysis_x000a_Ticketing And Refund_x000a_1. Ticketing calls the Coupon API to change the coupon status to refunded._x000a_2. Gift Card subscribes to the refund status message from the Refund Portal to synchronize the corresponding ticket status for the gift card._x000a_3. The refund details page needs to display the gift card information from the gift card redemption order (new field in the order)._x000a__x000a_1. Ticketing调用Coupon接口将券更改为已退款_x000a_2. Gift Card订阅Refund Portal票退款状态消息，同步礼品卡对应票状态信息_x000a_3. 退款详情页需要展示礼品卡兑换订单中的礼品卡信息（订单新字段）"/>
    <x v="0"/>
    <s v="Release 1"/>
    <x v="0"/>
    <s v="Labor"/>
    <x v="3"/>
    <x v="8"/>
    <x v="11"/>
    <s v="Y"/>
    <s v="Level 5 (3-5Years）"/>
    <s v="N"/>
    <m/>
    <n v="160"/>
    <n v="328.73273648648643"/>
    <n v="52597.237837837827"/>
    <n v="7689.6546546546533"/>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Project Management"/>
    <x v="1"/>
    <s v="Release 1"/>
    <x v="1"/>
    <s v="Labor"/>
    <x v="3"/>
    <x v="7"/>
    <x v="9"/>
    <s v="N"/>
    <m/>
    <s v="N"/>
    <m/>
    <n v="160"/>
    <n v="483.99337052185018"/>
    <n v="77438.939283496031"/>
    <n v="11321.482351388309"/>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Front-End Development"/>
    <x v="0"/>
    <s v="Release 1"/>
    <x v="0"/>
    <s v="Labor"/>
    <x v="3"/>
    <x v="7"/>
    <x v="13"/>
    <s v="Y"/>
    <s v="Level 4 (5-8Years)"/>
    <s v="Y"/>
    <m/>
    <n v="80"/>
    <n v="313.50232034228594"/>
    <n v="25080.185627382874"/>
    <n v="3666.6938051729348"/>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Back-End Development"/>
    <x v="0"/>
    <s v="Release 1"/>
    <x v="0"/>
    <s v="Labor"/>
    <x v="3"/>
    <x v="7"/>
    <x v="14"/>
    <s v="Y"/>
    <s v="Level 4 (5-8Years)"/>
    <s v="Y"/>
    <m/>
    <n v="320"/>
    <n v="313.50232034228594"/>
    <n v="100320.7425095315"/>
    <n v="14666.775220691739"/>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Function Testing"/>
    <x v="0"/>
    <s v="Release 1"/>
    <x v="0"/>
    <s v="Labor"/>
    <x v="3"/>
    <x v="7"/>
    <x v="3"/>
    <s v="Y"/>
    <s v="Level 4 (5-8Years)"/>
    <s v="Y"/>
    <m/>
    <n v="320"/>
    <n v="265.63458993476246"/>
    <n v="85003.068779123991"/>
    <n v="12427.349236714033"/>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DRC collects support documents and submits refund application on Digital Refund Portal. If the application meets the requirements and is approved, the Digital Refund Portal will change the status of the gift card redeemed ticket to &quot;refund&quot; and the coupon status to &quot;redeemed refund&quot; by interface. Then DRC notifies Tmall customer service that it agrees to the refund request._x000a_DRC收集退票材料在Digital Refund Portal提交退票申请。如符合条件审批通过后，Digital Refund Portal需要通过接口将礼品卡兑换的门票状态变为“已退款“，并通过接口将礼品卡对应的兑换券状态变为“核销后退款”。然后DRC通知天猫客服同意退款请求。"/>
    <x v="0"/>
    <s v="Release 1"/>
    <x v="0"/>
    <s v="Labor"/>
    <x v="2"/>
    <x v="7"/>
    <x v="14"/>
    <s v="Y"/>
    <s v="Level 4 (5-8Years)"/>
    <s v="N"/>
    <m/>
    <n v="160"/>
    <n v="313.50232034228594"/>
    <n v="50160.371254765749"/>
    <n v="7333.3876103458697"/>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DRC collects support documents and submits refund application on Digital Refund Portal. If the application meets the requirements and is approved, the Digital Refund Portal will change the status of the gift card redeemed ticket to &quot;refund&quot; and the coupon status to &quot;redeemed refund&quot; by interface. Then DRC notifies Tmall customer service that it agrees to the refund request._x000a_DRC收集退票材料在Digital Refund Portal提交退票申请。如符合条件审批通过后，Digital Refund Portal需要通过接口将礼品卡兑换的门票状态变为“已退款“，并通过接口将礼品卡对应的兑换券状态变为“核销后退款”。然后DRC通知天猫客服同意退款请求。"/>
    <x v="0"/>
    <s v="Release 1"/>
    <x v="0"/>
    <s v="Labor"/>
    <x v="2"/>
    <x v="7"/>
    <x v="3"/>
    <s v="Y"/>
    <s v="Level 4 (5-8Years)"/>
    <s v="N"/>
    <m/>
    <n v="24"/>
    <n v="265.63458993476246"/>
    <n v="6375.2301584342986"/>
    <n v="932.05119275355241"/>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DRC collects support documents and submits refund application on Digital Refund Portal. If the application meets the requirements and is approved, the Digital Refund Portal will change the status of the gift card redeemed ticket to &quot;refund&quot; and the coupon status to &quot;redeemed refund&quot; by interface. Then DRC notifies Tmall customer service that it agrees to the refund request._x000a_DRC收集退票材料在Digital Refund Portal提交退票申请。如符合条件审批通过后，Digital Refund Portal需要通过接口将礼品卡兑换的门票状态变为“已退款“，并通过接口将礼品卡对应的兑换券状态变为“核销后退款”。然后DRC通知天猫客服同意退款请求。"/>
    <x v="0"/>
    <s v="Release 1"/>
    <x v="0"/>
    <s v="Labor"/>
    <x v="2"/>
    <x v="7"/>
    <x v="11"/>
    <s v="Y"/>
    <s v="Level 4 (5-8Years)"/>
    <s v="N"/>
    <m/>
    <n v="16"/>
    <n v="328.73273648648643"/>
    <n v="5259.7237837837829"/>
    <n v="768.9654654654654"/>
  </r>
  <r>
    <s v="4. Card Refund &amp; Return_x000a_礼品卡退货"/>
    <n v="3"/>
    <s v="4.4 Ticket refund by DRC"/>
    <s v="4.4.1 Ticket refund by DRC|get approval in Refund portal and update coupon status"/>
    <s v="4.4.1 As Tmall Gift Card operation, I need platform update card and coupon status when card approved to refund after redeem on special case, as keep consistent data for reporting and audit_x000a_作为天猫礼品卡运营，要求当已兑换为指定日门票的礼品卡完成退款后同步更新兑换券的状态，以追踪和审计礼品卡的兑换券"/>
    <s v="DRC collects support documents and submits refund application on Digital Refund Portal. If the application meets the requirements and is approved, the Digital Refund Portal will change the status of the gift card redeemed ticket to &quot;refund&quot; and the coupon status to &quot;redeemed refund&quot; by interface. Then DRC notifies Tmall customer service that it agrees to the refund request._x000a_DRC收集退票材料在Digital Refund Portal提交退票申请。如符合条件审批通过后，Digital Refund Portal需要通过接口将礼品卡兑换的门票状态变为“已退款“，并通过接口将礼品卡对应的兑换券状态变为“核销后退款”。然后DRC通知天猫客服同意退款请求。"/>
    <x v="1"/>
    <s v="Release 1"/>
    <x v="1"/>
    <s v="Labor"/>
    <x v="2"/>
    <x v="7"/>
    <x v="9"/>
    <s v="N"/>
    <m/>
    <s v="N"/>
    <m/>
    <n v="8"/>
    <n v="483.99337052185018"/>
    <n v="3871.9469641748015"/>
    <n v="566.07411756941542"/>
  </r>
  <r>
    <s v="5. Card Ticket Park Entry _x000a_礼品卡入园核销"/>
    <n v="2"/>
    <s v="5.3 Report &amp; Reconciliation "/>
    <s v="5.3.3 Report &amp; Reconciliation|card refund report"/>
    <s v="5.3.3 As Tmall Gift Card operation, Finance and A&amp;A, I need query and export card refund report, as data foundation for daily operation and audit_x000a_作为天猫礼品卡运营，财务和内控，需要查询和导出礼品卡退货报表，以便进行统计和审计"/>
    <s v="Requirment Analysis"/>
    <x v="0"/>
    <s v="Release 1"/>
    <x v="1"/>
    <s v="Labor"/>
    <x v="0"/>
    <x v="8"/>
    <x v="11"/>
    <s v="N"/>
    <m/>
    <s v="N"/>
    <m/>
    <n v="15"/>
    <n v="483.99337052185018"/>
    <n v="7259.9005578277529"/>
    <n v="1061.388970442654"/>
  </r>
  <r>
    <s v="5. Card Ticket Park Entry _x000a_礼品卡入园核销"/>
    <n v="2"/>
    <s v="5.3 Report &amp; Reconciliation "/>
    <s v="5.3.3 Report &amp; Reconciliation|card refund report"/>
    <s v="5.3.3 As Tmall Gift Card operation, Finance and A&amp;A, I need query and export card refund report, as data foundation for daily operation and audit_x000a_作为天猫礼品卡运营，财务和内控，需要查询和导出礼品卡退货报表，以便进行统计和审计"/>
    <s v="UI Design"/>
    <x v="0"/>
    <s v="Release 1"/>
    <x v="0"/>
    <s v="Labor"/>
    <x v="0"/>
    <x v="8"/>
    <x v="12"/>
    <s v="Y"/>
    <s v="Level 6 (1-3Years）"/>
    <s v="N"/>
    <m/>
    <n v="10"/>
    <n v="248.42648648648645"/>
    <n v="2484.2648648648646"/>
    <n v="363.19661767030186"/>
  </r>
  <r>
    <s v="5. Card Ticket Park Entry _x000a_礼品卡入园核销"/>
    <n v="2"/>
    <s v="5.3 Report &amp; Reconciliation "/>
    <s v="5.3.3 Report &amp; Reconciliation|card refund report"/>
    <s v="5.3.3 As Tmall Gift Card operation, Finance and A&amp;A, I need query and export card refund report, as data foundation for daily operation and audit_x000a_作为天猫礼品卡运营，财务和内控，需要查询和导出礼品卡退货报表，以便进行统计和审计"/>
    <s v="Project Management"/>
    <x v="1"/>
    <s v="Release 1"/>
    <x v="1"/>
    <s v="Labor"/>
    <x v="0"/>
    <x v="7"/>
    <x v="9"/>
    <s v="N"/>
    <m/>
    <s v="N"/>
    <m/>
    <n v="12"/>
    <n v="483.99337052185018"/>
    <n v="5807.9204462622019"/>
    <n v="849.11117635412313"/>
  </r>
  <r>
    <s v="5. Card Ticket Park Entry _x000a_礼品卡入园核销"/>
    <n v="2"/>
    <s v="5.3 Report &amp; Reconciliation "/>
    <s v="5.3.3 Report &amp; Reconciliation|card refund report"/>
    <s v="5.3.3 As Tmall Gift Card operation, Finance and A&amp;A, I need query and export card refund report, as data foundation for daily operation and audit_x000a_作为天猫礼品卡运营，财务和内控，需要查询和导出礼品卡退货报表，以便进行统计和审计"/>
    <s v="Front-End Development"/>
    <x v="0"/>
    <s v="Release 1"/>
    <x v="0"/>
    <s v="Labor"/>
    <x v="0"/>
    <x v="7"/>
    <x v="13"/>
    <s v="Y"/>
    <s v="Level 4 (5-8Years)"/>
    <s v="Y"/>
    <m/>
    <n v="80"/>
    <n v="313.50232034228594"/>
    <n v="25080.185627382874"/>
    <n v="3666.6938051729348"/>
  </r>
  <r>
    <s v="5. Card Ticket Park Entry _x000a_礼品卡入园核销"/>
    <n v="2"/>
    <s v="5.3 Report &amp; Reconciliation "/>
    <s v="5.3.3 Report &amp; Reconciliation|card refund report"/>
    <s v="5.3.3 As Tmall Gift Card operation, Finance and A&amp;A, I need query and export card refund report, as data foundation for daily operation and audit_x000a_作为天猫礼品卡运营，财务和内控，需要查询和导出礼品卡退货报表，以便进行统计和审计"/>
    <s v="Back-End Development"/>
    <x v="0"/>
    <s v="Release 1"/>
    <x v="0"/>
    <s v="Labor"/>
    <x v="0"/>
    <x v="7"/>
    <x v="14"/>
    <s v="Y"/>
    <s v="Level 4 (5-8Years)"/>
    <s v="Y"/>
    <m/>
    <n v="80"/>
    <n v="313.50232034228594"/>
    <n v="25080.185627382874"/>
    <n v="3666.6938051729348"/>
  </r>
  <r>
    <s v="5. Card Ticket Park Entry _x000a_礼品卡入园核销"/>
    <n v="2"/>
    <s v="5.3 Report &amp; Reconciliation "/>
    <s v="5.3.3 Report &amp; Reconciliation|card refund report"/>
    <s v="5.3.3 As Tmall Gift Card operation, Finance and A&amp;A, I need query and export card refund report, as data foundation for daily operation and audit_x000a_作为天猫礼品卡运营，财务和内控，需要查询和导出礼品卡退货报表，以便进行统计和审计"/>
    <s v="Function Testing"/>
    <x v="0"/>
    <s v="Release 1"/>
    <x v="0"/>
    <s v="Labor"/>
    <x v="0"/>
    <x v="7"/>
    <x v="3"/>
    <s v="Y"/>
    <s v="Level 4 (5-8Years)"/>
    <s v="Y"/>
    <m/>
    <n v="120"/>
    <n v="265.63458993476246"/>
    <n v="31876.150792171495"/>
    <n v="4660.2559637677623"/>
  </r>
  <r>
    <s v="5. Card Ticket Park Entry _x000a_礼品卡入园核销"/>
    <n v="2"/>
    <s v="5.3 Report &amp; Reconciliation "/>
    <s v="5.3.4 Report &amp; Reconciliation|Put card refund into CDP"/>
    <s v="5.3.4 As Finance and A&amp;A, I need put card's refund coupon data into CDP existing report, as for payment reconciliation and audit_x000a_作为财务和内控，需要将礼品卡退货的兑换券纳入现有CDP报表，以便进行统计对账和审计"/>
    <m/>
    <x v="2"/>
    <m/>
    <x v="2"/>
    <m/>
    <x v="1"/>
    <x v="5"/>
    <x v="2"/>
    <s v=""/>
    <m/>
    <m/>
    <m/>
    <m/>
    <n v="0"/>
    <n v="0"/>
    <n v="0"/>
  </r>
  <r>
    <s v="3. Card Redemption_x000a_礼品卡兑换"/>
    <n v="1"/>
    <s v="3.1 Access to voucher redemption platform"/>
    <s v="3.1.1 Access to voucher redemption platform|redemption page"/>
    <s v="3.1.1 As a guest received gift card, I need access to redemption page, as initiate card redeem_x000a_作为收到礼品卡的游客，需要进入兑换网页，以便开始兑换"/>
    <s v="Requirment Analysis"/>
    <x v="0"/>
    <s v="Release 1"/>
    <x v="1"/>
    <s v="Labor"/>
    <x v="0"/>
    <x v="8"/>
    <x v="11"/>
    <s v="N"/>
    <m/>
    <s v="N"/>
    <m/>
    <n v="15"/>
    <n v="483.99337052185018"/>
    <n v="7259.9005578277529"/>
    <n v="1061.388970442654"/>
  </r>
  <r>
    <s v="3. Card Redemption_x000a_礼品卡兑换"/>
    <n v="1"/>
    <s v="3.1 Access to voucher redemption platform"/>
    <s v="3.1.1 Access to voucher redemption platform|redemption page"/>
    <s v="3.1.1 As a guest received gift card, I need access to redemption page, as initiate card redeem_x000a_作为收到礼品卡的游客，需要进入兑换网页，以便开始兑换"/>
    <s v="UI Design"/>
    <x v="0"/>
    <s v="Release 1"/>
    <x v="0"/>
    <s v="Labor"/>
    <x v="0"/>
    <x v="8"/>
    <x v="12"/>
    <s v="Y"/>
    <s v="Level 6 (1-3Years）"/>
    <s v="N"/>
    <m/>
    <n v="10"/>
    <n v="248.42648648648645"/>
    <n v="2484.2648648648646"/>
    <n v="363.19661767030186"/>
  </r>
  <r>
    <s v="3. Card Redemption_x000a_礼品卡兑换"/>
    <n v="1"/>
    <s v="3.1 Access to voucher redemption platform"/>
    <s v="3.1.1 Access to voucher redemption platform|redemption page"/>
    <s v="3.1.1 As a guest received gift card, I need access to redemption page, as initiate card redeem_x000a_作为收到礼品卡的游客，需要进入兑换网页，以便开始兑换"/>
    <s v="Project Management"/>
    <x v="1"/>
    <s v="Release 1"/>
    <x v="1"/>
    <s v="Labor"/>
    <x v="0"/>
    <x v="7"/>
    <x v="9"/>
    <s v="N"/>
    <m/>
    <s v="N"/>
    <m/>
    <n v="12"/>
    <n v="483.99337052185018"/>
    <n v="5807.9204462622019"/>
    <n v="849.11117635412313"/>
  </r>
  <r>
    <s v="3. Card Redemption_x000a_礼品卡兑换"/>
    <n v="1"/>
    <s v="3.1 Access to voucher redemption platform"/>
    <s v="3.1.1 Access to voucher redemption platform|redemption page"/>
    <s v="3.1.1 As a guest received gift card, I need access to redemption page, as initiate card redeem_x000a_作为收到礼品卡的游客，需要进入兑换网页，以便开始兑换"/>
    <s v="Front-End Development"/>
    <x v="0"/>
    <s v="Release 1"/>
    <x v="0"/>
    <s v="Labor"/>
    <x v="0"/>
    <x v="7"/>
    <x v="13"/>
    <s v="Y"/>
    <s v="Level 4 (5-8Years)"/>
    <s v="Y"/>
    <m/>
    <n v="80"/>
    <n v="313.50232034228594"/>
    <n v="25080.185627382874"/>
    <n v="3666.6938051729348"/>
  </r>
  <r>
    <s v="3. Card Redemption_x000a_礼品卡兑换"/>
    <n v="1"/>
    <s v="3.1 Access to voucher redemption platform"/>
    <s v="3.1.1 Access to voucher redemption platform|redemption page"/>
    <s v="3.1.1 As a guest received gift card, I need access to redemption page, as initiate card redeem_x000a_作为收到礼品卡的游客，需要进入兑换网页，以便开始兑换"/>
    <s v="Back-End Development"/>
    <x v="0"/>
    <s v="Release 1"/>
    <x v="0"/>
    <s v="Labor"/>
    <x v="0"/>
    <x v="7"/>
    <x v="14"/>
    <s v="Y"/>
    <s v="Level 4 (5-8Years)"/>
    <s v="Y"/>
    <m/>
    <n v="80"/>
    <n v="313.50232034228594"/>
    <n v="25080.185627382874"/>
    <n v="3666.6938051729348"/>
  </r>
  <r>
    <s v="3. Card Redemption_x000a_礼品卡兑换"/>
    <n v="1"/>
    <s v="3.1 Access to voucher redemption platform"/>
    <s v="3.1.1 Access to voucher redemption platform|redemption page"/>
    <s v="3.1.1 As a guest received gift card, I need access to redemption page, as initiate card redeem_x000a_作为收到礼品卡的游客，需要进入兑换网页，以便开始兑换"/>
    <s v="Function Testing"/>
    <x v="0"/>
    <s v="Release 1"/>
    <x v="0"/>
    <s v="Labor"/>
    <x v="0"/>
    <x v="7"/>
    <x v="3"/>
    <s v="Y"/>
    <s v="Level 4 (5-8Years)"/>
    <s v="Y"/>
    <m/>
    <n v="120"/>
    <n v="265.63458993476246"/>
    <n v="31876.150792171495"/>
    <n v="4660.2559637677623"/>
  </r>
  <r>
    <s v="3. Card Redemption_x000a_礼品卡兑换"/>
    <n v="1"/>
    <s v="3.1 Access to voucher redemption platform"/>
    <s v="3.1.1 Access to voucher redemption platform|redemption page"/>
    <s v="3.1.1 As a guest received gift card, I need access to redemption page, as initiate card redeem_x000a_作为收到礼品卡的游客，需要进入兑换网页，以便开始兑换"/>
    <s v="If ticket inventory is available and coupon is available for redeem, as a guest, I can get their dated day tickets with reservation without additional cost._x000a_* The related coupon will be bound to the profile, redeem the card's coupon in Redemption flow page_x000a_如选定日期的门票PLU库存有剩余，且卡号/卡密对应的门票兑换券可以兑换，游客无需额外支付费用即可在Redemption flow页面中兑换指定日门票_x000a_*系统需要将券关联至用户的Profile并核销，券状态更新为已核销"/>
    <x v="0"/>
    <s v="Release 1"/>
    <x v="0"/>
    <s v="Labor"/>
    <x v="2"/>
    <x v="7"/>
    <x v="14"/>
    <s v="Y"/>
    <s v="Level 4 (5-8Years)"/>
    <s v="N"/>
    <m/>
    <n v="40"/>
    <n v="313.50232034228594"/>
    <n v="12540.092813691437"/>
    <n v="1833.3469025864674"/>
  </r>
  <r>
    <s v="3. Card Redemption_x000a_礼品卡兑换"/>
    <n v="1"/>
    <s v="3.1 Access to voucher redemption platform"/>
    <s v="3.1.1 Access to voucher redemption platform|redemption page"/>
    <s v="3.1.1 As a guest received gift card, I need access to redemption page, as initiate card redeem_x000a_作为收到礼品卡的游客，需要进入兑换网页，以便开始兑换"/>
    <s v="If ticket inventory is available and coupon is available for redeem, as a guest, I can get their dated day tickets with reservation without additional cost._x000a_* The related coupon will be bound to the profile, redeem the card's coupon in Redemption flow page_x000a_如选定日期的门票PLU库存有剩余，且卡号/卡密对应的门票兑换券可以兑换，游客无需额外支付费用即可在Redemption flow页面中兑换指定日门票_x000a_*系统需要将券关联至用户的Profile并核销，券状态更新为已核销"/>
    <x v="0"/>
    <s v="Release 1"/>
    <x v="0"/>
    <s v="Labor"/>
    <x v="2"/>
    <x v="7"/>
    <x v="3"/>
    <s v="Y"/>
    <s v="Level 4 (5-8Years)"/>
    <s v="N"/>
    <m/>
    <n v="24"/>
    <n v="265.63458993476246"/>
    <n v="6375.2301584342986"/>
    <n v="932.05119275355241"/>
  </r>
  <r>
    <s v="3. Card Redemption_x000a_礼品卡兑换"/>
    <n v="1"/>
    <s v="3.1 Access to voucher redemption platform"/>
    <s v="3.1.1 Access to voucher redemption platform|redemption page"/>
    <s v="3.1.1 As a guest received gift card, I need access to redemption page, as initiate card redeem_x000a_作为收到礼品卡的游客，需要进入兑换网页，以便开始兑换"/>
    <s v="If ticket inventory is available and coupon is available for redeem, as a guest, I can get their dated day tickets with reservation without additional cost._x000a_* The related coupon will be bound to the profile, redeem the card's coupon in Redemption flow page_x000a_如选定日期的门票PLU库存有剩余，且卡号/卡密对应的门票兑换券可以兑换，游客无需额外支付费用即可在Redemption flow页面中兑换指定日门票_x000a_*系统需要将券关联至用户的Profile并核销，券状态更新为已核销"/>
    <x v="0"/>
    <s v="Release 1"/>
    <x v="0"/>
    <s v="Labor"/>
    <x v="2"/>
    <x v="7"/>
    <x v="11"/>
    <s v="Y"/>
    <s v="Level 4 (5-8Years)"/>
    <s v="N"/>
    <m/>
    <n v="16"/>
    <n v="328.73273648648643"/>
    <n v="5259.7237837837829"/>
    <n v="768.9654654654654"/>
  </r>
  <r>
    <s v="3. Card Redemption_x000a_礼品卡兑换"/>
    <n v="1"/>
    <s v="3.1 Access to voucher redemption platform"/>
    <s v="3.1.1 Access to voucher redemption platform|redemption page"/>
    <s v="3.1.1 As a guest received gift card, I need access to redemption page, as initiate card redeem_x000a_作为收到礼品卡的游客，需要进入兑换网页，以便开始兑换"/>
    <s v="If ticket inventory is available and coupon is available for redeem, as a guest, I can get their dated day tickets with reservation without additional cost._x000a_* The related coupon will be bound to the profile, redeem the card's coupon in Redemption flow page_x000a_如选定日期的门票PLU库存有剩余，且卡号/卡密对应的门票兑换券可以兑换，游客无需额外支付费用即可在Redemption flow页面中兑换指定日门票_x000a_*系统需要将券关联至用户的Profile并核销，券状态更新为已核销"/>
    <x v="1"/>
    <s v="Release 1"/>
    <x v="1"/>
    <s v="Labor"/>
    <x v="2"/>
    <x v="7"/>
    <x v="9"/>
    <s v="N"/>
    <m/>
    <s v="N"/>
    <m/>
    <n v="8"/>
    <n v="483.99337052185018"/>
    <n v="3871.9469641748015"/>
    <n v="566.07411756941542"/>
  </r>
  <r>
    <s v="3. Card Redemption_x000a_礼品卡兑换"/>
    <n v="1"/>
    <s v="3.2 Redemption flow"/>
    <s v="3.2.1 Redemption flow|login profile and check available date"/>
    <s v="3.2.1 As a guest, I need login Profile and input card code with password on the redemption page, as check card status and available dates_x000a_作为游客，需要礼品卡兑换网页登陆Profile，输入卡号和卡密，以便检查礼品卡状态和可兑换门票的日期"/>
    <s v="Requirment Analysis"/>
    <x v="0"/>
    <s v="Release 1"/>
    <x v="1"/>
    <s v="Labor"/>
    <x v="0"/>
    <x v="8"/>
    <x v="11"/>
    <s v="N"/>
    <m/>
    <s v="N"/>
    <m/>
    <n v="29"/>
    <n v="483.99337052185018"/>
    <n v="14035.807745133656"/>
    <n v="2052.0186761891309"/>
  </r>
  <r>
    <s v="3. Card Redemption_x000a_礼品卡兑换"/>
    <n v="1"/>
    <s v="3.2 Redemption flow"/>
    <s v="3.2.1 Redemption flow|login profile and check available date"/>
    <s v="3.2.1 As a guest, I need login Profile and input card code with password on the redemption page, as check card status and available dates_x000a_作为游客，需要礼品卡兑换网页登陆Profile，输入卡号和卡密，以便检查礼品卡状态和可兑换门票的日期"/>
    <s v="UI Design"/>
    <x v="0"/>
    <s v="Release 1"/>
    <x v="0"/>
    <s v="Labor"/>
    <x v="0"/>
    <x v="8"/>
    <x v="12"/>
    <s v="Y"/>
    <s v="Level 6 (1-3Years）"/>
    <s v="N"/>
    <m/>
    <n v="20"/>
    <n v="248.42648648648645"/>
    <n v="4968.5297297297293"/>
    <n v="726.39323534060372"/>
  </r>
  <r>
    <s v="3. Card Redemption_x000a_礼品卡兑换"/>
    <n v="1"/>
    <s v="3.2 Redemption flow"/>
    <s v="3.2.1 Redemption flow|login profile and check available date"/>
    <s v="3.2.1 As a guest, I need login Profile and input card code with password on the redemption page, as check card status and available dates_x000a_作为游客，需要礼品卡兑换网页登陆Profile，输入卡号和卡密，以便检查礼品卡状态和可兑换门票的日期"/>
    <s v="Project Management"/>
    <x v="1"/>
    <s v="Release 1"/>
    <x v="1"/>
    <s v="Labor"/>
    <x v="0"/>
    <x v="7"/>
    <x v="9"/>
    <s v="N"/>
    <m/>
    <s v="N"/>
    <m/>
    <n v="24"/>
    <n v="483.99337052185018"/>
    <n v="11615.840892524404"/>
    <n v="1698.2223527082463"/>
  </r>
  <r>
    <s v="3. Card Redemption_x000a_礼品卡兑换"/>
    <n v="1"/>
    <s v="3.2 Redemption flow"/>
    <s v="3.2.1 Redemption flow|login profile and check available date"/>
    <s v="3.2.1 As a guest, I need login Profile and input card code with password on the redemption page, as check card status and available dates_x000a_作为游客，需要礼品卡兑换网页登陆Profile，输入卡号和卡密，以便检查礼品卡状态和可兑换门票的日期"/>
    <s v="Front-End Development"/>
    <x v="0"/>
    <s v="Release 1"/>
    <x v="0"/>
    <s v="Labor"/>
    <x v="0"/>
    <x v="7"/>
    <x v="13"/>
    <s v="Y"/>
    <s v="Level 4 (5-8Years)"/>
    <s v="Y"/>
    <m/>
    <n v="160"/>
    <n v="313.50232034228594"/>
    <n v="50160.371254765749"/>
    <n v="7333.3876103458697"/>
  </r>
  <r>
    <s v="3. Card Redemption_x000a_礼品卡兑换"/>
    <n v="1"/>
    <s v="3.2 Redemption flow"/>
    <s v="3.2.1 Redemption flow|login profile and check available date"/>
    <s v="3.2.1 As a guest, I need login Profile and input card code with password on the redemption page, as check card status and available dates_x000a_作为游客，需要礼品卡兑换网页登陆Profile，输入卡号和卡密，以便检查礼品卡状态和可兑换门票的日期"/>
    <s v="Back-End Development"/>
    <x v="0"/>
    <s v="Release 1"/>
    <x v="0"/>
    <s v="Labor"/>
    <x v="0"/>
    <x v="7"/>
    <x v="14"/>
    <s v="Y"/>
    <s v="Level 4 (5-8Years)"/>
    <s v="Y"/>
    <m/>
    <n v="160"/>
    <n v="313.50232034228594"/>
    <n v="50160.371254765749"/>
    <n v="7333.3876103458697"/>
  </r>
  <r>
    <s v="3. Card Redemption_x000a_礼品卡兑换"/>
    <n v="1"/>
    <s v="3.2 Redemption flow"/>
    <s v="3.2.1 Redemption flow|login profile and check available date"/>
    <s v="3.2.1 As a guest, I need login Profile and input card code with password on the redemption page, as check card status and available dates_x000a_作为游客，需要礼品卡兑换网页登陆Profile，输入卡号和卡密，以便检查礼品卡状态和可兑换门票的日期"/>
    <s v="Function Testing"/>
    <x v="0"/>
    <s v="Release 1"/>
    <x v="0"/>
    <s v="Labor"/>
    <x v="0"/>
    <x v="7"/>
    <x v="3"/>
    <s v="Y"/>
    <s v="Level 4 (5-8Years)"/>
    <s v="Y"/>
    <m/>
    <n v="240"/>
    <n v="265.63458993476246"/>
    <n v="63752.301584342989"/>
    <n v="9320.5119275355246"/>
  </r>
  <r>
    <s v="3. Card Redemption_x000a_礼品卡兑换"/>
    <n v="1"/>
    <s v="3.2 Redemption flow"/>
    <s v="3.2.2 Redemption flow|show reason when cannot redeem"/>
    <s v="3.2.2 As a guest, I need to know the reason when the card is invalid for ticket redemption, as understand the reason and take actions_x000a_作为游客，当我的礼品卡不能进行门票兑换时我需要知道具体的原因"/>
    <s v="Requirment Analysis"/>
    <x v="0"/>
    <s v="Release 1"/>
    <x v="1"/>
    <s v="Labor"/>
    <x v="0"/>
    <x v="8"/>
    <x v="11"/>
    <s v="N"/>
    <m/>
    <s v="N"/>
    <m/>
    <n v="6"/>
    <n v="483.99337052185018"/>
    <n v="2903.960223131101"/>
    <n v="424.55558817706157"/>
  </r>
  <r>
    <s v="3. Card Redemption_x000a_礼品卡兑换"/>
    <n v="1"/>
    <s v="3.2 Redemption flow"/>
    <s v="3.2.2 Redemption flow|show reason when cannot redeem"/>
    <s v="3.2.2 As a guest, I need to know the reason when the card is invalid for ticket redemption, as understand the reason and take actions_x000a_作为游客，当我的礼品卡不能进行门票兑换时我需要知道具体的原因"/>
    <s v="UI Design"/>
    <x v="0"/>
    <s v="Release 1"/>
    <x v="0"/>
    <s v="Labor"/>
    <x v="0"/>
    <x v="8"/>
    <x v="12"/>
    <s v="Y"/>
    <s v="Level 6 (1-3Years）"/>
    <s v="N"/>
    <m/>
    <n v="4"/>
    <n v="248.42648648648645"/>
    <n v="993.70594594594581"/>
    <n v="145.27864706812073"/>
  </r>
  <r>
    <s v="3. Card Redemption_x000a_礼品卡兑换"/>
    <n v="1"/>
    <s v="3.2 Redemption flow"/>
    <s v="3.2.2 Redemption flow|show reason when cannot redeem"/>
    <s v="3.2.2 As a guest, I need to know the reason when the card is invalid for ticket redemption, as understand the reason and take actions_x000a_作为游客，当我的礼品卡不能进行门票兑换时我需要知道具体的原因"/>
    <s v="Project Management"/>
    <x v="1"/>
    <s v="Release 1"/>
    <x v="1"/>
    <s v="Labor"/>
    <x v="0"/>
    <x v="7"/>
    <x v="9"/>
    <s v="N"/>
    <m/>
    <s v="N"/>
    <m/>
    <n v="5"/>
    <n v="483.99337052185018"/>
    <n v="2419.966852609251"/>
    <n v="353.79632348088467"/>
  </r>
  <r>
    <s v="3. Card Redemption_x000a_礼品卡兑换"/>
    <n v="1"/>
    <s v="3.2 Redemption flow"/>
    <s v="3.2.2 Redemption flow|show reason when cannot redeem"/>
    <s v="3.2.2 As a guest, I need to know the reason when the card is invalid for ticket redemption, as understand the reason and take actions_x000a_作为游客，当我的礼品卡不能进行门票兑换时我需要知道具体的原因"/>
    <s v="Front-End Development"/>
    <x v="0"/>
    <s v="Release 1"/>
    <x v="0"/>
    <s v="Labor"/>
    <x v="0"/>
    <x v="7"/>
    <x v="13"/>
    <s v="Y"/>
    <s v="Level 4 (5-8Years)"/>
    <s v="Y"/>
    <m/>
    <n v="32"/>
    <n v="313.50232034228594"/>
    <n v="10032.07425095315"/>
    <n v="1466.6775220691741"/>
  </r>
  <r>
    <s v="3. Card Redemption_x000a_礼品卡兑换"/>
    <n v="1"/>
    <s v="3.2 Redemption flow"/>
    <s v="3.2.2 Redemption flow|show reason when cannot redeem"/>
    <s v="3.2.2 As a guest, I need to know the reason when the card is invalid for ticket redemption, as understand the reason and take actions_x000a_作为游客，当我的礼品卡不能进行门票兑换时我需要知道具体的原因"/>
    <s v="Back-End Development"/>
    <x v="0"/>
    <s v="Release 1"/>
    <x v="0"/>
    <s v="Labor"/>
    <x v="0"/>
    <x v="7"/>
    <x v="14"/>
    <s v="Y"/>
    <s v="Level 4 (5-8Years)"/>
    <s v="Y"/>
    <m/>
    <n v="32"/>
    <n v="313.50232034228594"/>
    <n v="10032.07425095315"/>
    <n v="1466.6775220691741"/>
  </r>
  <r>
    <s v="3. Card Redemption_x000a_礼品卡兑换"/>
    <n v="1"/>
    <s v="3.2 Redemption flow"/>
    <s v="3.2.2 Redemption flow|show reason when cannot redeem"/>
    <s v="3.2.2 As a guest, I need to know the reason when the card is invalid for ticket redemption, as understand the reason and take actions_x000a_作为游客，当我的礼品卡不能进行门票兑换时我需要知道具体的原因"/>
    <s v="Function Testing"/>
    <x v="0"/>
    <s v="Release 1"/>
    <x v="0"/>
    <s v="Labor"/>
    <x v="0"/>
    <x v="7"/>
    <x v="3"/>
    <s v="Y"/>
    <s v="Level 4 (5-8Years)"/>
    <s v="Y"/>
    <m/>
    <n v="48"/>
    <n v="265.63458993476246"/>
    <n v="12750.460316868597"/>
    <n v="1864.1023855071048"/>
  </r>
  <r>
    <s v="3. Card Redemption_x000a_礼品卡兑换"/>
    <n v="1"/>
    <s v="3.2 Redemption flow"/>
    <s v="3.2.3 Redemption flow|redeem to dated ticket"/>
    <s v="3.2.3 As a guest, I need choose a date and fill in visitor information, as redeem to a dated ticket by real name_x000a_作为游客，需要选择入园日期并填写入园人信息，以便完成实名兑换指定日门票"/>
    <s v="Requirment Analysis"/>
    <x v="0"/>
    <s v="Release 1"/>
    <x v="1"/>
    <s v="Labor"/>
    <x v="0"/>
    <x v="8"/>
    <x v="11"/>
    <s v="N"/>
    <m/>
    <s v="N"/>
    <m/>
    <n v="135"/>
    <n v="483.99337052185018"/>
    <n v="65339.105020449773"/>
    <n v="9552.5007339838849"/>
  </r>
  <r>
    <s v="3. Card Redemption_x000a_礼品卡兑换"/>
    <n v="1"/>
    <s v="3.2 Redemption flow"/>
    <s v="3.2.3 Redemption flow|redeem to dated ticket"/>
    <s v="3.2.3 As a guest, I need choose a date and fill in visitor information, as redeem to a dated ticket by real name_x000a_作为游客，需要选择入园日期并填写入园人信息，以便完成实名兑换指定日门票"/>
    <s v="UI Design"/>
    <x v="0"/>
    <s v="Release 1"/>
    <x v="0"/>
    <s v="Labor"/>
    <x v="0"/>
    <x v="8"/>
    <x v="12"/>
    <s v="Y"/>
    <s v="Level 6 (1-3Years）"/>
    <s v="N"/>
    <m/>
    <n v="50"/>
    <n v="248.42648648648645"/>
    <n v="12421.324324324323"/>
    <n v="1815.9830883515092"/>
  </r>
  <r>
    <s v="3. Card Redemption_x000a_礼品卡兑换"/>
    <n v="1"/>
    <s v="3.2 Redemption flow"/>
    <s v="3.2.3 Redemption flow|redeem to dated ticket"/>
    <s v="3.2.3 As a guest, I need choose a date and fill in visitor information, as redeem to a dated ticket by real name_x000a_作为游客，需要选择入园日期并填写入园人信息，以便完成实名兑换指定日门票"/>
    <s v="Project Management"/>
    <x v="1"/>
    <s v="Release 1"/>
    <x v="1"/>
    <s v="Labor"/>
    <x v="0"/>
    <x v="7"/>
    <x v="9"/>
    <s v="N"/>
    <m/>
    <s v="N"/>
    <m/>
    <n v="172"/>
    <n v="483.99337052185018"/>
    <n v="83246.859729758231"/>
    <n v="12170.593527742432"/>
  </r>
  <r>
    <s v="3. Card Redemption_x000a_礼品卡兑换"/>
    <n v="1"/>
    <s v="3.2 Redemption flow"/>
    <s v="3.2.3 Redemption flow|redeem to dated ticket"/>
    <s v="3.2.3 As a guest, I need choose a date and fill in visitor information, as redeem to a dated ticket by real name_x000a_作为游客，需要选择入园日期并填写入园人信息，以便完成实名兑换指定日门票"/>
    <s v="Front-End Development"/>
    <x v="0"/>
    <s v="Release 1"/>
    <x v="0"/>
    <s v="Labor"/>
    <x v="0"/>
    <x v="7"/>
    <x v="13"/>
    <s v="Y"/>
    <s v="Level 4 (5-8Years)"/>
    <s v="Y"/>
    <m/>
    <n v="160"/>
    <n v="313.50232034228594"/>
    <n v="50160.371254765749"/>
    <n v="7333.3876103458697"/>
  </r>
  <r>
    <s v="3. Card Redemption_x000a_礼品卡兑换"/>
    <n v="1"/>
    <s v="3.2 Redemption flow"/>
    <s v="3.2.3 Redemption flow|redeem to dated ticket"/>
    <s v="3.2.3 As a guest, I need choose a date and fill in visitor information, as redeem to a dated ticket by real name_x000a_作为游客，需要选择入园日期并填写入园人信息，以便完成实名兑换指定日门票"/>
    <s v="Back-End Development"/>
    <x v="0"/>
    <s v="Release 1"/>
    <x v="0"/>
    <s v="Labor"/>
    <x v="0"/>
    <x v="7"/>
    <x v="14"/>
    <s v="Y"/>
    <s v="Level 4 (5-8Years)"/>
    <s v="Y"/>
    <m/>
    <n v="400"/>
    <n v="313.50232034228594"/>
    <n v="125400.92813691437"/>
    <n v="18333.469025864673"/>
  </r>
  <r>
    <s v="3. Card Redemption_x000a_礼品卡兑换"/>
    <n v="1"/>
    <s v="3.2 Redemption flow"/>
    <s v="3.2.3 Redemption flow|redeem to dated ticket"/>
    <s v="3.2.3 As a guest, I need choose a date and fill in visitor information, as redeem to a dated ticket by real name_x000a_作为游客，需要选择入园日期并填写入园人信息，以便完成实名兑换指定日门票"/>
    <s v="Function Testing"/>
    <x v="0"/>
    <s v="Release 1"/>
    <x v="0"/>
    <s v="Labor"/>
    <x v="0"/>
    <x v="7"/>
    <x v="3"/>
    <s v="Y"/>
    <s v="Level 4 (5-8Years)"/>
    <s v="Y"/>
    <m/>
    <n v="440"/>
    <n v="265.63458993476246"/>
    <n v="116879.21957129549"/>
    <n v="17087.605200481798"/>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Requirment Analysis"/>
    <x v="0"/>
    <s v="Release 1"/>
    <x v="1"/>
    <s v="Labor"/>
    <x v="0"/>
    <x v="8"/>
    <x v="11"/>
    <s v="N"/>
    <m/>
    <s v="N"/>
    <m/>
    <n v="15"/>
    <n v="483.99337052185018"/>
    <n v="7259.9005578277529"/>
    <n v="1061.388970442654"/>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UI Design"/>
    <x v="0"/>
    <s v="Release 1"/>
    <x v="0"/>
    <s v="Labor"/>
    <x v="0"/>
    <x v="8"/>
    <x v="12"/>
    <s v="Y"/>
    <s v="Level 6 (1-3Years）"/>
    <s v="N"/>
    <m/>
    <n v="10"/>
    <n v="248.42648648648645"/>
    <n v="2484.2648648648646"/>
    <n v="363.19661767030186"/>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Project Management"/>
    <x v="1"/>
    <s v="Release 1"/>
    <x v="1"/>
    <s v="Labor"/>
    <x v="0"/>
    <x v="7"/>
    <x v="9"/>
    <s v="N"/>
    <m/>
    <s v="N"/>
    <m/>
    <n v="12"/>
    <n v="483.99337052185018"/>
    <n v="5807.9204462622019"/>
    <n v="849.11117635412313"/>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Front-End Development"/>
    <x v="0"/>
    <s v="Release 1"/>
    <x v="0"/>
    <s v="Labor"/>
    <x v="0"/>
    <x v="7"/>
    <x v="13"/>
    <s v="Y"/>
    <s v="Level 4 (5-8Years)"/>
    <s v="Y"/>
    <m/>
    <n v="80"/>
    <n v="313.50232034228594"/>
    <n v="25080.185627382874"/>
    <n v="3666.6938051729348"/>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Back-End Development"/>
    <x v="0"/>
    <s v="Release 1"/>
    <x v="0"/>
    <s v="Labor"/>
    <x v="0"/>
    <x v="7"/>
    <x v="14"/>
    <s v="Y"/>
    <s v="Level 4 (5-8Years)"/>
    <s v="Y"/>
    <m/>
    <n v="80"/>
    <n v="313.50232034228594"/>
    <n v="25080.185627382874"/>
    <n v="3666.6938051729348"/>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Function Testing"/>
    <x v="0"/>
    <s v="Release 1"/>
    <x v="0"/>
    <s v="Labor"/>
    <x v="0"/>
    <x v="7"/>
    <x v="3"/>
    <s v="Y"/>
    <s v="Level 4 (5-8Years)"/>
    <s v="Y"/>
    <m/>
    <n v="120"/>
    <n v="265.63458993476246"/>
    <n v="31876.150792171495"/>
    <n v="4660.2559637677623"/>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Requirment Analysis_x000a_Shopping Cart or Unified Order_x000a_Checkout, OrderDetail, CreateOrder, PIS redeem support"/>
    <x v="0"/>
    <s v="Release 1"/>
    <x v="0"/>
    <s v="Labor"/>
    <x v="4"/>
    <x v="8"/>
    <x v="11"/>
    <s v="Y"/>
    <s v="Level 4 (5-8Years)"/>
    <s v="N"/>
    <m/>
    <n v="144"/>
    <n v="328.73273648648643"/>
    <n v="47337.514054054045"/>
    <n v="6920.6891891891883"/>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Project Management"/>
    <x v="1"/>
    <s v="Release 1"/>
    <x v="1"/>
    <s v="Labor"/>
    <x v="4"/>
    <x v="7"/>
    <x v="9"/>
    <s v="N"/>
    <m/>
    <s v="N"/>
    <m/>
    <n v="144"/>
    <n v="483.99337052185018"/>
    <n v="69695.045355146431"/>
    <n v="10189.334116249478"/>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Front-End Development"/>
    <x v="0"/>
    <s v="Release 1"/>
    <x v="0"/>
    <s v="Labor"/>
    <x v="4"/>
    <x v="7"/>
    <x v="13"/>
    <s v="Y"/>
    <s v="Level 4 (5-8Years)"/>
    <s v="Y"/>
    <m/>
    <n v="160"/>
    <n v="313.50232034228594"/>
    <n v="50160.371254765749"/>
    <n v="7333.3876103458697"/>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Back-End Development"/>
    <x v="0"/>
    <s v="Release 1"/>
    <x v="0"/>
    <s v="Labor"/>
    <x v="4"/>
    <x v="7"/>
    <x v="14"/>
    <s v="Y"/>
    <s v="Level 4 (5-8Years)"/>
    <s v="Y"/>
    <m/>
    <n v="320"/>
    <n v="313.50232034228594"/>
    <n v="100320.7425095315"/>
    <n v="14666.775220691739"/>
  </r>
  <r>
    <s v="3. Card Redemption_x000a_礼品卡兑换"/>
    <n v="1"/>
    <s v="3.3 Download dated tickets with GID to Galaxy"/>
    <s v="3.3.1 Download dated tickets with GID to Galaxy|upadte card coupon status after redeem"/>
    <s v="3.3.1 As a guest, I need checkout and pay by coupon if card is able to redeem, as to get a dated ticket _x000a_作为游客，需要无需支付额外费用即可兑换指定日门票，以便完成礼品卡门票兑换流程"/>
    <s v="Function Testing"/>
    <x v="0"/>
    <s v="Release 1"/>
    <x v="0"/>
    <s v="Labor"/>
    <x v="4"/>
    <x v="7"/>
    <x v="3"/>
    <s v="Y"/>
    <s v="Level 4 (5-8Years)"/>
    <s v="Y"/>
    <m/>
    <n v="480"/>
    <n v="265.63458993476246"/>
    <n v="127504.60316868598"/>
    <n v="18641.023855071049"/>
  </r>
  <r>
    <s v="3. Card Redemption_x000a_礼品卡兑换"/>
    <n v="1"/>
    <s v="3.3 Download dated tickets with GID to Galaxy"/>
    <s v="3.3.2 Download dated tickets with GID to Galaxy|rollback coupon status whem redeem fail"/>
    <s v="3.3.2 As Tmall Gift Card operation, I need platform rollback coupon status when redemption occur error, as guest can redeem it again_x000a_作为天猫礼品卡运营，需要系统在兑换失败的情况下将优惠券状态回退至未兑换，以便游客可以再次兑换"/>
    <s v="Requirment Analysis"/>
    <x v="0"/>
    <s v="Release 1"/>
    <x v="1"/>
    <s v="Labor"/>
    <x v="0"/>
    <x v="8"/>
    <x v="11"/>
    <s v="N"/>
    <m/>
    <s v="N"/>
    <m/>
    <n v="69"/>
    <n v="483.99337052185018"/>
    <n v="33395.542566007665"/>
    <n v="4882.3892640362083"/>
  </r>
  <r>
    <s v="3. Card Redemption_x000a_礼品卡兑换"/>
    <n v="1"/>
    <s v="3.3 Download dated tickets with GID to Galaxy"/>
    <s v="3.3.2 Download dated tickets with GID to Galaxy|rollback coupon status whem redeem fail"/>
    <s v="3.3.2 As Tmall Gift Card operation, I need platform rollback coupon status when redemption occur error, as guest can redeem it again_x000a_作为天猫礼品卡运营，需要系统在兑换失败的情况下将优惠券状态回退至未兑换，以便游客可以再次兑换"/>
    <s v="UI Design"/>
    <x v="0"/>
    <s v="Release 1"/>
    <x v="0"/>
    <s v="Labor"/>
    <x v="0"/>
    <x v="8"/>
    <x v="12"/>
    <s v="Y"/>
    <s v="Level 6 (1-3Years）"/>
    <s v="N"/>
    <m/>
    <n v="28"/>
    <n v="248.42648648648645"/>
    <n v="6955.9416216216205"/>
    <n v="1016.9505294768451"/>
  </r>
  <r>
    <s v="3. Card Redemption_x000a_礼品卡兑换"/>
    <n v="1"/>
    <s v="3.3 Download dated tickets with GID to Galaxy"/>
    <s v="3.3.2 Download dated tickets with GID to Galaxy|rollback coupon status whem redeem fail"/>
    <s v="3.3.2 As Tmall Gift Card operation, I need platform rollback coupon status when redemption occur error, as guest can redeem it again_x000a_作为天猫礼品卡运营，需要系统在兑换失败的情况下将优惠券状态回退至未兑换，以便游客可以再次兑换"/>
    <s v="Project Management"/>
    <x v="1"/>
    <s v="Release 1"/>
    <x v="1"/>
    <s v="Labor"/>
    <x v="0"/>
    <x v="7"/>
    <x v="9"/>
    <s v="N"/>
    <m/>
    <s v="N"/>
    <m/>
    <n v="84"/>
    <n v="483.99337052185018"/>
    <n v="40655.443123835415"/>
    <n v="5943.778234478862"/>
  </r>
  <r>
    <s v="3. Card Redemption_x000a_礼品卡兑换"/>
    <n v="1"/>
    <s v="3.3 Download dated tickets with GID to Galaxy"/>
    <s v="3.3.2 Download dated tickets with GID to Galaxy|rollback coupon status whem redeem fail"/>
    <s v="3.3.2 As Tmall Gift Card operation, I need platform rollback coupon status when redemption occur error, as guest can redeem it again_x000a_作为天猫礼品卡运营，需要系统在兑换失败的情况下将优惠券状态回退至未兑换，以便游客可以再次兑换"/>
    <s v="Front-End Development"/>
    <x v="0"/>
    <s v="Release 1"/>
    <x v="0"/>
    <s v="Labor"/>
    <x v="0"/>
    <x v="7"/>
    <x v="13"/>
    <s v="Y"/>
    <s v="Level 4 (5-8Years)"/>
    <s v="Y"/>
    <m/>
    <n v="160"/>
    <n v="313.50232034228594"/>
    <n v="50160.371254765749"/>
    <n v="7333.3876103458697"/>
  </r>
  <r>
    <s v="3. Card Redemption_x000a_礼品卡兑换"/>
    <n v="1"/>
    <s v="3.3 Download dated tickets with GID to Galaxy"/>
    <s v="3.3.2 Download dated tickets with GID to Galaxy|rollback coupon status whem redeem fail"/>
    <s v="3.3.2 As Tmall Gift Card operation, I need platform rollback coupon status when redemption occur error, as guest can redeem it again_x000a_作为天猫礼品卡运营，需要系统在兑换失败的情况下将优惠券状态回退至未兑换，以便游客可以再次兑换"/>
    <s v="Back-End Development"/>
    <x v="0"/>
    <s v="Release 1"/>
    <x v="0"/>
    <s v="Labor"/>
    <x v="0"/>
    <x v="7"/>
    <x v="14"/>
    <s v="Y"/>
    <s v="Level 4 (5-8Years)"/>
    <s v="Y"/>
    <m/>
    <n v="240"/>
    <n v="313.50232034228594"/>
    <n v="75240.556882148623"/>
    <n v="11000.081415518805"/>
  </r>
  <r>
    <s v="3. Card Redemption_x000a_礼品卡兑换"/>
    <n v="1"/>
    <s v="3.3 Download dated tickets with GID to Galaxy"/>
    <s v="3.3.2 Download dated tickets with GID to Galaxy|rollback coupon status whem redeem fail"/>
    <s v="3.3.2 As Tmall Gift Card operation, I need platform rollback coupon status when redemption occur error, as guest can redeem it again_x000a_作为天猫礼品卡运营，需要系统在兑换失败的情况下将优惠券状态回退至未兑换，以便游客可以再次兑换"/>
    <s v="Function Testing"/>
    <x v="0"/>
    <s v="Release 1"/>
    <x v="0"/>
    <s v="Labor"/>
    <x v="0"/>
    <x v="7"/>
    <x v="3"/>
    <s v="Y"/>
    <s v="Level 4 (5-8Years)"/>
    <s v="Y"/>
    <m/>
    <n v="360"/>
    <n v="265.63458993476246"/>
    <n v="95628.452376514484"/>
    <n v="13980.767891303287"/>
  </r>
  <r>
    <s v="3. Card Redemption_x000a_礼品卡兑换"/>
    <n v="1"/>
    <s v="3.3 Download dated tickets with GID to Galaxy"/>
    <s v="3.3.2 Download dated tickets with GID to Galaxy|rollback coupon status whem redeem fail"/>
    <s v="3.3.2 As Tmall Gift Card operation, I need platform rollback coupon status when redemption occur error, as guest can redeem it again_x000a_作为天猫礼品卡运营，需要系统在兑换失败的情况下将优惠券状态回退至未兑换，以便游客可以再次兑换"/>
    <s v="If the redemption error, coupon status needs to roll back to unredeemed, and the Profile binding needs to be released._x000a_如果礼品卡门票兑换失败，兑换券的状态需要回退，同时Profile的绑定需要解除"/>
    <x v="0"/>
    <s v="Release 1"/>
    <x v="0"/>
    <s v="Labor"/>
    <x v="2"/>
    <x v="7"/>
    <x v="14"/>
    <s v="Y"/>
    <s v="Level 4 (5-8Years)"/>
    <s v="N"/>
    <m/>
    <n v="40"/>
    <n v="313.50232034228594"/>
    <n v="12540.092813691437"/>
    <n v="1833.3469025864674"/>
  </r>
  <r>
    <s v="3. Card Redemption_x000a_礼品卡兑换"/>
    <n v="1"/>
    <s v="3.3 Download dated tickets with GID to Galaxy"/>
    <s v="3.3.2 Download dated tickets with GID to Galaxy|rollback coupon status whem redeem fail"/>
    <s v="3.3.2 As Tmall Gift Card operation, I need platform rollback coupon status when redemption occur error, as guest can redeem it again_x000a_作为天猫礼品卡运营，需要系统在兑换失败的情况下将优惠券状态回退至未兑换，以便游客可以再次兑换"/>
    <s v="If the redemption error, coupon status needs to roll back to unredeemed, and the Profile binding needs to be released._x000a_如果礼品卡门票兑换失败，兑换券的状态需要回退，同时Profile的绑定需要解除"/>
    <x v="0"/>
    <s v="Release 1"/>
    <x v="0"/>
    <s v="Labor"/>
    <x v="2"/>
    <x v="7"/>
    <x v="3"/>
    <s v="Y"/>
    <s v="Level 4 (5-8Years)"/>
    <s v="N"/>
    <m/>
    <n v="24"/>
    <n v="265.63458993476246"/>
    <n v="6375.2301584342986"/>
    <n v="932.05119275355241"/>
  </r>
  <r>
    <s v="3. Card Redemption_x000a_礼品卡兑换"/>
    <n v="1"/>
    <s v="3.3 Download dated tickets with GID to Galaxy"/>
    <s v="3.3.2 Download dated tickets with GID to Galaxy|rollback coupon status whem redeem fail"/>
    <s v="3.3.2 As Tmall Gift Card operation, I need platform rollback coupon status when redemption occur error, as guest can redeem it again_x000a_作为天猫礼品卡运营，需要系统在兑换失败的情况下将优惠券状态回退至未兑换，以便游客可以再次兑换"/>
    <s v="If the redemption error, coupon status needs to roll back to unredeemed, and the Profile binding needs to be released._x000a_如果礼品卡门票兑换失败，兑换券的状态需要回退，同时Profile的绑定需要解除"/>
    <x v="0"/>
    <s v="Release 1"/>
    <x v="0"/>
    <s v="Labor"/>
    <x v="2"/>
    <x v="7"/>
    <x v="11"/>
    <s v="Y"/>
    <s v="Level 4 (5-8Years)"/>
    <s v="N"/>
    <m/>
    <n v="16"/>
    <n v="328.73273648648643"/>
    <n v="5259.7237837837829"/>
    <n v="768.9654654654654"/>
  </r>
  <r>
    <s v="3. Card Redemption_x000a_礼品卡兑换"/>
    <n v="1"/>
    <s v="3.3 Download dated tickets with GID to Galaxy"/>
    <s v="3.3.2 Download dated tickets with GID to Galaxy|rollback coupon status whem redeem fail"/>
    <s v="3.3.2 As Tmall Gift Card operation, I need platform rollback coupon status when redemption occur error, as guest can redeem it again_x000a_作为天猫礼品卡运营，需要系统在兑换失败的情况下将优惠券状态回退至未兑换，以便游客可以再次兑换"/>
    <s v="If the redemption error, coupon status needs to roll back to unredeemed, and the Profile binding needs to be released._x000a_如果礼品卡门票兑换失败，兑换券的状态需要回退，同时Profile的绑定需要解除"/>
    <x v="1"/>
    <s v="Release 1"/>
    <x v="1"/>
    <s v="Labor"/>
    <x v="2"/>
    <x v="7"/>
    <x v="9"/>
    <s v="N"/>
    <m/>
    <s v="N"/>
    <m/>
    <n v="8"/>
    <n v="483.99337052185018"/>
    <n v="3871.9469641748015"/>
    <n v="566.07411756941542"/>
  </r>
  <r>
    <s v="3. Card Redemption_x000a_礼品卡兑换"/>
    <n v="1"/>
    <s v="3.4 Status sync back to card system"/>
    <s v="3.4.1 Status sync back to card system|sync redemption information to gift card management platform"/>
    <s v="3.4.1 As Tmall Gift Card operation, I need record card ticket coupon redeemed ticket in system, as track and audit card redemption status_x000a_作为天猫礼品卡运营，需要从兑换完成的记录中同步礼品卡兑换信息和关联票号，以便追踪和审计卡片兑换状态"/>
    <s v="Requirment Analysis"/>
    <x v="0"/>
    <s v="Release 1"/>
    <x v="1"/>
    <s v="Labor"/>
    <x v="0"/>
    <x v="8"/>
    <x v="11"/>
    <s v="N"/>
    <m/>
    <s v="N"/>
    <m/>
    <n v="69"/>
    <n v="483.99337052185018"/>
    <n v="33395.542566007665"/>
    <n v="4882.3892640362083"/>
  </r>
  <r>
    <s v="3. Card Redemption_x000a_礼品卡兑换"/>
    <n v="1"/>
    <s v="3.4 Status sync back to card system"/>
    <s v="3.4.1 Status sync back to card system|sync redemption information to gift card management platform"/>
    <s v="3.4.1 As Tmall Gift Card operation, I need record card ticket coupon redeemed ticket in system, as track and audit card redemption status_x000a_作为天猫礼品卡运营，需要从兑换完成的记录中同步礼品卡兑换信息和关联票号，以便追踪和审计卡片兑换状态"/>
    <s v="UI Design"/>
    <x v="0"/>
    <s v="Release 1"/>
    <x v="0"/>
    <s v="Labor"/>
    <x v="0"/>
    <x v="8"/>
    <x v="12"/>
    <s v="Y"/>
    <s v="Level 6 (1-3Years）"/>
    <s v="N"/>
    <m/>
    <n v="28"/>
    <n v="248.42648648648645"/>
    <n v="6955.9416216216205"/>
    <n v="1016.9505294768451"/>
  </r>
  <r>
    <s v="3. Card Redemption_x000a_礼品卡兑换"/>
    <n v="1"/>
    <s v="3.4 Status sync back to card system"/>
    <s v="3.4.1 Status sync back to card system|sync redemption information to gift card management platform"/>
    <s v="3.4.1 As Tmall Gift Card operation, I need record card ticket coupon redeemed ticket in system, as track and audit card redemption status_x000a_作为天猫礼品卡运营，需要从兑换完成的记录中同步礼品卡兑换信息和关联票号，以便追踪和审计卡片兑换状态"/>
    <s v="Project Management"/>
    <x v="1"/>
    <s v="Release 1"/>
    <x v="1"/>
    <s v="Labor"/>
    <x v="0"/>
    <x v="7"/>
    <x v="9"/>
    <s v="N"/>
    <m/>
    <s v="N"/>
    <m/>
    <n v="84"/>
    <n v="483.99337052185018"/>
    <n v="40655.443123835415"/>
    <n v="5943.778234478862"/>
  </r>
  <r>
    <s v="3. Card Redemption_x000a_礼品卡兑换"/>
    <n v="1"/>
    <s v="3.4 Status sync back to card system"/>
    <s v="3.4.1 Status sync back to card system|sync redemption information to gift card management platform"/>
    <s v="3.4.1 As Tmall Gift Card operation, I need record card ticket coupon redeemed ticket in system, as track and audit card redemption status_x000a_作为天猫礼品卡运营，需要从兑换完成的记录中同步礼品卡兑换信息和关联票号，以便追踪和审计卡片兑换状态"/>
    <s v="Front-End Development"/>
    <x v="0"/>
    <s v="Release 1"/>
    <x v="0"/>
    <s v="Labor"/>
    <x v="0"/>
    <x v="7"/>
    <x v="13"/>
    <s v="Y"/>
    <s v="Level 4 (5-8Years)"/>
    <s v="Y"/>
    <m/>
    <n v="160"/>
    <n v="313.50232034228594"/>
    <n v="50160.371254765749"/>
    <n v="7333.3876103458697"/>
  </r>
  <r>
    <s v="3. Card Redemption_x000a_礼品卡兑换"/>
    <n v="1"/>
    <s v="3.4 Status sync back to card system"/>
    <s v="3.4.1 Status sync back to card system|sync redemption information to gift card management platform"/>
    <s v="3.4.1 As Tmall Gift Card operation, I need record card ticket coupon redeemed ticket in system, as track and audit card redemption status_x000a_作为天猫礼品卡运营，需要从兑换完成的记录中同步礼品卡兑换信息和关联票号，以便追踪和审计卡片兑换状态"/>
    <s v="Back-End Development"/>
    <x v="0"/>
    <s v="Release 1"/>
    <x v="0"/>
    <s v="Labor"/>
    <x v="0"/>
    <x v="7"/>
    <x v="14"/>
    <s v="Y"/>
    <s v="Level 4 (5-8Years)"/>
    <s v="Y"/>
    <m/>
    <n v="240"/>
    <n v="313.50232034228594"/>
    <n v="75240.556882148623"/>
    <n v="11000.081415518805"/>
  </r>
  <r>
    <s v="3. Card Redemption_x000a_礼品卡兑换"/>
    <n v="1"/>
    <s v="3.4 Status sync back to card system"/>
    <s v="3.4.1 Status sync back to card system|sync redemption information to gift card management platform"/>
    <s v="3.4.1 As Tmall Gift Card operation, I need record card ticket coupon redeemed ticket in system, as track and audit card redemption status_x000a_作为天猫礼品卡运营，需要从兑换完成的记录中同步礼品卡兑换信息和关联票号，以便追踪和审计卡片兑换状态"/>
    <s v="Function Testing"/>
    <x v="0"/>
    <s v="Release 1"/>
    <x v="0"/>
    <s v="Labor"/>
    <x v="0"/>
    <x v="7"/>
    <x v="3"/>
    <s v="Y"/>
    <s v="Level 4 (5-8Years)"/>
    <s v="Y"/>
    <m/>
    <n v="360"/>
    <n v="265.63458993476246"/>
    <n v="95628.452376514484"/>
    <n v="13980.767891303287"/>
  </r>
  <r>
    <s v="5. Card Ticket Park Entry _x000a_礼品卡入园核销"/>
    <n v="2"/>
    <s v="5.5 N/A Ticket Order"/>
    <s v="5.5.1 Ticket Order|check order details"/>
    <s v="5.5.1 As a guest, I need view order details in my order, as order confirmation and reschedule the visit date_x000a_作为游客，需要在查看我的兑换订单，以确认订单信息及改期"/>
    <m/>
    <x v="2"/>
    <m/>
    <x v="2"/>
    <m/>
    <x v="1"/>
    <x v="5"/>
    <x v="2"/>
    <s v=""/>
    <m/>
    <m/>
    <m/>
    <m/>
    <n v="0"/>
    <n v="0"/>
    <n v="0"/>
  </r>
  <r>
    <s v="5. Card Ticket Park Entry _x000a_礼品卡入园核销"/>
    <n v="2"/>
    <s v="5.5 N/A Ticket Order"/>
    <s v="5.5.2 Ticket Order|change ticket date"/>
    <s v="5.5.2 As a guest, I need change ticket date in card redemption record, as change the visit date according to ticketing rules_x000a_作为游客，需要在兑换完成的记录中修改入园日期，以根据现有改期规则完成礼品卡门票改期"/>
    <m/>
    <x v="2"/>
    <m/>
    <x v="2"/>
    <m/>
    <x v="1"/>
    <x v="5"/>
    <x v="2"/>
    <s v=""/>
    <m/>
    <m/>
    <m/>
    <m/>
    <n v="0"/>
    <n v="0"/>
    <n v="0"/>
  </r>
  <r>
    <s v="3. Card Redemption_x000a_礼品卡兑换"/>
    <n v="1"/>
    <s v="3.5 Enter the park"/>
    <s v="3.5.1 Enter the park|guest entry"/>
    <s v="3.5.1 As a guest, I need enter park by entrance, to use the card's ticket_x000a_作为游客，需要在指定日期经乐园入口入园，以便使用兑换得到的门票"/>
    <m/>
    <x v="2"/>
    <m/>
    <x v="2"/>
    <m/>
    <x v="1"/>
    <x v="5"/>
    <x v="2"/>
    <s v=""/>
    <m/>
    <m/>
    <m/>
    <m/>
    <n v="0"/>
    <n v="0"/>
    <n v="0"/>
  </r>
  <r>
    <s v="3. Card Redemption_x000a_礼品卡兑换"/>
    <n v="1"/>
    <s v="3.5 Enter the park"/>
    <s v="3.5.2 Enter the park|sync guest entry information to gift card management platform"/>
    <s v="3.5.2 As Tmall Gift Card operation, I need sync card ticket visit records with Ticketing Service, as track and audit card visit status_x000a_作为天猫礼品卡运营，需要从入园记录中同步礼品卡门票入园信息，以便追踪审计卡片的入园状态"/>
    <s v="Requirment Analysis"/>
    <x v="0"/>
    <s v="Release 1"/>
    <x v="1"/>
    <s v="Labor"/>
    <x v="0"/>
    <x v="8"/>
    <x v="11"/>
    <s v="N"/>
    <m/>
    <s v="N"/>
    <m/>
    <n v="15"/>
    <n v="483.99337052185018"/>
    <n v="7259.9005578277529"/>
    <n v="1061.388970442654"/>
  </r>
  <r>
    <s v="3. Card Redemption_x000a_礼品卡兑换"/>
    <n v="1"/>
    <s v="3.5 Enter the park"/>
    <s v="3.5.2 Enter the park|sync guest entry information to gift card management platform"/>
    <s v="3.5.2 As Tmall Gift Card operation, I need sync card ticket visit records with Ticketing Service, as track and audit card visit status_x000a_作为天猫礼品卡运营，需要从入园记录中同步礼品卡门票入园信息，以便追踪审计卡片的入园状态"/>
    <s v="UI Design"/>
    <x v="0"/>
    <s v="Release 1"/>
    <x v="0"/>
    <s v="Labor"/>
    <x v="0"/>
    <x v="8"/>
    <x v="12"/>
    <s v="Y"/>
    <s v="Level 6 (1-3Years）"/>
    <s v="N"/>
    <m/>
    <n v="10"/>
    <n v="248.42648648648645"/>
    <n v="2484.2648648648646"/>
    <n v="363.19661767030186"/>
  </r>
  <r>
    <s v="3. Card Redemption_x000a_礼品卡兑换"/>
    <n v="1"/>
    <s v="3.5 Enter the park"/>
    <s v="3.5.2 Enter the park|sync guest entry information to gift card management platform"/>
    <s v="3.5.2 As Tmall Gift Card operation, I need sync card ticket visit records with Ticketing Service, as track and audit card visit status_x000a_作为天猫礼品卡运营，需要从入园记录中同步礼品卡门票入园信息，以便追踪审计卡片的入园状态"/>
    <s v="Project Management"/>
    <x v="1"/>
    <s v="Release 1"/>
    <x v="1"/>
    <s v="Labor"/>
    <x v="0"/>
    <x v="7"/>
    <x v="9"/>
    <s v="N"/>
    <m/>
    <s v="N"/>
    <m/>
    <n v="12"/>
    <n v="483.99337052185018"/>
    <n v="5807.9204462622019"/>
    <n v="849.11117635412313"/>
  </r>
  <r>
    <s v="3. Card Redemption_x000a_礼品卡兑换"/>
    <n v="1"/>
    <s v="3.5 Enter the park"/>
    <s v="3.5.2 Enter the park|sync guest entry information to gift card management platform"/>
    <s v="3.5.2 As Tmall Gift Card operation, I need sync card ticket visit records with Ticketing Service, as track and audit card visit status_x000a_作为天猫礼品卡运营，需要从入园记录中同步礼品卡门票入园信息，以便追踪审计卡片的入园状态"/>
    <s v="Front-End Development"/>
    <x v="0"/>
    <s v="Release 1"/>
    <x v="0"/>
    <s v="Labor"/>
    <x v="0"/>
    <x v="7"/>
    <x v="13"/>
    <s v="Y"/>
    <s v="Level 4 (5-8Years)"/>
    <s v="Y"/>
    <m/>
    <n v="80"/>
    <n v="313.50232034228594"/>
    <n v="25080.185627382874"/>
    <n v="3666.6938051729348"/>
  </r>
  <r>
    <s v="3. Card Redemption_x000a_礼品卡兑换"/>
    <n v="1"/>
    <s v="3.5 Enter the park"/>
    <s v="3.5.2 Enter the park|sync guest entry information to gift card management platform"/>
    <s v="3.5.2 As Tmall Gift Card operation, I need sync card ticket visit records with Ticketing Service, as track and audit card visit status_x000a_作为天猫礼品卡运营，需要从入园记录中同步礼品卡门票入园信息，以便追踪审计卡片的入园状态"/>
    <s v="Back-End Development"/>
    <x v="0"/>
    <s v="Release 1"/>
    <x v="0"/>
    <s v="Labor"/>
    <x v="0"/>
    <x v="7"/>
    <x v="14"/>
    <s v="Y"/>
    <s v="Level 4 (5-8Years)"/>
    <s v="Y"/>
    <m/>
    <n v="80"/>
    <n v="313.50232034228594"/>
    <n v="25080.185627382874"/>
    <n v="3666.6938051729348"/>
  </r>
  <r>
    <s v="3. Card Redemption_x000a_礼品卡兑换"/>
    <n v="1"/>
    <s v="3.5 Enter the park"/>
    <s v="3.5.2 Enter the park|sync guest entry information to gift card management platform"/>
    <s v="3.5.2 As Tmall Gift Card operation, I need sync card ticket visit records with Ticketing Service, as track and audit card visit status_x000a_作为天猫礼品卡运营，需要从入园记录中同步礼品卡门票入园信息，以便追踪审计卡片的入园状态"/>
    <s v="Function Testing"/>
    <x v="0"/>
    <s v="Release 1"/>
    <x v="0"/>
    <s v="Labor"/>
    <x v="0"/>
    <x v="7"/>
    <x v="3"/>
    <s v="Y"/>
    <s v="Level 4 (5-8Years)"/>
    <s v="Y"/>
    <m/>
    <n v="120"/>
    <n v="265.63458993476246"/>
    <n v="31876.150792171495"/>
    <n v="4660.2559637677623"/>
  </r>
  <r>
    <s v="5. Card Ticket Park Entry _x000a_礼品卡入园核销"/>
    <n v="2"/>
    <s v="5.2 Visibilities to T-Mall Customer Service and DRC"/>
    <s v="5.2.2 Visibilities to T-Mall Customer Service and DRC|check card information in card management platform"/>
    <s v="5.2.2 As DRC CM and Tmall guest service, I need access gift card sales, redeem and park visit record, as to support custom/guest service_x000a_作为预定服务中心演职人员和天猫客服，需要获取礼品卡从销售到兑换到入园的信息，以便提供客户服务"/>
    <s v="Requirment Analysis"/>
    <x v="0"/>
    <s v="Release 1"/>
    <x v="1"/>
    <s v="Labor"/>
    <x v="0"/>
    <x v="8"/>
    <x v="11"/>
    <s v="N"/>
    <m/>
    <s v="N"/>
    <m/>
    <n v="15"/>
    <n v="483.99337052185018"/>
    <n v="7259.9005578277529"/>
    <n v="1061.388970442654"/>
  </r>
  <r>
    <s v="5. Card Ticket Park Entry _x000a_礼品卡入园核销"/>
    <n v="2"/>
    <s v="5.2 Visibilities to T-Mall Customer Service and DRC"/>
    <s v="5.2.2 Visibilities to T-Mall Customer Service and DRC|check card information in card management platform"/>
    <s v="5.2.2 As DRC CM and Tmall guest service, I need access gift card sales, redeem and park visit record, as to support custom/guest service_x000a_作为预定服务中心演职人员和天猫客服，需要获取礼品卡从销售到兑换到入园的信息，以便提供客户服务"/>
    <s v="UI Design"/>
    <x v="0"/>
    <s v="Release 1"/>
    <x v="0"/>
    <s v="Labor"/>
    <x v="0"/>
    <x v="8"/>
    <x v="12"/>
    <s v="Y"/>
    <s v="Level 6 (1-3Years）"/>
    <s v="N"/>
    <m/>
    <n v="10"/>
    <n v="248.42648648648645"/>
    <n v="2484.2648648648646"/>
    <n v="363.19661767030186"/>
  </r>
  <r>
    <s v="5. Card Ticket Park Entry _x000a_礼品卡入园核销"/>
    <n v="2"/>
    <s v="5.2 Visibilities to T-Mall Customer Service and DRC"/>
    <s v="5.2.2 Visibilities to T-Mall Customer Service and DRC|check card information in card management platform"/>
    <s v="5.2.2 As DRC CM and Tmall guest service, I need access gift card sales, redeem and park visit record, as to support custom/guest service_x000a_作为预定服务中心演职人员和天猫客服，需要获取礼品卡从销售到兑换到入园的信息，以便提供客户服务"/>
    <s v="Project Management"/>
    <x v="1"/>
    <s v="Release 1"/>
    <x v="1"/>
    <s v="Labor"/>
    <x v="0"/>
    <x v="7"/>
    <x v="9"/>
    <s v="N"/>
    <m/>
    <s v="N"/>
    <m/>
    <n v="12"/>
    <n v="483.99337052185018"/>
    <n v="5807.9204462622019"/>
    <n v="849.11117635412313"/>
  </r>
  <r>
    <s v="5. Card Ticket Park Entry _x000a_礼品卡入园核销"/>
    <n v="2"/>
    <s v="5.2 Visibilities to T-Mall Customer Service and DRC"/>
    <s v="5.2.2 Visibilities to T-Mall Customer Service and DRC|check card information in card management platform"/>
    <s v="5.2.2 As DRC CM and Tmall guest service, I need access gift card sales, redeem and park visit record, as to support custom/guest service_x000a_作为预定服务中心演职人员和天猫客服，需要获取礼品卡从销售到兑换到入园的信息，以便提供客户服务"/>
    <s v="Front-End Development"/>
    <x v="0"/>
    <s v="Release 1"/>
    <x v="0"/>
    <s v="Labor"/>
    <x v="0"/>
    <x v="7"/>
    <x v="13"/>
    <s v="Y"/>
    <s v="Level 4 (5-8Years)"/>
    <s v="Y"/>
    <m/>
    <n v="80"/>
    <n v="313.50232034228594"/>
    <n v="25080.185627382874"/>
    <n v="3666.6938051729348"/>
  </r>
  <r>
    <s v="5. Card Ticket Park Entry _x000a_礼品卡入园核销"/>
    <n v="2"/>
    <s v="5.2 Visibilities to T-Mall Customer Service and DRC"/>
    <s v="5.2.2 Visibilities to T-Mall Customer Service and DRC|check card information in card management platform"/>
    <s v="5.2.2 As DRC CM and Tmall guest service, I need access gift card sales, redeem and park visit record, as to support custom/guest service_x000a_作为预定服务中心演职人员和天猫客服，需要获取礼品卡从销售到兑换到入园的信息，以便提供客户服务"/>
    <s v="Back-End Development"/>
    <x v="0"/>
    <s v="Release 1"/>
    <x v="0"/>
    <s v="Labor"/>
    <x v="0"/>
    <x v="7"/>
    <x v="14"/>
    <s v="Y"/>
    <s v="Level 4 (5-8Years)"/>
    <s v="Y"/>
    <m/>
    <n v="80"/>
    <n v="313.50232034228594"/>
    <n v="25080.185627382874"/>
    <n v="3666.6938051729348"/>
  </r>
  <r>
    <s v="5. Card Ticket Park Entry _x000a_礼品卡入园核销"/>
    <n v="2"/>
    <s v="5.2 Visibilities to T-Mall Customer Service and DRC"/>
    <s v="5.2.2 Visibilities to T-Mall Customer Service and DRC|check card information in card management platform"/>
    <s v="5.2.2 As DRC CM and Tmall guest service, I need access gift card sales, redeem and park visit record, as to support custom/guest service_x000a_作为预定服务中心演职人员和天猫客服，需要获取礼品卡从销售到兑换到入园的信息，以便提供客户服务"/>
    <s v="Function Testing"/>
    <x v="0"/>
    <s v="Release 1"/>
    <x v="0"/>
    <s v="Labor"/>
    <x v="0"/>
    <x v="7"/>
    <x v="3"/>
    <s v="Y"/>
    <s v="Level 4 (5-8Years)"/>
    <s v="Y"/>
    <m/>
    <n v="120"/>
    <n v="265.63458993476246"/>
    <n v="31876.150792171495"/>
    <n v="4660.2559637677623"/>
  </r>
  <r>
    <s v="5. Card Ticket Park Entry _x000a_礼品卡入园核销"/>
    <n v="2"/>
    <s v="5.2 Visibilities to T-Mall Customer Service and DRC"/>
    <s v="5.2.3 Visibilities to T-Mall Customer Service and DRC|check card information in CSP"/>
    <s v="5.2.3 As DRC CM and Tmall guest service, I need access gift card sales, redeem and park visit record, as to support custom/guest service from CSP_x000a_作为预定服务中心演职人员和天猫客服，需要在CSP获取礼品卡从销售到兑换到入园的信息，以便提供客户服务"/>
    <s v="Requirment Analysis"/>
    <x v="0"/>
    <s v="Release 1"/>
    <x v="1"/>
    <s v="Labor"/>
    <x v="0"/>
    <x v="8"/>
    <x v="11"/>
    <s v="N"/>
    <m/>
    <s v="N"/>
    <m/>
    <n v="6"/>
    <n v="483.99337052185018"/>
    <n v="2903.960223131101"/>
    <n v="424.55558817706157"/>
  </r>
  <r>
    <s v="5. Card Ticket Park Entry _x000a_礼品卡入园核销"/>
    <n v="2"/>
    <s v="5.2 Visibilities to T-Mall Customer Service and DRC"/>
    <s v="5.2.3 Visibilities to T-Mall Customer Service and DRC|check card information in CSP"/>
    <s v="5.2.3 As DRC CM and Tmall guest service, I need access gift card sales, redeem and park visit record, as to support custom/guest service from CSP_x000a_作为预定服务中心演职人员和天猫客服，需要在CSP获取礼品卡从销售到兑换到入园的信息，以便提供客户服务"/>
    <s v="UI Design"/>
    <x v="0"/>
    <s v="Release 1"/>
    <x v="0"/>
    <s v="Labor"/>
    <x v="0"/>
    <x v="8"/>
    <x v="12"/>
    <s v="Y"/>
    <s v="Level 6 (1-3Years）"/>
    <s v="N"/>
    <m/>
    <n v="4"/>
    <n v="248.42648648648645"/>
    <n v="993.70594594594581"/>
    <n v="145.27864706812073"/>
  </r>
  <r>
    <s v="5. Card Ticket Park Entry _x000a_礼品卡入园核销"/>
    <n v="2"/>
    <s v="5.2 Visibilities to T-Mall Customer Service and DRC"/>
    <s v="5.2.3 Visibilities to T-Mall Customer Service and DRC|check card information in CSP"/>
    <s v="5.2.3 As DRC CM and Tmall guest service, I need access gift card sales, redeem and park visit record, as to support custom/guest service from CSP_x000a_作为预定服务中心演职人员和天猫客服，需要在CSP获取礼品卡从销售到兑换到入园的信息，以便提供客户服务"/>
    <s v="Project Management"/>
    <x v="1"/>
    <s v="Release 1"/>
    <x v="1"/>
    <s v="Labor"/>
    <x v="0"/>
    <x v="7"/>
    <x v="9"/>
    <s v="N"/>
    <m/>
    <s v="N"/>
    <m/>
    <n v="5"/>
    <n v="483.99337052185018"/>
    <n v="2419.966852609251"/>
    <n v="353.79632348088467"/>
  </r>
  <r>
    <s v="5. Card Ticket Park Entry _x000a_礼品卡入园核销"/>
    <n v="2"/>
    <s v="5.2 Visibilities to T-Mall Customer Service and DRC"/>
    <s v="5.2.3 Visibilities to T-Mall Customer Service and DRC|check card information in CSP"/>
    <s v="5.2.3 As DRC CM and Tmall guest service, I need access gift card sales, redeem and park visit record, as to support custom/guest service from CSP_x000a_作为预定服务中心演职人员和天猫客服，需要在CSP获取礼品卡从销售到兑换到入园的信息，以便提供客户服务"/>
    <s v="Front-End Development"/>
    <x v="0"/>
    <s v="Release 1"/>
    <x v="0"/>
    <s v="Labor"/>
    <x v="0"/>
    <x v="7"/>
    <x v="13"/>
    <s v="Y"/>
    <s v="Level 4 (5-8Years)"/>
    <s v="Y"/>
    <m/>
    <n v="32"/>
    <n v="313.50232034228594"/>
    <n v="10032.07425095315"/>
    <n v="1466.6775220691741"/>
  </r>
  <r>
    <s v="5. Card Ticket Park Entry _x000a_礼品卡入园核销"/>
    <n v="2"/>
    <s v="5.2 Visibilities to T-Mall Customer Service and DRC"/>
    <s v="5.2.3 Visibilities to T-Mall Customer Service and DRC|check card information in CSP"/>
    <s v="5.2.3 As DRC CM and Tmall guest service, I need access gift card sales, redeem and park visit record, as to support custom/guest service from CSP_x000a_作为预定服务中心演职人员和天猫客服，需要在CSP获取礼品卡从销售到兑换到入园的信息，以便提供客户服务"/>
    <s v="Back-End Development"/>
    <x v="0"/>
    <s v="Release 1"/>
    <x v="0"/>
    <s v="Labor"/>
    <x v="0"/>
    <x v="7"/>
    <x v="14"/>
    <s v="Y"/>
    <s v="Level 4 (5-8Years)"/>
    <s v="Y"/>
    <m/>
    <n v="32"/>
    <n v="313.50232034228594"/>
    <n v="10032.07425095315"/>
    <n v="1466.6775220691741"/>
  </r>
  <r>
    <s v="5. Card Ticket Park Entry _x000a_礼品卡入园核销"/>
    <n v="2"/>
    <s v="5.2 Visibilities to T-Mall Customer Service and DRC"/>
    <s v="5.2.3 Visibilities to T-Mall Customer Service and DRC|check card information in CSP"/>
    <s v="5.2.3 As DRC CM and Tmall guest service, I need access gift card sales, redeem and park visit record, as to support custom/guest service from CSP_x000a_作为预定服务中心演职人员和天猫客服，需要在CSP获取礼品卡从销售到兑换到入园的信息，以便提供客户服务"/>
    <s v="Function Testing"/>
    <x v="0"/>
    <s v="Release 1"/>
    <x v="0"/>
    <s v="Labor"/>
    <x v="0"/>
    <x v="7"/>
    <x v="3"/>
    <s v="Y"/>
    <s v="Level 4 (5-8Years)"/>
    <s v="Y"/>
    <m/>
    <n v="48"/>
    <n v="265.63458993476246"/>
    <n v="12750.460316868597"/>
    <n v="1864.1023855071048"/>
  </r>
  <r>
    <s v="5. Card Ticket Park Entry _x000a_礼品卡入园核销"/>
    <n v="2"/>
    <s v="5.6 N/A Card verification record &amp; report"/>
    <s v="5.6.1 Card verification record &amp; report"/>
    <s v="5.6.1 As cyber security and A&amp;A, I need record gift card verification attempts by report, as record and identify abnormal redemption request_x000a_作为信息安全和内控合规，需要在兑换页面记录礼品卡卡号和卡密的查询记录，以便审计和识别异常的兑换请求"/>
    <s v="Requirment Analysis"/>
    <x v="0"/>
    <s v="Release 1"/>
    <x v="1"/>
    <s v="Labor"/>
    <x v="0"/>
    <x v="8"/>
    <x v="11"/>
    <s v="N"/>
    <m/>
    <s v="N"/>
    <m/>
    <n v="15"/>
    <n v="483.99337052185018"/>
    <n v="7259.9005578277529"/>
    <n v="1061.388970442654"/>
  </r>
  <r>
    <s v="5. Card Ticket Park Entry _x000a_礼品卡入园核销"/>
    <n v="2"/>
    <s v="5.6 N/A Card verification record &amp; report"/>
    <s v="5.6.1 Card verification record &amp; report"/>
    <s v="5.6.1 As cyber security and A&amp;A, I need record gift card verification attempts by report, as record and identify abnormal redemption request_x000a_作为信息安全和内控合规，需要在兑换页面记录礼品卡卡号和卡密的查询记录，以便审计和识别异常的兑换请求"/>
    <s v="UI Design"/>
    <x v="0"/>
    <s v="Release 1"/>
    <x v="0"/>
    <s v="Labor"/>
    <x v="0"/>
    <x v="8"/>
    <x v="12"/>
    <s v="Y"/>
    <s v="Level 6 (1-3Years）"/>
    <s v="N"/>
    <m/>
    <n v="10"/>
    <n v="248.42648648648645"/>
    <n v="2484.2648648648646"/>
    <n v="363.19661767030186"/>
  </r>
  <r>
    <s v="5. Card Ticket Park Entry _x000a_礼品卡入园核销"/>
    <n v="2"/>
    <s v="5.6 N/A Card verification record &amp; report"/>
    <s v="5.6.1 Card verification record &amp; report"/>
    <s v="5.6.1 As cyber security and A&amp;A, I need record gift card verification attempts by report, as record and identify abnormal redemption request_x000a_作为信息安全和内控合规，需要在兑换页面记录礼品卡卡号和卡密的查询记录，以便审计和识别异常的兑换请求"/>
    <s v="Project Management"/>
    <x v="1"/>
    <s v="Release 1"/>
    <x v="1"/>
    <s v="Labor"/>
    <x v="0"/>
    <x v="7"/>
    <x v="9"/>
    <s v="N"/>
    <m/>
    <s v="N"/>
    <m/>
    <n v="12"/>
    <n v="483.99337052185018"/>
    <n v="5807.9204462622019"/>
    <n v="849.11117635412313"/>
  </r>
  <r>
    <s v="5. Card Ticket Park Entry _x000a_礼品卡入园核销"/>
    <n v="2"/>
    <s v="5.6 N/A Card verification record &amp; report"/>
    <s v="5.6.1 Card verification record &amp; report"/>
    <s v="5.6.1 As cyber security and A&amp;A, I need record gift card verification attempts by report, as record and identify abnormal redemption request_x000a_作为信息安全和内控合规，需要在兑换页面记录礼品卡卡号和卡密的查询记录，以便审计和识别异常的兑换请求"/>
    <s v="Front-End Development"/>
    <x v="0"/>
    <s v="Release 1"/>
    <x v="0"/>
    <s v="Labor"/>
    <x v="0"/>
    <x v="7"/>
    <x v="13"/>
    <s v="Y"/>
    <s v="Level 4 (5-8Years)"/>
    <s v="Y"/>
    <m/>
    <n v="80"/>
    <n v="313.50232034228594"/>
    <n v="25080.185627382874"/>
    <n v="3666.6938051729348"/>
  </r>
  <r>
    <s v="5. Card Ticket Park Entry _x000a_礼品卡入园核销"/>
    <n v="2"/>
    <s v="5.6 N/A Card verification record &amp; report"/>
    <s v="5.6.1 Card verification record &amp; report"/>
    <s v="5.6.1 As cyber security and A&amp;A, I need record gift card verification attempts by report, as record and identify abnormal redemption request_x000a_作为信息安全和内控合规，需要在兑换页面记录礼品卡卡号和卡密的查询记录，以便审计和识别异常的兑换请求"/>
    <s v="Back-End Development"/>
    <x v="0"/>
    <s v="Release 1"/>
    <x v="0"/>
    <s v="Labor"/>
    <x v="0"/>
    <x v="7"/>
    <x v="14"/>
    <s v="Y"/>
    <s v="Level 4 (5-8Years)"/>
    <s v="Y"/>
    <m/>
    <n v="80"/>
    <n v="313.50232034228594"/>
    <n v="25080.185627382874"/>
    <n v="3666.6938051729348"/>
  </r>
  <r>
    <s v="5. Card Ticket Park Entry _x000a_礼品卡入园核销"/>
    <n v="2"/>
    <s v="5.6 N/A Card verification record &amp; report"/>
    <s v="5.6.1 Card verification record &amp; report"/>
    <s v="5.6.1 As cyber security and A&amp;A, I need record gift card verification attempts by report, as record and identify abnormal redemption request_x000a_作为信息安全和内控合规，需要在兑换页面记录礼品卡卡号和卡密的查询记录，以便审计和识别异常的兑换请求"/>
    <s v="Function Testing"/>
    <x v="0"/>
    <s v="Release 1"/>
    <x v="0"/>
    <s v="Labor"/>
    <x v="0"/>
    <x v="7"/>
    <x v="3"/>
    <s v="Y"/>
    <s v="Level 4 (5-8Years)"/>
    <s v="Y"/>
    <m/>
    <n v="120"/>
    <n v="265.63458993476246"/>
    <n v="31876.150792171495"/>
    <n v="4660.2559637677623"/>
  </r>
  <r>
    <s v="5. Card Ticket Park Entry _x000a_礼品卡入园核销"/>
    <n v="2"/>
    <s v="5.3 Report &amp; Reconciliation "/>
    <s v="5.3.5 Report &amp; Reconciliation|card redemption report"/>
    <s v="5.3.5 As Tmall Gift Card operation, Finance and A&amp;A, I need query and export card redemption report, as data foundation for daily operation and audit_x000a_作为天猫礼品卡运营，财务和内控合规，需要查询和导出礼品卡兑换报表，以便进行统计和审计"/>
    <s v="Requirment Analysis"/>
    <x v="0"/>
    <s v="Release 1"/>
    <x v="1"/>
    <s v="Labor"/>
    <x v="0"/>
    <x v="8"/>
    <x v="11"/>
    <s v="N"/>
    <m/>
    <s v="N"/>
    <m/>
    <n v="15"/>
    <n v="483.99337052185018"/>
    <n v="7259.9005578277529"/>
    <n v="1061.388970442654"/>
  </r>
  <r>
    <s v="5. Card Ticket Park Entry _x000a_礼品卡入园核销"/>
    <n v="2"/>
    <s v="5.3 Report &amp; Reconciliation "/>
    <s v="5.3.5 Report &amp; Reconciliation|card redemption report"/>
    <s v="5.3.5 As Tmall Gift Card operation, Finance and A&amp;A, I need query and export card redemption report, as data foundation for daily operation and audit_x000a_作为天猫礼品卡运营，财务和内控合规，需要查询和导出礼品卡兑换报表，以便进行统计和审计"/>
    <s v="UI Design"/>
    <x v="0"/>
    <s v="Release 1"/>
    <x v="0"/>
    <s v="Labor"/>
    <x v="0"/>
    <x v="8"/>
    <x v="12"/>
    <s v="Y"/>
    <s v="Level 6 (1-3Years）"/>
    <s v="N"/>
    <m/>
    <n v="10"/>
    <n v="248.42648648648645"/>
    <n v="2484.2648648648646"/>
    <n v="363.19661767030186"/>
  </r>
  <r>
    <s v="5. Card Ticket Park Entry _x000a_礼品卡入园核销"/>
    <n v="2"/>
    <s v="5.3 Report &amp; Reconciliation "/>
    <s v="5.3.5 Report &amp; Reconciliation|card redemption report"/>
    <s v="5.3.5 As Tmall Gift Card operation, Finance and A&amp;A, I need query and export card redemption report, as data foundation for daily operation and audit_x000a_作为天猫礼品卡运营，财务和内控合规，需要查询和导出礼品卡兑换报表，以便进行统计和审计"/>
    <s v="Project Management"/>
    <x v="1"/>
    <s v="Release 1"/>
    <x v="1"/>
    <s v="Labor"/>
    <x v="0"/>
    <x v="7"/>
    <x v="9"/>
    <s v="N"/>
    <m/>
    <s v="N"/>
    <m/>
    <n v="12"/>
    <n v="483.99337052185018"/>
    <n v="5807.9204462622019"/>
    <n v="849.11117635412313"/>
  </r>
  <r>
    <s v="5. Card Ticket Park Entry _x000a_礼品卡入园核销"/>
    <n v="2"/>
    <s v="5.3 Report &amp; Reconciliation "/>
    <s v="5.3.5 Report &amp; Reconciliation|card redemption report"/>
    <s v="5.3.5 As Tmall Gift Card operation, Finance and A&amp;A, I need query and export card redemption report, as data foundation for daily operation and audit_x000a_作为天猫礼品卡运营，财务和内控合规，需要查询和导出礼品卡兑换报表，以便进行统计和审计"/>
    <s v="Front-End Development"/>
    <x v="0"/>
    <s v="Release 1"/>
    <x v="0"/>
    <s v="Labor"/>
    <x v="0"/>
    <x v="7"/>
    <x v="13"/>
    <s v="Y"/>
    <s v="Level 4 (5-8Years)"/>
    <s v="Y"/>
    <m/>
    <n v="80"/>
    <n v="313.50232034228594"/>
    <n v="25080.185627382874"/>
    <n v="3666.6938051729348"/>
  </r>
  <r>
    <s v="5. Card Ticket Park Entry _x000a_礼品卡入园核销"/>
    <n v="2"/>
    <s v="5.3 Report &amp; Reconciliation "/>
    <s v="5.3.5 Report &amp; Reconciliation|card redemption report"/>
    <s v="5.3.5 As Tmall Gift Card operation, Finance and A&amp;A, I need query and export card redemption report, as data foundation for daily operation and audit_x000a_作为天猫礼品卡运营，财务和内控合规，需要查询和导出礼品卡兑换报表，以便进行统计和审计"/>
    <s v="Back-End Development"/>
    <x v="0"/>
    <s v="Release 1"/>
    <x v="0"/>
    <s v="Labor"/>
    <x v="0"/>
    <x v="7"/>
    <x v="14"/>
    <s v="Y"/>
    <s v="Level 4 (5-8Years)"/>
    <s v="Y"/>
    <m/>
    <n v="80"/>
    <n v="313.50232034228594"/>
    <n v="25080.185627382874"/>
    <n v="3666.6938051729348"/>
  </r>
  <r>
    <s v="5. Card Ticket Park Entry _x000a_礼品卡入园核销"/>
    <n v="2"/>
    <s v="5.3 Report &amp; Reconciliation "/>
    <s v="5.3.5 Report &amp; Reconciliation|card redemption report"/>
    <s v="5.3.5 As Tmall Gift Card operation, Finance and A&amp;A, I need query and export card redemption report, as data foundation for daily operation and audit_x000a_作为天猫礼品卡运营，财务和内控合规，需要查询和导出礼品卡兑换报表，以便进行统计和审计"/>
    <s v="Function Testing"/>
    <x v="0"/>
    <s v="Release 1"/>
    <x v="0"/>
    <s v="Labor"/>
    <x v="0"/>
    <x v="7"/>
    <x v="3"/>
    <s v="Y"/>
    <s v="Level 4 (5-8Years)"/>
    <s v="Y"/>
    <m/>
    <n v="120"/>
    <n v="265.63458993476246"/>
    <n v="31876.150792171495"/>
    <n v="4660.2559637677623"/>
  </r>
  <r>
    <s v="5. Card Ticket Park Entry _x000a_礼品卡入园核销"/>
    <n v="2"/>
    <s v="5.3 Report &amp; Reconciliation "/>
    <s v="5.3.6 Report &amp; Reconciliation|Put card redemption into CDP"/>
    <s v="5.3.6 As Finance and A&amp;A, I need put card's coupon redemption data into CDP existing report, as for redeem record and audit_x000a_作为财务和内控合规，需要将礼品卡核销的兑换券纳入现有CDP报表，以便进行核销统计和审计"/>
    <m/>
    <x v="2"/>
    <m/>
    <x v="2"/>
    <m/>
    <x v="1"/>
    <x v="5"/>
    <x v="2"/>
    <s v=""/>
    <m/>
    <m/>
    <m/>
    <m/>
    <n v="0"/>
    <n v="0"/>
    <n v="0"/>
  </r>
  <r>
    <s v="5. Card Ticket Park Entry _x000a_礼品卡入园核销"/>
    <n v="2"/>
    <s v="5.3 Report &amp; Reconciliation "/>
    <s v="5.3.7 Report &amp; Reconciliation|card park  visit report"/>
    <s v="5.3.7 As Tmall Gift Card operation, Finance and A&amp;A, I need query and export card visit report, as data foundation for daily operation and audit_x000a_作为天猫礼品卡运营，财务和内控合规，需要查询和导出礼品卡入园报表，以便进行统计和审计"/>
    <s v="Requirment Analysis"/>
    <x v="0"/>
    <s v="Release 1"/>
    <x v="1"/>
    <s v="Labor"/>
    <x v="0"/>
    <x v="8"/>
    <x v="11"/>
    <s v="N"/>
    <m/>
    <s v="N"/>
    <m/>
    <n v="15"/>
    <n v="483.99337052185018"/>
    <n v="7259.9005578277529"/>
    <n v="1061.388970442654"/>
  </r>
  <r>
    <s v="5. Card Ticket Park Entry _x000a_礼品卡入园核销"/>
    <n v="2"/>
    <s v="5.3 Report &amp; Reconciliation "/>
    <s v="5.3.7 Report &amp; Reconciliation|card park  visit report"/>
    <s v="5.3.7 As Tmall Gift Card operation, Finance and A&amp;A, I need query and export card visit report, as data foundation for daily operation and audit_x000a_作为天猫礼品卡运营，财务和内控合规，需要查询和导出礼品卡入园报表，以便进行统计和审计"/>
    <s v="UI Design"/>
    <x v="0"/>
    <s v="Release 1"/>
    <x v="0"/>
    <s v="Labor"/>
    <x v="0"/>
    <x v="8"/>
    <x v="12"/>
    <s v="Y"/>
    <s v="Level 6 (1-3Years）"/>
    <s v="N"/>
    <m/>
    <n v="10"/>
    <n v="248.42648648648645"/>
    <n v="2484.2648648648646"/>
    <n v="363.19661767030186"/>
  </r>
  <r>
    <s v="5. Card Ticket Park Entry _x000a_礼品卡入园核销"/>
    <n v="2"/>
    <s v="5.3 Report &amp; Reconciliation "/>
    <s v="5.3.7 Report &amp; Reconciliation|card park  visit report"/>
    <s v="5.3.7 As Tmall Gift Card operation, Finance and A&amp;A, I need query and export card visit report, as data foundation for daily operation and audit_x000a_作为天猫礼品卡运营，财务和内控合规，需要查询和导出礼品卡入园报表，以便进行统计和审计"/>
    <s v="Project Management"/>
    <x v="1"/>
    <s v="Release 1"/>
    <x v="1"/>
    <s v="Labor"/>
    <x v="0"/>
    <x v="7"/>
    <x v="9"/>
    <s v="N"/>
    <m/>
    <s v="N"/>
    <m/>
    <n v="12"/>
    <n v="483.99337052185018"/>
    <n v="5807.9204462622019"/>
    <n v="849.11117635412313"/>
  </r>
  <r>
    <s v="5. Card Ticket Park Entry _x000a_礼品卡入园核销"/>
    <n v="2"/>
    <s v="5.3 Report &amp; Reconciliation "/>
    <s v="5.3.7 Report &amp; Reconciliation|card park  visit report"/>
    <s v="5.3.7 As Tmall Gift Card operation, Finance and A&amp;A, I need query and export card visit report, as data foundation for daily operation and audit_x000a_作为天猫礼品卡运营，财务和内控合规，需要查询和导出礼品卡入园报表，以便进行统计和审计"/>
    <s v="Front-End Development"/>
    <x v="0"/>
    <s v="Release 1"/>
    <x v="0"/>
    <s v="Labor"/>
    <x v="0"/>
    <x v="7"/>
    <x v="13"/>
    <s v="Y"/>
    <s v="Level 4 (5-8Years)"/>
    <s v="Y"/>
    <m/>
    <n v="80"/>
    <n v="313.50232034228594"/>
    <n v="25080.185627382874"/>
    <n v="3666.6938051729348"/>
  </r>
  <r>
    <s v="5. Card Ticket Park Entry _x000a_礼品卡入园核销"/>
    <n v="2"/>
    <s v="5.3 Report &amp; Reconciliation "/>
    <s v="5.3.7 Report &amp; Reconciliation|card park  visit report"/>
    <s v="5.3.7 As Tmall Gift Card operation, Finance and A&amp;A, I need query and export card visit report, as data foundation for daily operation and audit_x000a_作为天猫礼品卡运营，财务和内控合规，需要查询和导出礼品卡入园报表，以便进行统计和审计"/>
    <s v="Back-End Development"/>
    <x v="0"/>
    <s v="Release 1"/>
    <x v="0"/>
    <s v="Labor"/>
    <x v="0"/>
    <x v="7"/>
    <x v="14"/>
    <s v="Y"/>
    <s v="Level 4 (5-8Years)"/>
    <s v="Y"/>
    <m/>
    <n v="80"/>
    <n v="313.50232034228594"/>
    <n v="25080.185627382874"/>
    <n v="3666.6938051729348"/>
  </r>
  <r>
    <s v="5. Card Ticket Park Entry _x000a_礼品卡入园核销"/>
    <n v="2"/>
    <s v="5.3 Report &amp; Reconciliation "/>
    <s v="5.3.7 Report &amp; Reconciliation|card park  visit report"/>
    <s v="5.3.7 As Tmall Gift Card operation, Finance and A&amp;A, I need query and export card visit report, as data foundation for daily operation and audit_x000a_作为天猫礼品卡运营，财务和内控合规，需要查询和导出礼品卡入园报表，以便进行统计和审计"/>
    <s v="Function Testing"/>
    <x v="0"/>
    <s v="Release 1"/>
    <x v="0"/>
    <s v="Labor"/>
    <x v="0"/>
    <x v="7"/>
    <x v="3"/>
    <s v="Y"/>
    <s v="Level 4 (5-8Years)"/>
    <s v="Y"/>
    <m/>
    <n v="120"/>
    <n v="265.63458993476246"/>
    <n v="31876.150792171495"/>
    <n v="4660.25596376776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0D3E5C-5980-AE41-BE0C-5BC88A03FEC4}" name="数据透视表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9:C181" firstHeaderRow="0" firstDataRow="1" firstDataCol="1"/>
  <pivotFields count="21">
    <pivotField showAll="0"/>
    <pivotField showAll="0"/>
    <pivotField showAll="0"/>
    <pivotField showAll="0"/>
    <pivotField showAll="0"/>
    <pivotField showAll="0"/>
    <pivotField axis="axisRow" showAll="0">
      <items count="4">
        <item x="0"/>
        <item x="1"/>
        <item x="2"/>
        <item t="default"/>
      </items>
    </pivotField>
    <pivotField showAll="0"/>
    <pivotField axis="axisRow" showAll="0">
      <items count="4">
        <item x="1"/>
        <item x="0"/>
        <item x="2"/>
        <item t="default"/>
      </items>
    </pivotField>
    <pivotField showAll="0"/>
    <pivotField axis="axisRow" showAll="0">
      <items count="6">
        <item x="2"/>
        <item x="4"/>
        <item x="3"/>
        <item x="0"/>
        <item sd="0" x="1"/>
        <item t="default"/>
      </items>
    </pivotField>
    <pivotField axis="axisRow" showAll="0">
      <items count="10">
        <item x="7"/>
        <item x="8"/>
        <item x="4"/>
        <item x="3"/>
        <item x="2"/>
        <item sd="0" x="1"/>
        <item sd="0" x="0"/>
        <item sd="0" x="6"/>
        <item x="5"/>
        <item t="default"/>
      </items>
    </pivotField>
    <pivotField axis="axisRow" showAll="0">
      <items count="17">
        <item x="14"/>
        <item x="1"/>
        <item x="9"/>
        <item x="13"/>
        <item x="5"/>
        <item x="8"/>
        <item x="12"/>
        <item x="11"/>
        <item x="3"/>
        <item x="4"/>
        <item x="6"/>
        <item x="7"/>
        <item x="0"/>
        <item sd="0" x="2"/>
        <item x="10"/>
        <item x="15"/>
        <item t="default"/>
      </items>
    </pivotField>
    <pivotField showAll="0"/>
    <pivotField showAll="0"/>
    <pivotField showAll="0"/>
    <pivotField showAll="0"/>
    <pivotField dataField="1" showAll="0"/>
    <pivotField showAll="0"/>
    <pivotField numFmtId="178" showAll="0"/>
    <pivotField dataField="1" numFmtId="178" showAll="0"/>
  </pivotFields>
  <rowFields count="5">
    <field x="11"/>
    <field x="10"/>
    <field x="6"/>
    <field x="12"/>
    <field x="8"/>
  </rowFields>
  <rowItems count="92">
    <i>
      <x/>
    </i>
    <i r="1">
      <x/>
    </i>
    <i r="2">
      <x/>
    </i>
    <i r="3">
      <x/>
    </i>
    <i r="4">
      <x v="1"/>
    </i>
    <i r="3">
      <x v="3"/>
    </i>
    <i r="4">
      <x v="1"/>
    </i>
    <i r="3">
      <x v="7"/>
    </i>
    <i r="4">
      <x v="1"/>
    </i>
    <i r="3">
      <x v="8"/>
    </i>
    <i r="4">
      <x v="1"/>
    </i>
    <i r="3">
      <x v="15"/>
    </i>
    <i r="4">
      <x v="1"/>
    </i>
    <i r="2">
      <x v="1"/>
    </i>
    <i r="3">
      <x v="2"/>
    </i>
    <i r="4">
      <x/>
    </i>
    <i r="1">
      <x v="1"/>
    </i>
    <i r="2">
      <x/>
    </i>
    <i r="3">
      <x/>
    </i>
    <i r="4">
      <x v="1"/>
    </i>
    <i r="3">
      <x v="3"/>
    </i>
    <i r="4">
      <x v="1"/>
    </i>
    <i r="3">
      <x v="8"/>
    </i>
    <i r="4">
      <x v="1"/>
    </i>
    <i r="2">
      <x v="1"/>
    </i>
    <i r="3">
      <x v="2"/>
    </i>
    <i r="4">
      <x/>
    </i>
    <i r="1">
      <x v="2"/>
    </i>
    <i r="2">
      <x/>
    </i>
    <i r="3">
      <x/>
    </i>
    <i r="4">
      <x v="1"/>
    </i>
    <i r="3">
      <x v="3"/>
    </i>
    <i r="4">
      <x v="1"/>
    </i>
    <i r="3">
      <x v="8"/>
    </i>
    <i r="4">
      <x v="1"/>
    </i>
    <i r="2">
      <x v="1"/>
    </i>
    <i r="3">
      <x v="2"/>
    </i>
    <i r="4">
      <x/>
    </i>
    <i r="1">
      <x v="3"/>
    </i>
    <i r="2">
      <x/>
    </i>
    <i r="3">
      <x/>
    </i>
    <i r="4">
      <x v="1"/>
    </i>
    <i r="3">
      <x v="2"/>
    </i>
    <i r="4">
      <x/>
    </i>
    <i r="3">
      <x v="3"/>
    </i>
    <i r="4">
      <x v="1"/>
    </i>
    <i r="3">
      <x v="8"/>
    </i>
    <i r="4">
      <x v="1"/>
    </i>
    <i r="3">
      <x v="13"/>
    </i>
    <i r="2">
      <x v="1"/>
    </i>
    <i r="3">
      <x v="2"/>
    </i>
    <i r="4">
      <x/>
    </i>
    <i>
      <x v="1"/>
    </i>
    <i r="1">
      <x v="1"/>
    </i>
    <i r="2">
      <x/>
    </i>
    <i r="3">
      <x v="7"/>
    </i>
    <i r="4">
      <x v="1"/>
    </i>
    <i r="1">
      <x v="2"/>
    </i>
    <i r="2">
      <x/>
    </i>
    <i r="3">
      <x v="7"/>
    </i>
    <i r="4">
      <x v="1"/>
    </i>
    <i r="1">
      <x v="3"/>
    </i>
    <i r="2">
      <x/>
    </i>
    <i r="3">
      <x v="6"/>
    </i>
    <i r="4">
      <x v="1"/>
    </i>
    <i r="3">
      <x v="7"/>
    </i>
    <i r="4">
      <x/>
    </i>
    <i r="3">
      <x v="14"/>
    </i>
    <i r="4">
      <x v="1"/>
    </i>
    <i>
      <x v="2"/>
    </i>
    <i r="1">
      <x v="3"/>
    </i>
    <i r="2">
      <x/>
    </i>
    <i r="3">
      <x v="11"/>
    </i>
    <i r="4">
      <x v="1"/>
    </i>
    <i>
      <x v="3"/>
    </i>
    <i r="1">
      <x v="3"/>
    </i>
    <i r="2">
      <x/>
    </i>
    <i r="3">
      <x v="10"/>
    </i>
    <i r="4">
      <x v="1"/>
    </i>
    <i>
      <x v="4"/>
    </i>
    <i r="1">
      <x v="3"/>
    </i>
    <i r="2">
      <x/>
    </i>
    <i r="3">
      <x v="4"/>
    </i>
    <i r="4">
      <x v="1"/>
    </i>
    <i r="3">
      <x v="9"/>
    </i>
    <i r="4">
      <x/>
    </i>
    <i>
      <x v="5"/>
    </i>
    <i>
      <x v="6"/>
    </i>
    <i>
      <x v="7"/>
    </i>
    <i>
      <x v="8"/>
    </i>
    <i r="1">
      <x v="4"/>
    </i>
    <i t="grand">
      <x/>
    </i>
  </rowItems>
  <colFields count="1">
    <field x="-2"/>
  </colFields>
  <colItems count="2">
    <i>
      <x/>
    </i>
    <i i="1">
      <x v="1"/>
    </i>
  </colItems>
  <dataFields count="2">
    <dataField name="Sum of Labor Hours/_x000a_Quantities" fld="17" baseField="0" baseItem="0"/>
    <dataField name="Sum of Amount_x000a_USD" fld="20" baseField="0" baseItem="0"/>
  </dataFields>
  <formats count="1">
    <format dxfId="119">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F65844-4C01-0C46-9D28-10B9C068B6AD}" name="BRD_EPIC2" displayName="BRD_EPIC2" ref="A6:W399" totalsRowCount="1" headerRowDxfId="118" headerRowBorderDxfId="117" tableBorderDxfId="116" totalsRowBorderDxfId="115" headerRowCellStyle="Normal 2">
  <autoFilter ref="A6:W398" xr:uid="{D6F211F9-163F-CD48-8547-730F49EA1CF8}">
    <filterColumn colId="3">
      <customFilters>
        <customFilter operator="notEqual" val=" "/>
      </customFilters>
    </filterColumn>
    <filterColumn colId="15">
      <customFilters>
        <customFilter operator="notEqual" val=" "/>
      </customFilters>
    </filterColumn>
  </autoFilter>
  <tableColumns count="23">
    <tableColumn id="2" xr3:uid="{50C24E7F-D087-9643-8170-C669C6B8CD46}" name="BRD Priority" dataDxfId="114" totalsRowDxfId="113"/>
    <tableColumn id="1" xr3:uid="{31AD6CC4-57F5-B443-AA40-CF100C15B7D5}" name="0. BRD Overview" dataDxfId="112" totalsRowDxfId="111"/>
    <tableColumn id="3" xr3:uid="{EBB1D3A4-7FE1-3B4E-B7E8-D3F18EDAAD4A}" name="0.0 BRD Detailed Requirement" dataDxfId="110" totalsRowDxfId="109"/>
    <tableColumn id="4" xr3:uid="{E83CA795-973A-994B-851E-7A26577FF70E}" name="0.0.0 EPIC Title" dataDxfId="108" totalsRowDxfId="107"/>
    <tableColumn id="5" xr3:uid="{88BB3B74-6BE5-484B-9D85-8C8472022B37}" name="0.0.0.0 EPIC Story" dataDxfId="106" totalsRowDxfId="105"/>
    <tableColumn id="6" xr3:uid="{5CDAD02B-C7A3-0241-A387-AAB7E98C55FA}" name="Description" dataDxfId="104" totalsRowDxfId="103"/>
    <tableColumn id="7" xr3:uid="{D365DD09-7D4A-184A-86C2-BBB33A9B61B2}" name="Dependencies" dataDxfId="102" totalsRowDxfId="101"/>
    <tableColumn id="11" xr3:uid="{6D5D304A-2133-0A4E-AE00-6B6637CC6C01}" name="EPIC Story(CN)" dataDxfId="100" totalsRowDxfId="99"/>
    <tableColumn id="13" xr3:uid="{EE09079C-F926-904B-8EE9-647142D084C9}" name="Description(CN)" dataDxfId="98" totalsRowDxfId="97"/>
    <tableColumn id="10" xr3:uid="{69A736D3-11AD-F94C-868C-BCC463E28830}" name="Comment" dataDxfId="96" totalsRowDxfId="95"/>
    <tableColumn id="9" xr3:uid="{5DBED66E-7DB5-204B-85EE-CD2A5B87CDA0}" name="Follow-up Group" dataDxfId="94" totalsRowDxfId="93"/>
    <tableColumn id="8" xr3:uid="{1B299D4F-0492-C542-AC8B-4E471F041A31}" name="Follow-up" dataDxfId="92" totalsRowDxfId="91"/>
    <tableColumn id="12" xr3:uid="{3364396B-6C50-F144-8388-9160D051BAB6}" name="Follow-up with vendor" dataDxfId="90" totalsRowDxfId="89"/>
    <tableColumn id="14" xr3:uid="{484FA4DB-9896-1649-87AB-9700A7CEB03D}" name="Task Title" dataDxfId="88" totalsRowDxfId="87"/>
    <tableColumn id="15" xr3:uid="{85061620-0BE7-B846-B1A3-1D78CF5F5027}" name="Task Description" dataDxfId="86" totalsRowDxfId="85"/>
    <tableColumn id="21" xr3:uid="{98D4B212-EA37-C746-95E8-200EDDA417D5}" name="system type" dataDxfId="84" totalsRowDxfId="83"/>
    <tableColumn id="25" xr3:uid="{537956A8-E042-224F-A101-DF08A3A76C11}" name="system tpye ultimately" dataDxfId="82" totalsRowDxfId="81">
      <calculatedColumnFormula>BRD_EPIC2[[#This Row],[system type]]&amp;BRD_EPIC2[[#This Row],[system type2]]</calculatedColumnFormula>
    </tableColumn>
    <tableColumn id="24" xr3:uid="{76F39E32-7B87-284F-B1F1-60424BAACBF8}" name="system type2" dataDxfId="80" totalsRowDxfId="79"/>
    <tableColumn id="19" xr3:uid="{6B8CC037-660C-9B48-9425-A527B2A466C4}" name="follw up PM" dataDxfId="78" totalsRowDxfId="77"/>
    <tableColumn id="20" xr3:uid="{D5D6DAB4-7340-CC41-AF44-762775A9A896}" name="follow up" dataDxfId="76" totalsRowDxfId="75"/>
    <tableColumn id="16" xr3:uid="{B761C329-6FEE-5D4D-9A58-4D23963F3EAE}" name="Develop Labor(man/day)" dataDxfId="74" totalsRowDxfId="73"/>
    <tableColumn id="17" xr3:uid="{DE6E9E87-B4EA-0043-9A83-20D6C53FDAA7}" name="Real Develop Labor(Man/Hour)" dataDxfId="72" totalsRowDxfId="71">
      <calculatedColumnFormula>$U7*DE_Cost!$B$1*8</calculatedColumnFormula>
    </tableColumn>
    <tableColumn id="18" xr3:uid="{2390307B-1372-B245-9D8A-086422413316}" name="Real Develop Labor(Man/Day)" dataDxfId="70" totalsRowDxfId="69">
      <calculatedColumnFormula>$U7*DE_Cost!$B$1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D4048C-EC04-9546-A47F-9D30B34AFC9F}" name="BRD_EPIC4" displayName="BRD_EPIC4" ref="A6:U297" totalsRowShown="0" headerRowDxfId="68" headerRowBorderDxfId="67" tableBorderDxfId="66" totalsRowBorderDxfId="65" headerRowCellStyle="Normal 2">
  <autoFilter ref="A6:U297" xr:uid="{C6D4048C-EC04-9546-A47F-9D30B34AFC9F}">
    <filterColumn colId="15">
      <customFilters>
        <customFilter operator="notEqual" val=" "/>
      </customFilters>
    </filterColumn>
  </autoFilter>
  <tableColumns count="21">
    <tableColumn id="2" xr3:uid="{38F4D068-D86E-7548-90FE-A88CF8A6178D}" name="BRD Priority" dataDxfId="64" totalsRowDxfId="63"/>
    <tableColumn id="1" xr3:uid="{2FCA64DC-201F-3248-A066-6DD1C03B5354}" name="0. BRD Overview" dataDxfId="62" totalsRowDxfId="61"/>
    <tableColumn id="3" xr3:uid="{21C08CB2-BB40-BF40-BB1A-16C8F1BF12FE}" name="0.0 BRD Detailed Requirement" dataDxfId="60" totalsRowDxfId="59"/>
    <tableColumn id="4" xr3:uid="{351A8AD9-CA29-5B40-B0B4-909F5A593BCC}" name="0.0.0 EPIC Title" dataDxfId="58" totalsRowDxfId="57"/>
    <tableColumn id="5" xr3:uid="{91B0FDBF-211A-9A40-A378-1DBF155675AB}" name="0.0.0.0 EPIC Story" dataDxfId="56" totalsRowDxfId="55"/>
    <tableColumn id="6" xr3:uid="{E893114E-6201-344F-8274-87AB222395D0}" name="Description" dataDxfId="54" totalsRowDxfId="53"/>
    <tableColumn id="7" xr3:uid="{8D7A1AB1-EAAA-4148-87FE-46DCB122B952}" name="Dependencies" dataDxfId="52" totalsRowDxfId="51"/>
    <tableColumn id="11" xr3:uid="{3B59148E-F0D5-7040-A6B0-4F4CBE15A525}" name="EPIC Story(CN)" dataDxfId="50" totalsRowDxfId="49"/>
    <tableColumn id="13" xr3:uid="{2D61F417-193C-794F-ACC2-0C516F5D178C}" name="Description(CN)" dataDxfId="48" totalsRowDxfId="47"/>
    <tableColumn id="10" xr3:uid="{C5538BC8-E655-9A43-854A-83629D50D62F}" name="Comment" dataDxfId="46" totalsRowDxfId="45"/>
    <tableColumn id="9" xr3:uid="{5F22696B-11B1-9142-82FD-21B9A4B73B94}" name="Follow-up Group" dataDxfId="44" totalsRowDxfId="43"/>
    <tableColumn id="8" xr3:uid="{E0EF71E4-DBD5-3046-86BA-8D95F432A3AC}" name="Follow-up" dataDxfId="42" totalsRowDxfId="41"/>
    <tableColumn id="12" xr3:uid="{F20504F4-9C10-BE48-877A-6E37AD95FB32}" name="Follow-up with vendor" dataDxfId="40" totalsRowDxfId="39"/>
    <tableColumn id="14" xr3:uid="{6404F1B6-C38C-4442-8855-3EBAB43B4646}" name="Task Title" dataDxfId="38" totalsRowDxfId="37"/>
    <tableColumn id="15" xr3:uid="{FE58BE97-E9C0-5748-B67B-176FA12286C1}" name="Task Description" dataDxfId="36" totalsRowDxfId="35"/>
    <tableColumn id="21" xr3:uid="{54FFC147-392B-0941-87BE-D2DB4B885746}" name="system type" dataDxfId="34" totalsRowDxfId="33"/>
    <tableColumn id="19" xr3:uid="{AA4EB3EE-8306-C641-91E7-BF785A7E2BE8}" name="follw up PM" dataDxfId="32" totalsRowDxfId="31"/>
    <tableColumn id="20" xr3:uid="{6D01E86D-1AAA-4644-9A0E-173E02F752BC}" name="follow up" dataDxfId="30" totalsRowDxfId="29"/>
    <tableColumn id="16" xr3:uid="{5D6E6E1B-C54F-3E49-AABE-07479BC392B7}" name="Develop Labor(man/day)" dataDxfId="28" totalsRowDxfId="27"/>
    <tableColumn id="17" xr3:uid="{81A7A4E4-A84F-FD4A-A37C-4644FEBD8DF3}" name="Real Develop Labor(Man/Hour)" dataDxfId="26" totalsRowDxfId="25">
      <calculatedColumnFormula>$S7*DE_Cost!$B$1*8</calculatedColumnFormula>
    </tableColumn>
    <tableColumn id="18" xr3:uid="{111F906E-8B87-1C4E-88A6-B868A33E7D39}" name="Real Develop Labor(Man/Day)" dataDxfId="24" totalsRowDxfId="23">
      <calculatedColumnFormula>$S7*DE_Cost!$B$1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31" dT="2024-09-18T07:36:42.42" personId="{AE2FD5AD-39A4-3948-BA17-CA517E6A4DCC}" id="{78B826D7-3084-3A4B-A19E-B3F39258496A}">
    <text>Charlie‘s update is marked as blue font</text>
  </threadedComment>
</ThreadedComments>
</file>

<file path=xl/threadedComments/threadedComment2.xml><?xml version="1.0" encoding="utf-8"?>
<ThreadedComments xmlns="http://schemas.microsoft.com/office/spreadsheetml/2018/threadedcomments" xmlns:x="http://schemas.openxmlformats.org/spreadsheetml/2006/main">
  <threadedComment ref="O31" dT="2024-09-18T07:36:42.42" personId="{AE2FD5AD-39A4-3948-BA17-CA517E6A4DCC}" id="{81E49BF6-6DCB-294F-98AE-CCA66E155A7A}">
    <text>Charlie‘s update is marked as blue font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5D352B9-0CCB-484F-99C5-C7ABFD39574A}">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7F373-A0FA-664F-BA3F-4DE7D969C4E6}">
  <dimension ref="A1:AZ181"/>
  <sheetViews>
    <sheetView tabSelected="1" workbookViewId="0">
      <selection activeCell="C10" sqref="A1:C10"/>
    </sheetView>
  </sheetViews>
  <sheetFormatPr baseColWidth="10" defaultColWidth="8.75" defaultRowHeight="11"/>
  <cols>
    <col min="1" max="1" width="33.75" bestFit="1" customWidth="1"/>
    <col min="2" max="2" width="32.5" bestFit="1" customWidth="1"/>
    <col min="3" max="3" width="21.5" bestFit="1" customWidth="1"/>
    <col min="4" max="4" width="27" customWidth="1"/>
    <col min="5" max="5" width="24.25" customWidth="1"/>
    <col min="6" max="6" width="46.25" customWidth="1"/>
    <col min="7" max="7" width="11" customWidth="1"/>
    <col min="8" max="9" width="10.25" customWidth="1"/>
    <col min="10" max="10" width="13.5" bestFit="1" customWidth="1"/>
    <col min="11" max="11" width="15.25" bestFit="1" customWidth="1"/>
    <col min="12" max="12" width="13.75" customWidth="1"/>
    <col min="13" max="13" width="23.5" customWidth="1"/>
    <col min="14" max="14" width="15.75" customWidth="1"/>
    <col min="15" max="15" width="14.25" customWidth="1"/>
    <col min="16" max="16" width="11.5" customWidth="1"/>
    <col min="17" max="17" width="12.25" bestFit="1" customWidth="1"/>
    <col min="18" max="18" width="11.5" bestFit="1" customWidth="1"/>
    <col min="19" max="19" width="10.75" bestFit="1" customWidth="1"/>
  </cols>
  <sheetData>
    <row r="1" spans="1:14" ht="30.75" customHeight="1">
      <c r="A1" s="547" t="s">
        <v>2013</v>
      </c>
      <c r="B1" s="548">
        <v>1.2</v>
      </c>
      <c r="C1" s="548">
        <v>1.4</v>
      </c>
    </row>
    <row r="2" spans="1:14" ht="30.75" customHeight="1">
      <c r="A2" s="547" t="s">
        <v>2598</v>
      </c>
      <c r="B2" s="549">
        <v>0.18</v>
      </c>
      <c r="C2" s="549">
        <v>1.18</v>
      </c>
    </row>
    <row r="3" spans="1:14" ht="30.75" customHeight="1">
      <c r="A3" s="547" t="s">
        <v>2599</v>
      </c>
      <c r="B3" s="549">
        <v>0.15</v>
      </c>
      <c r="C3" s="549">
        <v>0.1</v>
      </c>
    </row>
    <row r="4" spans="1:14" ht="30.75" customHeight="1">
      <c r="A4" s="547" t="s">
        <v>2014</v>
      </c>
      <c r="B4" s="549">
        <v>1.5</v>
      </c>
      <c r="C4" s="549">
        <v>0.1</v>
      </c>
    </row>
    <row r="5" spans="1:14" ht="30.75" customHeight="1">
      <c r="A5" s="547" t="s">
        <v>2600</v>
      </c>
      <c r="B5" s="549">
        <v>1.2</v>
      </c>
      <c r="C5" s="549">
        <v>1.2</v>
      </c>
    </row>
    <row r="6" spans="1:14" ht="30.75" customHeight="1">
      <c r="A6" s="547" t="s">
        <v>2015</v>
      </c>
      <c r="B6" s="549">
        <v>1</v>
      </c>
      <c r="C6" s="549">
        <v>1.2</v>
      </c>
    </row>
    <row r="7" spans="1:14" ht="30.75" customHeight="1">
      <c r="A7" s="547" t="s">
        <v>2016</v>
      </c>
      <c r="B7" s="549">
        <v>1</v>
      </c>
      <c r="C7" s="549">
        <v>1</v>
      </c>
    </row>
    <row r="8" spans="1:14" ht="30.75" customHeight="1">
      <c r="A8" s="547" t="s">
        <v>2017</v>
      </c>
      <c r="B8" s="549">
        <v>0.15</v>
      </c>
      <c r="C8" s="549">
        <v>0.1</v>
      </c>
    </row>
    <row r="9" spans="1:14" ht="30.75" customHeight="1">
      <c r="A9" s="547" t="s">
        <v>2601</v>
      </c>
      <c r="B9" s="549">
        <v>0.12</v>
      </c>
      <c r="C9" s="549">
        <v>1.2</v>
      </c>
    </row>
    <row r="10" spans="1:14" ht="30.75" customHeight="1">
      <c r="A10" s="547" t="s">
        <v>2018</v>
      </c>
      <c r="B10" s="549">
        <v>0.5</v>
      </c>
      <c r="C10" s="549">
        <v>0.5</v>
      </c>
    </row>
    <row r="11" spans="1:14" ht="30.75" customHeight="1">
      <c r="A11" s="102" t="s">
        <v>2019</v>
      </c>
      <c r="B11" s="103" t="s">
        <v>2020</v>
      </c>
      <c r="C11" s="62" t="s">
        <v>2021</v>
      </c>
      <c r="D11" s="62" t="s">
        <v>2022</v>
      </c>
      <c r="F11" s="62" t="s">
        <v>2023</v>
      </c>
      <c r="G11" s="62" t="s">
        <v>2024</v>
      </c>
      <c r="H11" s="62" t="s">
        <v>2025</v>
      </c>
      <c r="I11" s="62" t="s">
        <v>2026</v>
      </c>
      <c r="J11" s="62" t="s">
        <v>2021</v>
      </c>
      <c r="K11" s="62" t="s">
        <v>2027</v>
      </c>
      <c r="L11" s="62" t="s">
        <v>2022</v>
      </c>
      <c r="M11" s="62"/>
      <c r="N11" s="62"/>
    </row>
    <row r="12" spans="1:14" ht="30.75" customHeight="1">
      <c r="A12" s="104" t="s">
        <v>40</v>
      </c>
      <c r="B12" s="104">
        <v>320</v>
      </c>
      <c r="C12" s="61">
        <f>B12*314</f>
        <v>100480</v>
      </c>
      <c r="D12" s="105">
        <f>C12/6.84</f>
        <v>14690.058479532165</v>
      </c>
      <c r="F12" s="61" t="s">
        <v>2028</v>
      </c>
      <c r="G12" s="106">
        <v>272</v>
      </c>
      <c r="H12" s="61">
        <f>G12*8</f>
        <v>2176</v>
      </c>
      <c r="I12" s="61">
        <v>314</v>
      </c>
      <c r="J12" s="107">
        <f>H12*I12</f>
        <v>683264</v>
      </c>
      <c r="K12" s="108">
        <v>6.84</v>
      </c>
      <c r="L12" s="109">
        <f>J12/K12</f>
        <v>99892.397660818722</v>
      </c>
      <c r="M12" s="61"/>
      <c r="N12" s="61"/>
    </row>
    <row r="13" spans="1:14" ht="30.75" customHeight="1">
      <c r="A13" s="104" t="s">
        <v>1320</v>
      </c>
      <c r="B13" s="104">
        <f>400+400</f>
        <v>800</v>
      </c>
      <c r="C13" s="61">
        <f t="shared" ref="C13:C17" si="0">B13*314</f>
        <v>251200</v>
      </c>
      <c r="D13" s="105">
        <f t="shared" ref="D13:D17" si="1">C13/6.84</f>
        <v>36725.146198830407</v>
      </c>
      <c r="F13" s="61" t="s">
        <v>2028</v>
      </c>
      <c r="G13" s="106">
        <v>272</v>
      </c>
      <c r="H13" s="61">
        <f t="shared" ref="H13:H19" si="2">G13*8</f>
        <v>2176</v>
      </c>
      <c r="I13" s="61">
        <v>314</v>
      </c>
      <c r="J13" s="107">
        <f t="shared" ref="J13:J18" si="3">H13*I13</f>
        <v>683264</v>
      </c>
      <c r="K13" s="108">
        <v>6.84</v>
      </c>
      <c r="L13" s="109">
        <f t="shared" ref="L13:L18" si="4">J13/K13</f>
        <v>99892.397660818722</v>
      </c>
      <c r="M13" s="61"/>
      <c r="N13" s="61"/>
    </row>
    <row r="14" spans="1:14" ht="30.75" customHeight="1">
      <c r="A14" s="104" t="s">
        <v>2029</v>
      </c>
      <c r="B14" s="104">
        <f>480+480</f>
        <v>960</v>
      </c>
      <c r="C14" s="61">
        <f t="shared" si="0"/>
        <v>301440</v>
      </c>
      <c r="D14" s="105">
        <f t="shared" si="1"/>
        <v>44070.175438596489</v>
      </c>
      <c r="F14" s="61" t="s">
        <v>2030</v>
      </c>
      <c r="G14" s="106">
        <v>272</v>
      </c>
      <c r="H14" s="61">
        <f t="shared" si="2"/>
        <v>2176</v>
      </c>
      <c r="I14" s="61">
        <v>314</v>
      </c>
      <c r="J14" s="107">
        <f t="shared" si="3"/>
        <v>683264</v>
      </c>
      <c r="K14" s="108">
        <v>6.84</v>
      </c>
      <c r="L14" s="109">
        <f t="shared" si="4"/>
        <v>99892.397660818722</v>
      </c>
      <c r="M14" s="61"/>
      <c r="N14" s="61"/>
    </row>
    <row r="15" spans="1:14" ht="30.75" customHeight="1">
      <c r="A15" s="104" t="s">
        <v>1250</v>
      </c>
      <c r="B15" s="104">
        <f>400+320</f>
        <v>720</v>
      </c>
      <c r="C15" s="61">
        <f t="shared" si="0"/>
        <v>226080</v>
      </c>
      <c r="D15" s="105">
        <f t="shared" si="1"/>
        <v>33052.631578947367</v>
      </c>
      <c r="F15" s="61" t="s">
        <v>2030</v>
      </c>
      <c r="G15" s="106">
        <v>272</v>
      </c>
      <c r="H15" s="61">
        <f t="shared" si="2"/>
        <v>2176</v>
      </c>
      <c r="I15" s="61">
        <v>314</v>
      </c>
      <c r="J15" s="107">
        <f t="shared" si="3"/>
        <v>683264</v>
      </c>
      <c r="K15" s="108">
        <v>6.84</v>
      </c>
      <c r="L15" s="109">
        <f t="shared" si="4"/>
        <v>99892.397660818722</v>
      </c>
      <c r="M15" s="61"/>
      <c r="N15" s="61"/>
    </row>
    <row r="16" spans="1:14" ht="30.75" customHeight="1">
      <c r="A16" s="104" t="s">
        <v>2031</v>
      </c>
      <c r="B16" s="104">
        <f>440 + 16 + 160 + 264 + 480 + 16</f>
        <v>1376</v>
      </c>
      <c r="C16" s="61">
        <f t="shared" si="0"/>
        <v>432064</v>
      </c>
      <c r="D16" s="105">
        <f t="shared" si="1"/>
        <v>63167.251461988308</v>
      </c>
      <c r="F16" s="61" t="s">
        <v>2032</v>
      </c>
      <c r="G16" s="106">
        <v>272</v>
      </c>
      <c r="H16" s="61">
        <f t="shared" si="2"/>
        <v>2176</v>
      </c>
      <c r="I16" s="61">
        <v>266</v>
      </c>
      <c r="J16" s="107">
        <f t="shared" si="3"/>
        <v>578816</v>
      </c>
      <c r="K16" s="108">
        <v>6.84</v>
      </c>
      <c r="L16" s="109">
        <f t="shared" si="4"/>
        <v>84622.222222222219</v>
      </c>
      <c r="M16" s="61"/>
      <c r="N16" s="61"/>
    </row>
    <row r="17" spans="1:14" ht="19">
      <c r="A17" s="110" t="s">
        <v>2033</v>
      </c>
      <c r="B17" s="110">
        <f>SUM(B10:B16)</f>
        <v>4176.5</v>
      </c>
      <c r="C17" s="61">
        <f t="shared" si="0"/>
        <v>1311421</v>
      </c>
      <c r="D17" s="105">
        <f t="shared" si="1"/>
        <v>191728.21637426902</v>
      </c>
      <c r="F17" s="61" t="s">
        <v>2032</v>
      </c>
      <c r="G17" s="106">
        <v>272</v>
      </c>
      <c r="H17" s="61">
        <f t="shared" si="2"/>
        <v>2176</v>
      </c>
      <c r="I17" s="61">
        <v>266</v>
      </c>
      <c r="J17" s="107">
        <f t="shared" si="3"/>
        <v>578816</v>
      </c>
      <c r="K17" s="108">
        <v>6.84</v>
      </c>
      <c r="L17" s="109">
        <f t="shared" si="4"/>
        <v>84622.222222222219</v>
      </c>
      <c r="M17" s="61"/>
      <c r="N17" s="61"/>
    </row>
    <row r="18" spans="1:14" ht="19">
      <c r="A18" s="110"/>
      <c r="B18" s="110"/>
      <c r="C18" s="61"/>
      <c r="D18" s="105"/>
      <c r="F18" s="61" t="s">
        <v>2032</v>
      </c>
      <c r="G18" s="106">
        <v>272</v>
      </c>
      <c r="H18" s="61">
        <f t="shared" si="2"/>
        <v>2176</v>
      </c>
      <c r="I18" s="61">
        <v>266</v>
      </c>
      <c r="J18" s="107">
        <f t="shared" si="3"/>
        <v>578816</v>
      </c>
      <c r="K18" s="108">
        <v>6.84</v>
      </c>
      <c r="L18" s="109">
        <f t="shared" si="4"/>
        <v>84622.222222222219</v>
      </c>
      <c r="M18" s="61"/>
      <c r="N18" s="61"/>
    </row>
    <row r="19" spans="1:14" ht="19">
      <c r="A19" s="111"/>
      <c r="B19" s="111"/>
      <c r="C19" s="10"/>
      <c r="D19" s="112"/>
      <c r="F19" s="61" t="s">
        <v>2033</v>
      </c>
      <c r="G19" s="106">
        <f>SUM(G12:G18)</f>
        <v>1904</v>
      </c>
      <c r="H19" s="61">
        <f t="shared" si="2"/>
        <v>15232</v>
      </c>
      <c r="I19" s="61"/>
      <c r="J19" s="107">
        <f>SUM(J12:J18)</f>
        <v>4469504</v>
      </c>
      <c r="K19" s="108">
        <v>6.84</v>
      </c>
      <c r="L19" s="109">
        <f>SUM(L12:L18)</f>
        <v>653436.25730994157</v>
      </c>
      <c r="M19" s="61"/>
      <c r="N19" s="22"/>
    </row>
    <row r="20" spans="1:14" ht="19">
      <c r="A20" s="111"/>
      <c r="B20" s="111"/>
      <c r="C20" s="10"/>
      <c r="D20" s="112"/>
      <c r="F20" s="10"/>
      <c r="G20" s="10"/>
      <c r="H20" s="10"/>
      <c r="I20" s="10"/>
      <c r="J20" s="10"/>
      <c r="K20" s="10"/>
      <c r="L20" s="10"/>
    </row>
    <row r="21" spans="1:14" ht="19">
      <c r="A21" s="111"/>
      <c r="B21" s="111"/>
      <c r="C21" s="10"/>
      <c r="D21" s="112"/>
      <c r="F21" s="113"/>
      <c r="G21" s="113"/>
      <c r="H21" s="113"/>
      <c r="I21" s="113" t="s">
        <v>2026</v>
      </c>
      <c r="J21" s="113"/>
      <c r="K21" s="113" t="s">
        <v>2027</v>
      </c>
      <c r="L21" s="113" t="s">
        <v>2022</v>
      </c>
      <c r="M21" s="113" t="s">
        <v>2034</v>
      </c>
    </row>
    <row r="22" spans="1:14" ht="19">
      <c r="A22" s="111"/>
      <c r="B22" s="111"/>
      <c r="C22" s="10"/>
      <c r="D22" s="112"/>
      <c r="F22" s="113" t="s">
        <v>2035</v>
      </c>
      <c r="G22" s="113"/>
      <c r="H22" s="113"/>
      <c r="I22" s="113">
        <f>SUM(I12:I18)</f>
        <v>2054</v>
      </c>
      <c r="J22" s="113"/>
      <c r="K22" s="114">
        <v>6.84</v>
      </c>
      <c r="L22" s="114">
        <f>I22/K22</f>
        <v>300.29239766081872</v>
      </c>
      <c r="M22" s="115">
        <f>I22/K22*8*21.75</f>
        <v>52250.877192982458</v>
      </c>
    </row>
    <row r="23" spans="1:14" ht="19">
      <c r="A23" s="111"/>
      <c r="B23" s="111"/>
      <c r="C23" s="10"/>
      <c r="D23" s="112"/>
      <c r="F23" s="116"/>
      <c r="G23" s="116"/>
      <c r="H23" s="116"/>
      <c r="I23" s="116"/>
      <c r="J23" s="116"/>
      <c r="K23" s="117"/>
      <c r="L23" s="117"/>
      <c r="M23" s="118"/>
    </row>
    <row r="24" spans="1:14" ht="19">
      <c r="B24" s="111"/>
      <c r="C24" s="10"/>
      <c r="F24" s="119" t="s">
        <v>2036</v>
      </c>
      <c r="G24" s="113"/>
      <c r="H24" s="113"/>
      <c r="I24" s="113"/>
      <c r="J24" s="113"/>
      <c r="K24" s="113"/>
      <c r="L24" s="120">
        <f>F80</f>
        <v>450720</v>
      </c>
      <c r="M24" s="121"/>
    </row>
    <row r="25" spans="1:14" ht="19">
      <c r="B25" s="111"/>
      <c r="F25" s="119" t="s">
        <v>2037</v>
      </c>
      <c r="G25" s="113"/>
      <c r="H25" s="113"/>
      <c r="I25" s="113"/>
      <c r="J25" s="113"/>
      <c r="K25" s="113"/>
      <c r="L25" s="120">
        <f>GETPIVOTDATA("Sum of Amount
USD",$A$89,"CAPEX/
OTE","CAPEX","Asset","Tmall Gift Card","Team","Digital Engineering")-L26</f>
        <v>724294.81187169673</v>
      </c>
      <c r="M25" s="113"/>
    </row>
    <row r="26" spans="1:14" ht="19">
      <c r="B26" s="111"/>
      <c r="F26" s="119" t="s">
        <v>2038</v>
      </c>
      <c r="G26" s="113"/>
      <c r="H26" s="113"/>
      <c r="I26" s="113"/>
      <c r="J26" s="113"/>
      <c r="K26" s="113"/>
      <c r="L26" s="120">
        <f>GETPIVOTDATA("Sum of Amount
USD",$A$89,"CAPEX/
OTE","CAPEX","Vendor/SHDR","SHDR","Asset","Tmall Gift Card","Team","Digital Engineering","Role list","Delivery Manager")</f>
        <v>84911.117635412316</v>
      </c>
      <c r="M26" s="113"/>
    </row>
    <row r="27" spans="1:14" ht="19">
      <c r="B27" s="111"/>
      <c r="F27" s="119" t="s">
        <v>2039</v>
      </c>
      <c r="G27" s="113"/>
      <c r="H27" s="113"/>
      <c r="I27" s="113"/>
      <c r="J27" s="113"/>
      <c r="K27" s="113"/>
      <c r="L27" s="120">
        <f>GETPIVOTDATA("Sum of Amount
USD",$A$89,"CAPEX/
OTE","OTE","Asset","Tmall Gift Card","Team","Digital Engineering")</f>
        <v>68565.727490595484</v>
      </c>
      <c r="M27" s="113"/>
    </row>
    <row r="28" spans="1:14" ht="19">
      <c r="B28" s="111"/>
      <c r="F28" s="119" t="s">
        <v>2040</v>
      </c>
      <c r="G28" s="113" t="s">
        <v>2041</v>
      </c>
      <c r="H28" s="113"/>
      <c r="I28" s="113"/>
      <c r="J28" s="113"/>
      <c r="K28" s="113"/>
      <c r="L28" s="120">
        <f>GETPIVOTDATA("Sum of Amount
USD",$A$89,"CAPEX/
OTE","CAPEX","Asset","Ticketing Commerce","Team","Digital Engineering") +GETPIVOTDATA("Sum of Amount
USD",$A$89,"CAPEX/
OTE","CAPEX","Asset","Shopping Cart","Team","Digital Engineering")</f>
        <v>71402.004948687361</v>
      </c>
      <c r="M28" s="113"/>
    </row>
    <row r="29" spans="1:14" ht="19">
      <c r="B29" s="111"/>
      <c r="F29" s="119" t="s">
        <v>2042</v>
      </c>
      <c r="G29" s="113" t="s">
        <v>2041</v>
      </c>
      <c r="H29" s="113"/>
      <c r="I29" s="113"/>
      <c r="J29" s="113"/>
      <c r="K29" s="113"/>
      <c r="L29" s="120">
        <f>GETPIVOTDATA("Sum of Amount
USD",$A$89,"CAPEX/
OTE","OTE","Asset","Ticketing Commerce","Team","Digital Engineering") +GETPIVOTDATA("Sum of Amount
USD",$A$89,"CAPEX/
OTE","OTE","Asset","Shopping Cart","Team","Digital Engineering")</f>
        <v>21510.816467637786</v>
      </c>
      <c r="M29" s="113"/>
    </row>
    <row r="30" spans="1:14" ht="21">
      <c r="B30" s="111"/>
      <c r="F30" s="122" t="s">
        <v>2043</v>
      </c>
      <c r="G30" s="113"/>
      <c r="H30" s="113"/>
      <c r="I30" s="113"/>
      <c r="J30" s="113"/>
      <c r="K30" s="113"/>
      <c r="L30" s="120">
        <f>L25+L26+L27-L24-L28-L29</f>
        <v>334138.83558137948</v>
      </c>
      <c r="M30" s="123">
        <f>L30/M22</f>
        <v>6.3948942779903399</v>
      </c>
    </row>
    <row r="31" spans="1:14" ht="21">
      <c r="B31" s="111"/>
      <c r="F31" s="122" t="s">
        <v>2044</v>
      </c>
      <c r="G31" s="113"/>
      <c r="H31" s="113"/>
      <c r="I31" s="113"/>
      <c r="J31" s="113"/>
      <c r="K31" s="113"/>
      <c r="L31" s="120">
        <f>L25+L26+L27-L24</f>
        <v>427051.65699770465</v>
      </c>
      <c r="M31" s="123">
        <f>L31/M22</f>
        <v>8.1731002413689566</v>
      </c>
    </row>
    <row r="32" spans="1:14" ht="21">
      <c r="B32" s="111"/>
      <c r="F32" s="122" t="s">
        <v>2045</v>
      </c>
      <c r="G32" s="113"/>
      <c r="H32" s="113"/>
      <c r="I32" s="113"/>
      <c r="J32" s="113"/>
      <c r="K32" s="113"/>
      <c r="L32" s="120">
        <f>L25+L26-L24-L28-L29</f>
        <v>265573.10809078394</v>
      </c>
      <c r="M32" s="123">
        <f>L32/M22</f>
        <v>5.0826535812962712</v>
      </c>
    </row>
    <row r="33" spans="1:52" ht="19">
      <c r="A33" s="124"/>
      <c r="B33" s="124"/>
      <c r="D33" s="125"/>
    </row>
    <row r="34" spans="1:52" ht="46" customHeight="1">
      <c r="A34" s="126" t="s">
        <v>2046</v>
      </c>
      <c r="B34" s="126" t="s">
        <v>9</v>
      </c>
      <c r="C34" s="126" t="s">
        <v>2047</v>
      </c>
      <c r="D34" s="126" t="s">
        <v>2048</v>
      </c>
      <c r="E34" s="127" t="s">
        <v>2049</v>
      </c>
      <c r="F34" s="127" t="s">
        <v>2050</v>
      </c>
      <c r="G34" s="127" t="s">
        <v>2051</v>
      </c>
      <c r="H34" s="127" t="s">
        <v>2052</v>
      </c>
      <c r="I34" s="128" t="s">
        <v>2053</v>
      </c>
      <c r="J34" s="129" t="s">
        <v>2054</v>
      </c>
      <c r="K34" s="127" t="s">
        <v>2055</v>
      </c>
      <c r="L34" s="127" t="s">
        <v>2056</v>
      </c>
      <c r="M34" s="127" t="s">
        <v>2057</v>
      </c>
      <c r="N34" s="127" t="s">
        <v>2058</v>
      </c>
      <c r="O34" s="130" t="s">
        <v>2059</v>
      </c>
      <c r="P34" s="130" t="s">
        <v>2060</v>
      </c>
      <c r="Q34" s="130" t="s">
        <v>2061</v>
      </c>
      <c r="R34" s="127" t="s">
        <v>2062</v>
      </c>
      <c r="S34" s="131" t="s">
        <v>2063</v>
      </c>
      <c r="T34" s="131" t="s">
        <v>2064</v>
      </c>
      <c r="U34" s="131" t="s">
        <v>2065</v>
      </c>
      <c r="V34" s="127" t="s">
        <v>2066</v>
      </c>
    </row>
    <row r="35" spans="1:52" ht="20" customHeight="1">
      <c r="A35" s="132" t="s">
        <v>2067</v>
      </c>
      <c r="B35" s="133">
        <v>5</v>
      </c>
      <c r="C35" s="133" t="s">
        <v>2068</v>
      </c>
      <c r="D35" s="134" t="s">
        <v>2069</v>
      </c>
      <c r="E35" s="135" t="s">
        <v>2070</v>
      </c>
      <c r="F35" s="136" t="s">
        <v>2071</v>
      </c>
      <c r="G35" s="137" t="s">
        <v>2072</v>
      </c>
      <c r="H35" s="137" t="s">
        <v>2073</v>
      </c>
      <c r="I35" s="137" t="s">
        <v>2074</v>
      </c>
      <c r="J35" s="137" t="s">
        <v>2075</v>
      </c>
      <c r="K35" s="137" t="s">
        <v>2076</v>
      </c>
      <c r="L35" s="136" t="s">
        <v>2077</v>
      </c>
      <c r="M35" s="136" t="s">
        <v>2078</v>
      </c>
      <c r="N35" s="136" t="e" cm="1">
        <f t="array" aca="1" ref="N35" ca="1">Contractor(I35,J35)</f>
        <v>#NAME?</v>
      </c>
      <c r="O35" s="136"/>
      <c r="P35" s="136" t="s">
        <v>2079</v>
      </c>
      <c r="Q35" s="136"/>
      <c r="R35" s="138">
        <v>44</v>
      </c>
      <c r="S35" s="139">
        <v>0</v>
      </c>
      <c r="T35" s="140">
        <f>S35*R35</f>
        <v>0</v>
      </c>
      <c r="U35" s="140">
        <v>0</v>
      </c>
      <c r="V35" s="136"/>
    </row>
    <row r="36" spans="1:52" ht="20" customHeight="1">
      <c r="A36" s="132" t="s">
        <v>2067</v>
      </c>
      <c r="B36" s="133">
        <v>5</v>
      </c>
      <c r="C36" s="133" t="s">
        <v>2068</v>
      </c>
      <c r="D36" s="134" t="s">
        <v>2069</v>
      </c>
      <c r="E36" s="135" t="s">
        <v>2070</v>
      </c>
      <c r="F36" s="136" t="s">
        <v>2080</v>
      </c>
      <c r="G36" s="137" t="s">
        <v>2081</v>
      </c>
      <c r="H36" s="137" t="s">
        <v>2073</v>
      </c>
      <c r="I36" s="137" t="s">
        <v>2074</v>
      </c>
      <c r="J36" s="137" t="s">
        <v>2075</v>
      </c>
      <c r="K36" s="137" t="s">
        <v>2076</v>
      </c>
      <c r="L36" s="136" t="s">
        <v>2082</v>
      </c>
      <c r="M36" s="136" t="s">
        <v>2078</v>
      </c>
      <c r="N36" s="136" t="e" cm="1">
        <f t="array" aca="1" ref="N36" ca="1">Contractor(I36,J36)</f>
        <v>#NAME?</v>
      </c>
      <c r="O36" s="136"/>
      <c r="P36" s="136" t="s">
        <v>2079</v>
      </c>
      <c r="Q36" s="136"/>
      <c r="R36" s="138">
        <v>36</v>
      </c>
      <c r="S36" s="139">
        <v>483.99337052185018</v>
      </c>
      <c r="T36" s="140">
        <f t="shared" ref="T36" si="5">S36*R36</f>
        <v>17423.761338786608</v>
      </c>
      <c r="U36" s="140">
        <v>2547.3335290623695</v>
      </c>
      <c r="V36" s="136"/>
    </row>
    <row r="37" spans="1:52" ht="20" customHeight="1">
      <c r="A37" s="132" t="s">
        <v>2067</v>
      </c>
      <c r="B37" s="133">
        <v>5</v>
      </c>
      <c r="C37" s="133" t="s">
        <v>2068</v>
      </c>
      <c r="D37" s="134" t="s">
        <v>2069</v>
      </c>
      <c r="E37" s="135" t="s">
        <v>2070</v>
      </c>
      <c r="F37" s="136" t="s">
        <v>2083</v>
      </c>
      <c r="G37" s="137" t="s">
        <v>2072</v>
      </c>
      <c r="H37" s="137" t="s">
        <v>2073</v>
      </c>
      <c r="I37" s="137" t="s">
        <v>2084</v>
      </c>
      <c r="J37" s="137" t="s">
        <v>2075</v>
      </c>
      <c r="K37" s="137" t="s">
        <v>2076</v>
      </c>
      <c r="L37" s="136" t="s">
        <v>2082</v>
      </c>
      <c r="M37" s="136" t="s">
        <v>2085</v>
      </c>
      <c r="N37" s="136" t="e" cm="1">
        <f t="array" aca="1" ref="N37" ca="1">Contractor(I37,J37)</f>
        <v>#NAME?</v>
      </c>
      <c r="O37" s="136" t="s">
        <v>2086</v>
      </c>
      <c r="P37" s="136" t="s">
        <v>2087</v>
      </c>
      <c r="Q37" s="136"/>
      <c r="R37" s="138">
        <v>240</v>
      </c>
      <c r="S37" s="139">
        <v>383.99994215554108</v>
      </c>
      <c r="T37" s="140">
        <f>S37*R37</f>
        <v>92159.986117329856</v>
      </c>
      <c r="U37" s="140">
        <v>13473.682180896178</v>
      </c>
      <c r="V37" s="136"/>
    </row>
    <row r="38" spans="1:52" ht="20" customHeight="1">
      <c r="A38" s="132" t="s">
        <v>2067</v>
      </c>
      <c r="B38" s="133">
        <v>5</v>
      </c>
      <c r="C38" s="133" t="s">
        <v>2068</v>
      </c>
      <c r="D38" s="134" t="s">
        <v>2069</v>
      </c>
      <c r="E38" s="135" t="s">
        <v>2070</v>
      </c>
      <c r="F38" s="136" t="s">
        <v>2088</v>
      </c>
      <c r="G38" s="137" t="s">
        <v>2072</v>
      </c>
      <c r="H38" s="137" t="s">
        <v>2073</v>
      </c>
      <c r="I38" s="137" t="s">
        <v>2084</v>
      </c>
      <c r="J38" s="137" t="s">
        <v>2075</v>
      </c>
      <c r="K38" s="137" t="s">
        <v>2076</v>
      </c>
      <c r="L38" s="136" t="s">
        <v>2082</v>
      </c>
      <c r="M38" s="136" t="s">
        <v>2089</v>
      </c>
      <c r="N38" s="136" t="e" cm="1">
        <f t="array" aca="1" ref="N38" ca="1">Contractor(I38,J38)</f>
        <v>#NAME?</v>
      </c>
      <c r="O38" s="136" t="s">
        <v>2086</v>
      </c>
      <c r="P38" s="136" t="s">
        <v>2087</v>
      </c>
      <c r="Q38" s="136"/>
      <c r="R38" s="138">
        <v>240</v>
      </c>
      <c r="S38" s="139">
        <v>0</v>
      </c>
      <c r="T38" s="140">
        <f>S38*R38</f>
        <v>0</v>
      </c>
      <c r="U38" s="140">
        <v>0</v>
      </c>
      <c r="V38" s="136"/>
    </row>
    <row r="39" spans="1:52" ht="20" customHeight="1">
      <c r="A39" s="132" t="s">
        <v>2067</v>
      </c>
      <c r="B39" s="133">
        <v>5</v>
      </c>
      <c r="C39" s="133" t="s">
        <v>2068</v>
      </c>
      <c r="D39" s="134" t="s">
        <v>2069</v>
      </c>
      <c r="E39" s="135" t="s">
        <v>2070</v>
      </c>
      <c r="F39" s="136" t="s">
        <v>2090</v>
      </c>
      <c r="G39" s="137" t="s">
        <v>2072</v>
      </c>
      <c r="H39" s="137" t="s">
        <v>2073</v>
      </c>
      <c r="I39" s="137" t="s">
        <v>2084</v>
      </c>
      <c r="J39" s="137" t="s">
        <v>2075</v>
      </c>
      <c r="K39" s="137" t="s">
        <v>2076</v>
      </c>
      <c r="L39" s="136" t="s">
        <v>2082</v>
      </c>
      <c r="M39" s="136" t="s">
        <v>2091</v>
      </c>
      <c r="N39" s="136" t="e" cm="1">
        <f t="array" aca="1" ref="N39" ca="1">Contractor(I39,J39)</f>
        <v>#NAME?</v>
      </c>
      <c r="O39" s="136" t="s">
        <v>2086</v>
      </c>
      <c r="P39" s="136" t="s">
        <v>2087</v>
      </c>
      <c r="Q39" s="136"/>
      <c r="R39" s="138">
        <v>240</v>
      </c>
      <c r="S39" s="139">
        <v>0</v>
      </c>
      <c r="T39" s="140">
        <f>S39*R39</f>
        <v>0</v>
      </c>
      <c r="U39" s="140">
        <v>0</v>
      </c>
      <c r="V39" s="136"/>
    </row>
    <row r="42" spans="1:52" ht="13">
      <c r="A42" s="493" t="s">
        <v>2092</v>
      </c>
      <c r="B42" s="493" t="s">
        <v>2093</v>
      </c>
      <c r="C42" s="526" t="s">
        <v>2094</v>
      </c>
      <c r="D42" s="526" t="s">
        <v>2095</v>
      </c>
      <c r="E42" s="527" t="s">
        <v>2096</v>
      </c>
      <c r="F42" s="524" t="s">
        <v>2097</v>
      </c>
      <c r="G42" s="141" t="s">
        <v>2098</v>
      </c>
      <c r="H42" s="141" t="s">
        <v>2099</v>
      </c>
      <c r="I42" s="141" t="s">
        <v>2100</v>
      </c>
      <c r="J42" s="141" t="s">
        <v>2101</v>
      </c>
      <c r="K42" s="141" t="s">
        <v>2102</v>
      </c>
      <c r="L42" s="141" t="s">
        <v>2103</v>
      </c>
      <c r="M42" s="141" t="s">
        <v>2104</v>
      </c>
      <c r="N42" s="141" t="s">
        <v>2105</v>
      </c>
      <c r="O42" s="141" t="s">
        <v>2106</v>
      </c>
      <c r="P42" s="142" t="s">
        <v>2107</v>
      </c>
      <c r="Q42" s="141" t="s">
        <v>2108</v>
      </c>
      <c r="R42" s="141" t="s">
        <v>2109</v>
      </c>
      <c r="S42" s="141" t="s">
        <v>2110</v>
      </c>
      <c r="T42" s="141" t="s">
        <v>2111</v>
      </c>
      <c r="U42" s="141" t="s">
        <v>2112</v>
      </c>
      <c r="V42" s="141" t="s">
        <v>2113</v>
      </c>
      <c r="W42" s="141" t="s">
        <v>2114</v>
      </c>
      <c r="X42" s="141" t="s">
        <v>2115</v>
      </c>
      <c r="Y42" s="141" t="s">
        <v>2116</v>
      </c>
      <c r="Z42" s="141" t="s">
        <v>2117</v>
      </c>
      <c r="AA42" s="141" t="s">
        <v>2118</v>
      </c>
      <c r="AB42" s="141" t="s">
        <v>2119</v>
      </c>
      <c r="AC42" s="141" t="s">
        <v>2120</v>
      </c>
      <c r="AD42" s="141" t="s">
        <v>2121</v>
      </c>
      <c r="AE42" s="141" t="s">
        <v>2122</v>
      </c>
      <c r="AF42" s="141" t="s">
        <v>2123</v>
      </c>
      <c r="AG42" s="141" t="s">
        <v>2124</v>
      </c>
      <c r="AH42" s="141" t="s">
        <v>2125</v>
      </c>
      <c r="AI42" s="141" t="s">
        <v>2118</v>
      </c>
      <c r="AJ42" s="141" t="s">
        <v>2119</v>
      </c>
      <c r="AK42" s="141" t="s">
        <v>2120</v>
      </c>
      <c r="AL42" s="142" t="s">
        <v>2121</v>
      </c>
      <c r="AM42" s="141" t="s">
        <v>2122</v>
      </c>
      <c r="AN42" s="141" t="s">
        <v>2123</v>
      </c>
      <c r="AO42" s="141" t="s">
        <v>2124</v>
      </c>
    </row>
    <row r="43" spans="1:52" s="22" customFormat="1" ht="54">
      <c r="A43" s="525"/>
      <c r="B43" s="525"/>
      <c r="C43" s="525"/>
      <c r="D43" s="525"/>
      <c r="E43" s="525"/>
      <c r="F43" s="525"/>
      <c r="G43" s="143">
        <v>45689</v>
      </c>
      <c r="H43" s="143">
        <f t="shared" ref="H43:AZ43" si="6">G43+7</f>
        <v>45696</v>
      </c>
      <c r="I43" s="143">
        <f t="shared" si="6"/>
        <v>45703</v>
      </c>
      <c r="J43" s="143">
        <f t="shared" si="6"/>
        <v>45710</v>
      </c>
      <c r="K43" s="143">
        <f t="shared" si="6"/>
        <v>45717</v>
      </c>
      <c r="L43" s="143">
        <f t="shared" si="6"/>
        <v>45724</v>
      </c>
      <c r="M43" s="143">
        <f t="shared" si="6"/>
        <v>45731</v>
      </c>
      <c r="N43" s="143">
        <f t="shared" si="6"/>
        <v>45738</v>
      </c>
      <c r="O43" s="143">
        <f t="shared" si="6"/>
        <v>45745</v>
      </c>
      <c r="P43" s="144">
        <f>O43+7</f>
        <v>45752</v>
      </c>
      <c r="Q43" s="143">
        <f t="shared" si="6"/>
        <v>45759</v>
      </c>
      <c r="R43" s="143">
        <f t="shared" si="6"/>
        <v>45766</v>
      </c>
      <c r="S43" s="143">
        <f t="shared" si="6"/>
        <v>45773</v>
      </c>
      <c r="T43" s="143">
        <f t="shared" si="6"/>
        <v>45780</v>
      </c>
      <c r="U43" s="143">
        <f t="shared" si="6"/>
        <v>45787</v>
      </c>
      <c r="V43" s="143">
        <f t="shared" si="6"/>
        <v>45794</v>
      </c>
      <c r="W43" s="143">
        <f t="shared" si="6"/>
        <v>45801</v>
      </c>
      <c r="X43" s="143">
        <f t="shared" si="6"/>
        <v>45808</v>
      </c>
      <c r="Y43" s="143">
        <f t="shared" si="6"/>
        <v>45815</v>
      </c>
      <c r="Z43" s="143">
        <f t="shared" si="6"/>
        <v>45822</v>
      </c>
      <c r="AA43" s="143">
        <f t="shared" si="6"/>
        <v>45829</v>
      </c>
      <c r="AB43" s="143">
        <f t="shared" si="6"/>
        <v>45836</v>
      </c>
      <c r="AC43" s="143">
        <f t="shared" si="6"/>
        <v>45843</v>
      </c>
      <c r="AD43" s="143">
        <f t="shared" si="6"/>
        <v>45850</v>
      </c>
      <c r="AE43" s="143">
        <f t="shared" si="6"/>
        <v>45857</v>
      </c>
      <c r="AF43" s="143">
        <f t="shared" si="6"/>
        <v>45864</v>
      </c>
      <c r="AG43" s="143">
        <f t="shared" si="6"/>
        <v>45871</v>
      </c>
      <c r="AH43" s="143">
        <f t="shared" si="6"/>
        <v>45878</v>
      </c>
      <c r="AI43" s="143">
        <f t="shared" si="6"/>
        <v>45885</v>
      </c>
      <c r="AJ43" s="143">
        <f t="shared" si="6"/>
        <v>45892</v>
      </c>
      <c r="AK43" s="143">
        <f t="shared" si="6"/>
        <v>45899</v>
      </c>
      <c r="AL43" s="144">
        <f>AK43+7</f>
        <v>45906</v>
      </c>
      <c r="AM43" s="143">
        <f t="shared" si="6"/>
        <v>45913</v>
      </c>
      <c r="AN43" s="143">
        <f t="shared" si="6"/>
        <v>45920</v>
      </c>
      <c r="AO43" s="143">
        <f t="shared" si="6"/>
        <v>45927</v>
      </c>
      <c r="AP43" s="143">
        <f t="shared" si="6"/>
        <v>45934</v>
      </c>
      <c r="AQ43" s="143">
        <f t="shared" si="6"/>
        <v>45941</v>
      </c>
      <c r="AR43" s="143">
        <f t="shared" si="6"/>
        <v>45948</v>
      </c>
      <c r="AS43" s="143">
        <f t="shared" si="6"/>
        <v>45955</v>
      </c>
      <c r="AT43" s="143">
        <f t="shared" si="6"/>
        <v>45962</v>
      </c>
      <c r="AU43" s="143">
        <f t="shared" si="6"/>
        <v>45969</v>
      </c>
      <c r="AV43" s="143">
        <f t="shared" si="6"/>
        <v>45976</v>
      </c>
      <c r="AW43" s="143">
        <f t="shared" si="6"/>
        <v>45983</v>
      </c>
      <c r="AX43" s="143">
        <f t="shared" si="6"/>
        <v>45990</v>
      </c>
      <c r="AY43" s="143">
        <f t="shared" si="6"/>
        <v>45997</v>
      </c>
      <c r="AZ43" s="143">
        <f t="shared" si="6"/>
        <v>46004</v>
      </c>
    </row>
    <row r="44" spans="1:52" ht="15">
      <c r="A44" s="494"/>
      <c r="B44" s="494"/>
      <c r="C44" s="494"/>
      <c r="D44" s="494"/>
      <c r="E44" s="494"/>
      <c r="F44" s="494"/>
      <c r="G44" s="513" t="s">
        <v>2126</v>
      </c>
      <c r="H44" s="492"/>
      <c r="I44" s="513" t="s">
        <v>2127</v>
      </c>
      <c r="J44" s="492"/>
      <c r="K44" s="513" t="s">
        <v>2128</v>
      </c>
      <c r="L44" s="492"/>
      <c r="M44" s="513" t="s">
        <v>2129</v>
      </c>
      <c r="N44" s="492"/>
      <c r="O44" s="513" t="s">
        <v>2130</v>
      </c>
      <c r="P44" s="492"/>
      <c r="Q44" s="513" t="s">
        <v>2131</v>
      </c>
      <c r="R44" s="492"/>
      <c r="S44" s="513" t="s">
        <v>2132</v>
      </c>
      <c r="T44" s="492"/>
      <c r="U44" s="513" t="s">
        <v>2133</v>
      </c>
      <c r="V44" s="492"/>
      <c r="W44" s="513" t="s">
        <v>2134</v>
      </c>
      <c r="X44" s="492"/>
      <c r="Y44" s="513" t="s">
        <v>2135</v>
      </c>
      <c r="Z44" s="492"/>
      <c r="AA44" s="513" t="s">
        <v>2136</v>
      </c>
      <c r="AB44" s="492"/>
      <c r="AC44" s="513" t="s">
        <v>2137</v>
      </c>
      <c r="AD44" s="492"/>
      <c r="AE44" s="513" t="s">
        <v>2138</v>
      </c>
      <c r="AF44" s="492"/>
      <c r="AG44" s="513" t="s">
        <v>2139</v>
      </c>
      <c r="AH44" s="492"/>
      <c r="AI44" s="513" t="s">
        <v>2140</v>
      </c>
      <c r="AJ44" s="492"/>
      <c r="AK44" s="513" t="s">
        <v>2141</v>
      </c>
      <c r="AL44" s="492"/>
      <c r="AM44" s="513" t="s">
        <v>2142</v>
      </c>
      <c r="AN44" s="492"/>
      <c r="AO44" s="513" t="s">
        <v>2143</v>
      </c>
      <c r="AP44" s="492"/>
      <c r="AQ44" s="513" t="s">
        <v>2144</v>
      </c>
      <c r="AR44" s="492"/>
      <c r="AS44" s="513" t="s">
        <v>2145</v>
      </c>
      <c r="AT44" s="492"/>
      <c r="AU44" s="513" t="s">
        <v>2146</v>
      </c>
      <c r="AV44" s="514"/>
      <c r="AW44" s="513" t="s">
        <v>2147</v>
      </c>
      <c r="AX44" s="514"/>
      <c r="AY44" s="513" t="s">
        <v>2148</v>
      </c>
      <c r="AZ44" s="514"/>
    </row>
    <row r="45" spans="1:52" ht="15">
      <c r="A45" s="145"/>
      <c r="B45" s="515"/>
      <c r="C45" s="496"/>
      <c r="D45" s="496"/>
      <c r="E45" s="496"/>
      <c r="F45" s="497"/>
      <c r="G45" s="516" t="s">
        <v>2149</v>
      </c>
      <c r="H45" s="516"/>
      <c r="I45" s="516"/>
      <c r="J45" s="516"/>
      <c r="K45" s="516"/>
      <c r="L45" s="516"/>
      <c r="M45" s="516"/>
      <c r="N45" s="516"/>
      <c r="O45" s="516"/>
      <c r="P45" s="516"/>
      <c r="Q45" s="516"/>
      <c r="R45" s="516"/>
      <c r="S45" s="516"/>
      <c r="T45" s="516"/>
      <c r="U45" s="516"/>
      <c r="V45" s="516"/>
      <c r="W45" s="516"/>
      <c r="X45" s="516"/>
      <c r="Y45" s="516"/>
      <c r="Z45" s="516"/>
      <c r="AA45" s="516"/>
      <c r="AB45" s="516"/>
      <c r="AC45" s="516"/>
      <c r="AD45" s="516"/>
      <c r="AE45" s="516"/>
      <c r="AF45" s="516"/>
      <c r="AG45" s="516"/>
      <c r="AH45" s="516"/>
      <c r="AI45" s="518" t="s">
        <v>2150</v>
      </c>
      <c r="AJ45" s="518"/>
      <c r="AK45" s="518"/>
      <c r="AL45" s="518"/>
      <c r="AM45" s="520" t="s">
        <v>2151</v>
      </c>
      <c r="AN45" s="520"/>
      <c r="AO45" s="522" t="s">
        <v>130</v>
      </c>
      <c r="AP45" s="522"/>
    </row>
    <row r="46" spans="1:52" ht="13">
      <c r="A46" s="145"/>
      <c r="B46" s="488"/>
      <c r="C46" s="489"/>
      <c r="D46" s="489"/>
      <c r="E46" s="489"/>
      <c r="F46" s="489"/>
      <c r="G46" s="517"/>
      <c r="H46" s="517"/>
      <c r="I46" s="517"/>
      <c r="J46" s="517"/>
      <c r="K46" s="517"/>
      <c r="L46" s="517"/>
      <c r="M46" s="517"/>
      <c r="N46" s="517"/>
      <c r="O46" s="517"/>
      <c r="P46" s="517"/>
      <c r="Q46" s="517"/>
      <c r="R46" s="517"/>
      <c r="S46" s="517"/>
      <c r="T46" s="517"/>
      <c r="U46" s="517"/>
      <c r="V46" s="517"/>
      <c r="W46" s="517"/>
      <c r="X46" s="517"/>
      <c r="Y46" s="517"/>
      <c r="Z46" s="517"/>
      <c r="AA46" s="517"/>
      <c r="AB46" s="517"/>
      <c r="AC46" s="517"/>
      <c r="AD46" s="517"/>
      <c r="AE46" s="517"/>
      <c r="AF46" s="517"/>
      <c r="AG46" s="517"/>
      <c r="AH46" s="517"/>
      <c r="AI46" s="519"/>
      <c r="AJ46" s="519"/>
      <c r="AK46" s="519"/>
      <c r="AL46" s="519"/>
      <c r="AM46" s="521"/>
      <c r="AN46" s="521"/>
      <c r="AO46" s="523"/>
      <c r="AP46" s="523"/>
    </row>
    <row r="47" spans="1:52" ht="20">
      <c r="A47" s="488" t="s">
        <v>2152</v>
      </c>
      <c r="B47" s="147" t="s">
        <v>40</v>
      </c>
      <c r="C47" s="147">
        <v>320</v>
      </c>
      <c r="D47">
        <f>C47*314</f>
        <v>100480</v>
      </c>
      <c r="E47" s="125">
        <f>D47/6.84</f>
        <v>14690.058479532165</v>
      </c>
      <c r="P47" s="506" t="s">
        <v>2153</v>
      </c>
      <c r="Z47" s="148"/>
      <c r="AA47" s="508"/>
      <c r="AB47" s="508"/>
      <c r="AC47" s="508"/>
      <c r="AD47" s="508"/>
      <c r="AE47" s="510"/>
      <c r="AF47" s="489"/>
      <c r="AK47" s="150" t="s">
        <v>2154</v>
      </c>
      <c r="AL47" s="511" t="s">
        <v>2155</v>
      </c>
      <c r="AM47" s="150" t="s">
        <v>130</v>
      </c>
      <c r="AN47" t="s">
        <v>2156</v>
      </c>
    </row>
    <row r="48" spans="1:52" ht="20">
      <c r="A48" s="488"/>
      <c r="B48" s="147" t="s">
        <v>1320</v>
      </c>
      <c r="C48" s="147">
        <f>400+400</f>
        <v>800</v>
      </c>
      <c r="D48">
        <f t="shared" ref="D48:D52" si="7">C48*314</f>
        <v>251200</v>
      </c>
      <c r="E48" s="125">
        <f t="shared" ref="E48:E52" si="8">D48/6.84</f>
        <v>36725.146198830407</v>
      </c>
      <c r="P48" s="506"/>
      <c r="Z48" s="148"/>
      <c r="AA48" s="508"/>
      <c r="AB48" s="508"/>
      <c r="AC48" s="508"/>
      <c r="AD48" s="508"/>
      <c r="AE48" s="510"/>
      <c r="AF48" s="489"/>
      <c r="AK48" s="150"/>
      <c r="AL48" s="511"/>
      <c r="AM48" s="150"/>
    </row>
    <row r="49" spans="1:42" ht="20">
      <c r="A49" s="488"/>
      <c r="B49" s="147" t="s">
        <v>2029</v>
      </c>
      <c r="C49" s="147">
        <f>480+480</f>
        <v>960</v>
      </c>
      <c r="D49">
        <f t="shared" si="7"/>
        <v>301440</v>
      </c>
      <c r="E49" s="125">
        <f t="shared" si="8"/>
        <v>44070.175438596489</v>
      </c>
      <c r="P49" s="506"/>
      <c r="Z49" s="148"/>
      <c r="AA49" s="508"/>
      <c r="AB49" s="508"/>
      <c r="AC49" s="508"/>
      <c r="AD49" s="508"/>
      <c r="AE49" s="510"/>
      <c r="AF49" s="489"/>
      <c r="AK49" s="150"/>
      <c r="AL49" s="511"/>
      <c r="AM49" s="150"/>
    </row>
    <row r="50" spans="1:42" ht="20">
      <c r="A50" s="488"/>
      <c r="B50" s="147" t="s">
        <v>1250</v>
      </c>
      <c r="C50" s="147">
        <f>400+320</f>
        <v>720</v>
      </c>
      <c r="D50">
        <f t="shared" si="7"/>
        <v>226080</v>
      </c>
      <c r="E50" s="125">
        <f t="shared" si="8"/>
        <v>33052.631578947367</v>
      </c>
      <c r="P50" s="506"/>
      <c r="Z50" s="148"/>
      <c r="AA50" s="508"/>
      <c r="AB50" s="508"/>
      <c r="AC50" s="508"/>
      <c r="AD50" s="508"/>
      <c r="AE50" s="510"/>
      <c r="AF50" s="489"/>
      <c r="AK50" s="150"/>
      <c r="AL50" s="511"/>
      <c r="AM50" s="150"/>
    </row>
    <row r="51" spans="1:42" ht="20">
      <c r="A51" s="488"/>
      <c r="B51" s="147" t="s">
        <v>2031</v>
      </c>
      <c r="C51" s="147">
        <f>440 + 16 + 160 + 264 + 480 + 16</f>
        <v>1376</v>
      </c>
      <c r="D51">
        <f t="shared" si="7"/>
        <v>432064</v>
      </c>
      <c r="E51" s="125">
        <f t="shared" si="8"/>
        <v>63167.251461988308</v>
      </c>
      <c r="H51">
        <f>266/6.8</f>
        <v>39.117647058823529</v>
      </c>
      <c r="P51" s="506"/>
      <c r="Z51" s="148"/>
      <c r="AA51" s="508"/>
      <c r="AB51" s="508"/>
      <c r="AC51" s="508"/>
      <c r="AD51" s="508"/>
      <c r="AE51" s="510"/>
      <c r="AF51" s="489"/>
      <c r="AK51" s="150"/>
      <c r="AL51" s="511"/>
      <c r="AM51" s="150"/>
    </row>
    <row r="52" spans="1:42" ht="20">
      <c r="A52" s="488"/>
      <c r="B52" s="124" t="s">
        <v>2157</v>
      </c>
      <c r="C52" s="124">
        <f>SUM(C46:C51)</f>
        <v>4176</v>
      </c>
      <c r="D52">
        <f t="shared" si="7"/>
        <v>1311264</v>
      </c>
      <c r="E52" s="125">
        <f t="shared" si="8"/>
        <v>191705.26315789475</v>
      </c>
      <c r="P52" s="506"/>
      <c r="Z52" s="148"/>
      <c r="AA52" s="508"/>
      <c r="AB52" s="508"/>
      <c r="AC52" s="508"/>
      <c r="AD52" s="508"/>
      <c r="AE52" s="510"/>
      <c r="AF52" s="489"/>
      <c r="AK52" s="150"/>
      <c r="AL52" s="511"/>
      <c r="AM52" s="150"/>
    </row>
    <row r="53" spans="1:42" ht="15">
      <c r="A53" s="489"/>
      <c r="B53" s="148"/>
      <c r="C53" s="148"/>
      <c r="D53" s="148"/>
      <c r="E53" s="148"/>
      <c r="F53" s="148"/>
      <c r="G53" s="148"/>
      <c r="H53" s="148"/>
      <c r="I53" s="148"/>
      <c r="J53" s="148"/>
      <c r="K53" s="148"/>
      <c r="L53" s="148"/>
      <c r="M53" s="148"/>
      <c r="N53" s="148"/>
      <c r="O53" s="148"/>
      <c r="P53" s="507"/>
      <c r="Q53" s="148"/>
      <c r="R53" s="148"/>
      <c r="S53" s="148"/>
      <c r="T53" s="148"/>
      <c r="U53" s="148"/>
      <c r="V53" s="148"/>
      <c r="W53" s="148"/>
      <c r="X53" s="148"/>
      <c r="Y53" s="148"/>
      <c r="Z53" s="148"/>
      <c r="AA53" s="509"/>
      <c r="AB53" s="509"/>
      <c r="AC53" s="509"/>
      <c r="AD53" s="509"/>
      <c r="AE53" s="489"/>
      <c r="AF53" s="489"/>
      <c r="AL53" s="512"/>
    </row>
    <row r="54" spans="1:42" ht="13">
      <c r="A54" s="151" t="s">
        <v>2158</v>
      </c>
      <c r="B54" s="152" t="s">
        <v>2159</v>
      </c>
      <c r="C54" s="153">
        <f t="shared" ref="C54:C58" si="9">D54/8</f>
        <v>90</v>
      </c>
      <c r="D54" s="153">
        <f>SUM(G54:BZ54)</f>
        <v>720</v>
      </c>
      <c r="E54" s="154">
        <v>54</v>
      </c>
      <c r="F54" s="155">
        <f t="shared" ref="F54:F58" si="10">D54*E54</f>
        <v>38880</v>
      </c>
      <c r="G54" s="156">
        <v>20</v>
      </c>
      <c r="H54" s="156">
        <v>20</v>
      </c>
      <c r="I54" s="156">
        <v>20</v>
      </c>
      <c r="J54" s="156">
        <v>20</v>
      </c>
      <c r="K54" s="156">
        <v>20</v>
      </c>
      <c r="L54" s="156">
        <v>20</v>
      </c>
      <c r="M54" s="156">
        <v>20</v>
      </c>
      <c r="N54" s="156">
        <v>20</v>
      </c>
      <c r="O54" s="156">
        <v>20</v>
      </c>
      <c r="P54" s="157">
        <v>20</v>
      </c>
      <c r="Q54" s="156">
        <v>20</v>
      </c>
      <c r="R54" s="156">
        <v>20</v>
      </c>
      <c r="S54" s="156">
        <v>20</v>
      </c>
      <c r="T54" s="156">
        <v>20</v>
      </c>
      <c r="U54" s="156">
        <v>20</v>
      </c>
      <c r="V54" s="156">
        <v>20</v>
      </c>
      <c r="W54" s="156">
        <v>20</v>
      </c>
      <c r="X54" s="156">
        <v>20</v>
      </c>
      <c r="Y54" s="156">
        <v>20</v>
      </c>
      <c r="Z54" s="156">
        <v>20</v>
      </c>
      <c r="AA54" s="156">
        <v>20</v>
      </c>
      <c r="AB54" s="156">
        <v>20</v>
      </c>
      <c r="AC54" s="156">
        <v>20</v>
      </c>
      <c r="AD54" s="156">
        <v>20</v>
      </c>
      <c r="AE54" s="156">
        <v>20</v>
      </c>
      <c r="AF54" s="156">
        <v>20</v>
      </c>
      <c r="AG54" s="156">
        <v>20</v>
      </c>
      <c r="AH54" s="156">
        <v>20</v>
      </c>
      <c r="AI54" s="156">
        <v>20</v>
      </c>
      <c r="AJ54" s="156">
        <v>20</v>
      </c>
      <c r="AK54" s="156">
        <v>20</v>
      </c>
      <c r="AL54" s="156">
        <v>20</v>
      </c>
      <c r="AM54" s="156">
        <v>20</v>
      </c>
      <c r="AN54" s="156">
        <v>20</v>
      </c>
      <c r="AO54" s="156">
        <v>20</v>
      </c>
      <c r="AP54" s="156">
        <v>20</v>
      </c>
    </row>
    <row r="55" spans="1:42" ht="13">
      <c r="A55" s="151" t="s">
        <v>2160</v>
      </c>
      <c r="B55" s="152" t="s">
        <v>2159</v>
      </c>
      <c r="C55" s="153">
        <f t="shared" si="9"/>
        <v>90</v>
      </c>
      <c r="D55" s="153">
        <f>SUM(G55:BZ55)</f>
        <v>720</v>
      </c>
      <c r="E55" s="154">
        <v>54</v>
      </c>
      <c r="F55" s="155">
        <f t="shared" si="10"/>
        <v>38880</v>
      </c>
      <c r="G55" s="156">
        <v>20</v>
      </c>
      <c r="H55" s="156">
        <v>20</v>
      </c>
      <c r="I55" s="156">
        <v>20</v>
      </c>
      <c r="J55" s="156">
        <v>20</v>
      </c>
      <c r="K55" s="156">
        <v>20</v>
      </c>
      <c r="L55" s="156">
        <v>20</v>
      </c>
      <c r="M55" s="156">
        <v>20</v>
      </c>
      <c r="N55" s="156">
        <v>20</v>
      </c>
      <c r="O55" s="156">
        <v>20</v>
      </c>
      <c r="P55" s="156">
        <v>20</v>
      </c>
      <c r="Q55" s="156">
        <v>20</v>
      </c>
      <c r="R55" s="156">
        <v>20</v>
      </c>
      <c r="S55" s="156">
        <v>20</v>
      </c>
      <c r="T55" s="156">
        <v>20</v>
      </c>
      <c r="U55" s="156">
        <v>20</v>
      </c>
      <c r="V55" s="156">
        <v>20</v>
      </c>
      <c r="W55" s="156">
        <v>20</v>
      </c>
      <c r="X55" s="156">
        <v>20</v>
      </c>
      <c r="Y55" s="156">
        <v>20</v>
      </c>
      <c r="Z55" s="156">
        <v>20</v>
      </c>
      <c r="AA55" s="156">
        <v>20</v>
      </c>
      <c r="AB55" s="156">
        <v>20</v>
      </c>
      <c r="AC55" s="156">
        <v>20</v>
      </c>
      <c r="AD55" s="156">
        <v>20</v>
      </c>
      <c r="AE55" s="156">
        <v>20</v>
      </c>
      <c r="AF55" s="156">
        <v>20</v>
      </c>
      <c r="AG55" s="156">
        <v>20</v>
      </c>
      <c r="AH55" s="156">
        <v>20</v>
      </c>
      <c r="AI55" s="156">
        <v>20</v>
      </c>
      <c r="AJ55" s="156">
        <v>20</v>
      </c>
      <c r="AK55" s="156">
        <v>20</v>
      </c>
      <c r="AL55" s="156">
        <v>20</v>
      </c>
      <c r="AM55" s="156">
        <v>20</v>
      </c>
      <c r="AN55" s="156">
        <v>20</v>
      </c>
      <c r="AO55" s="156">
        <v>20</v>
      </c>
      <c r="AP55" s="156">
        <v>20</v>
      </c>
    </row>
    <row r="56" spans="1:42" ht="13">
      <c r="A56" s="151" t="s">
        <v>2161</v>
      </c>
      <c r="B56" s="152" t="s">
        <v>2159</v>
      </c>
      <c r="C56" s="153">
        <f t="shared" si="9"/>
        <v>27.5</v>
      </c>
      <c r="D56" s="153">
        <f>SUM(G56:BZ56)</f>
        <v>220</v>
      </c>
      <c r="E56" s="154">
        <v>54</v>
      </c>
      <c r="F56" s="155">
        <f t="shared" si="10"/>
        <v>11880</v>
      </c>
      <c r="G56" s="156">
        <v>20</v>
      </c>
      <c r="H56" s="156">
        <v>20</v>
      </c>
      <c r="I56" s="156">
        <v>20</v>
      </c>
      <c r="J56" s="156">
        <v>20</v>
      </c>
      <c r="K56" s="156">
        <v>20</v>
      </c>
      <c r="L56" s="156">
        <v>20</v>
      </c>
      <c r="M56" s="156">
        <v>20</v>
      </c>
      <c r="N56" s="156">
        <v>20</v>
      </c>
      <c r="O56" s="156">
        <v>20</v>
      </c>
      <c r="P56" s="157">
        <v>20</v>
      </c>
      <c r="Q56" s="156">
        <v>20</v>
      </c>
      <c r="R56" s="156"/>
      <c r="S56" s="156"/>
      <c r="T56" s="156"/>
      <c r="U56" s="156"/>
      <c r="V56" s="156"/>
      <c r="W56" s="156"/>
      <c r="X56" s="156"/>
      <c r="Y56" s="156"/>
      <c r="Z56" s="156"/>
      <c r="AA56" s="156"/>
      <c r="AB56" s="156"/>
      <c r="AC56" s="156"/>
      <c r="AD56" s="156"/>
      <c r="AE56" s="156"/>
      <c r="AF56" s="156"/>
      <c r="AG56" s="156"/>
      <c r="AH56" s="156"/>
      <c r="AI56" s="156"/>
      <c r="AJ56" s="156"/>
      <c r="AK56" s="156"/>
      <c r="AL56" s="157"/>
      <c r="AM56" s="156"/>
      <c r="AN56" s="156"/>
    </row>
    <row r="57" spans="1:42" ht="13">
      <c r="A57" s="151" t="s">
        <v>2162</v>
      </c>
      <c r="B57" s="152" t="s">
        <v>2159</v>
      </c>
      <c r="C57" s="153">
        <f t="shared" si="9"/>
        <v>20</v>
      </c>
      <c r="D57" s="153">
        <f>SUM(G57:BZ57)</f>
        <v>160</v>
      </c>
      <c r="E57" s="154">
        <v>54</v>
      </c>
      <c r="F57" s="155">
        <f t="shared" si="10"/>
        <v>8640</v>
      </c>
      <c r="G57" s="156">
        <v>20</v>
      </c>
      <c r="H57" s="156">
        <v>20</v>
      </c>
      <c r="I57" s="156">
        <v>20</v>
      </c>
      <c r="J57" s="156">
        <v>20</v>
      </c>
      <c r="K57" s="156">
        <v>20</v>
      </c>
      <c r="L57" s="156">
        <v>20</v>
      </c>
      <c r="M57" s="156">
        <v>20</v>
      </c>
      <c r="N57" s="156">
        <v>20</v>
      </c>
      <c r="O57" s="156"/>
      <c r="P57" s="157"/>
      <c r="Q57" s="156"/>
      <c r="R57" s="156"/>
      <c r="S57" s="156"/>
      <c r="T57" s="156"/>
      <c r="U57" s="156"/>
      <c r="V57" s="156"/>
      <c r="W57" s="156"/>
      <c r="X57" s="156"/>
      <c r="Y57" s="156"/>
      <c r="Z57" s="156"/>
      <c r="AA57" s="156"/>
      <c r="AB57" s="156"/>
      <c r="AC57" s="156"/>
      <c r="AD57" s="156"/>
      <c r="AE57" s="156"/>
      <c r="AF57" s="156"/>
      <c r="AG57" s="156"/>
      <c r="AH57" s="156"/>
      <c r="AI57" s="156"/>
      <c r="AJ57" s="156"/>
      <c r="AK57" s="156"/>
      <c r="AL57" s="157"/>
      <c r="AM57" s="156"/>
      <c r="AN57" s="156"/>
    </row>
    <row r="58" spans="1:42" ht="13">
      <c r="A58" s="151" t="s">
        <v>2163</v>
      </c>
      <c r="B58" s="152" t="s">
        <v>2159</v>
      </c>
      <c r="C58" s="153">
        <f t="shared" si="9"/>
        <v>20</v>
      </c>
      <c r="D58" s="153">
        <f>SUM(G58:BZ58)</f>
        <v>160</v>
      </c>
      <c r="E58" s="154">
        <v>54</v>
      </c>
      <c r="F58" s="155">
        <f t="shared" si="10"/>
        <v>8640</v>
      </c>
      <c r="G58" s="156">
        <v>20</v>
      </c>
      <c r="H58" s="156">
        <v>20</v>
      </c>
      <c r="I58" s="156">
        <v>20</v>
      </c>
      <c r="J58" s="156">
        <v>20</v>
      </c>
      <c r="K58" s="156">
        <v>20</v>
      </c>
      <c r="L58" s="156">
        <v>20</v>
      </c>
      <c r="M58" s="156">
        <v>20</v>
      </c>
      <c r="N58" s="156">
        <v>20</v>
      </c>
      <c r="O58" s="156"/>
      <c r="P58" s="157"/>
      <c r="Q58" s="156"/>
      <c r="R58" s="156"/>
      <c r="S58" s="156"/>
      <c r="T58" s="156"/>
      <c r="U58" s="156"/>
      <c r="V58" s="156"/>
      <c r="W58" s="156"/>
      <c r="X58" s="156"/>
      <c r="Y58" s="156"/>
      <c r="Z58" s="156"/>
      <c r="AA58" s="156"/>
      <c r="AB58" s="156"/>
      <c r="AC58" s="156"/>
      <c r="AD58" s="156"/>
      <c r="AE58" s="156"/>
      <c r="AF58" s="156"/>
      <c r="AG58" s="156"/>
      <c r="AH58" s="156"/>
      <c r="AI58" s="156"/>
      <c r="AJ58" s="156"/>
      <c r="AK58" s="156"/>
      <c r="AL58" s="157"/>
      <c r="AM58" s="156"/>
      <c r="AN58" s="156"/>
    </row>
    <row r="59" spans="1:42" ht="15">
      <c r="A59" s="490" t="s">
        <v>2164</v>
      </c>
      <c r="B59" s="491"/>
      <c r="C59" s="491"/>
      <c r="D59" s="491"/>
      <c r="E59" s="492"/>
      <c r="F59" s="155">
        <f t="shared" ref="F59:AP59" si="11">SUM(F54:F58)</f>
        <v>106920</v>
      </c>
      <c r="G59" s="156">
        <f t="shared" si="11"/>
        <v>100</v>
      </c>
      <c r="H59" s="156">
        <f t="shared" si="11"/>
        <v>100</v>
      </c>
      <c r="I59" s="156">
        <f t="shared" si="11"/>
        <v>100</v>
      </c>
      <c r="J59" s="156">
        <f t="shared" si="11"/>
        <v>100</v>
      </c>
      <c r="K59" s="156">
        <f t="shared" si="11"/>
        <v>100</v>
      </c>
      <c r="L59" s="156">
        <f t="shared" si="11"/>
        <v>100</v>
      </c>
      <c r="M59" s="156">
        <f t="shared" si="11"/>
        <v>100</v>
      </c>
      <c r="N59" s="156">
        <f t="shared" si="11"/>
        <v>100</v>
      </c>
      <c r="O59" s="156">
        <f t="shared" si="11"/>
        <v>60</v>
      </c>
      <c r="P59" s="157">
        <f t="shared" si="11"/>
        <v>60</v>
      </c>
      <c r="Q59" s="156">
        <f t="shared" si="11"/>
        <v>60</v>
      </c>
      <c r="R59" s="156">
        <f t="shared" si="11"/>
        <v>40</v>
      </c>
      <c r="S59" s="156">
        <f t="shared" si="11"/>
        <v>40</v>
      </c>
      <c r="T59" s="156">
        <f t="shared" si="11"/>
        <v>40</v>
      </c>
      <c r="U59" s="156">
        <f t="shared" si="11"/>
        <v>40</v>
      </c>
      <c r="V59" s="156">
        <f t="shared" si="11"/>
        <v>40</v>
      </c>
      <c r="W59" s="156">
        <f t="shared" si="11"/>
        <v>40</v>
      </c>
      <c r="X59" s="156">
        <f t="shared" si="11"/>
        <v>40</v>
      </c>
      <c r="Y59" s="156">
        <f t="shared" si="11"/>
        <v>40</v>
      </c>
      <c r="Z59" s="156">
        <f t="shared" si="11"/>
        <v>40</v>
      </c>
      <c r="AA59" s="156">
        <f t="shared" si="11"/>
        <v>40</v>
      </c>
      <c r="AB59" s="156">
        <f t="shared" si="11"/>
        <v>40</v>
      </c>
      <c r="AC59" s="156">
        <f t="shared" si="11"/>
        <v>40</v>
      </c>
      <c r="AD59" s="156">
        <f t="shared" si="11"/>
        <v>40</v>
      </c>
      <c r="AE59" s="156">
        <f t="shared" si="11"/>
        <v>40</v>
      </c>
      <c r="AF59" s="156">
        <f t="shared" si="11"/>
        <v>40</v>
      </c>
      <c r="AG59" s="156">
        <f t="shared" si="11"/>
        <v>40</v>
      </c>
      <c r="AH59" s="156">
        <f t="shared" si="11"/>
        <v>40</v>
      </c>
      <c r="AI59" s="156">
        <f t="shared" si="11"/>
        <v>40</v>
      </c>
      <c r="AJ59" s="156">
        <f t="shared" si="11"/>
        <v>40</v>
      </c>
      <c r="AK59" s="156">
        <f t="shared" si="11"/>
        <v>40</v>
      </c>
      <c r="AL59" s="157">
        <f t="shared" si="11"/>
        <v>40</v>
      </c>
      <c r="AM59" s="156">
        <f t="shared" si="11"/>
        <v>40</v>
      </c>
      <c r="AN59" s="156">
        <f t="shared" si="11"/>
        <v>40</v>
      </c>
      <c r="AO59" s="156">
        <f t="shared" si="11"/>
        <v>40</v>
      </c>
      <c r="AP59" s="156">
        <f t="shared" si="11"/>
        <v>40</v>
      </c>
    </row>
    <row r="60" spans="1:42">
      <c r="A60" s="493" t="s">
        <v>2165</v>
      </c>
      <c r="B60" s="495"/>
      <c r="C60" s="496"/>
      <c r="D60" s="496"/>
      <c r="E60" s="496"/>
      <c r="F60" s="496"/>
      <c r="G60" s="496"/>
      <c r="H60" s="496"/>
      <c r="I60" s="496"/>
      <c r="J60" s="496"/>
      <c r="K60" s="496"/>
      <c r="L60" s="496"/>
      <c r="M60" s="496"/>
      <c r="N60" s="496"/>
      <c r="O60" s="496"/>
      <c r="P60" s="496"/>
      <c r="Q60" s="496"/>
      <c r="R60" s="496"/>
      <c r="S60" s="496"/>
      <c r="T60" s="496"/>
      <c r="U60" s="496"/>
      <c r="V60" s="496"/>
      <c r="W60" s="496"/>
      <c r="X60" s="496"/>
      <c r="Y60" s="496"/>
      <c r="Z60" s="496"/>
      <c r="AA60" s="496"/>
      <c r="AB60" s="496"/>
      <c r="AC60" s="496"/>
      <c r="AD60" s="496"/>
      <c r="AE60" s="496"/>
      <c r="AF60" s="496"/>
      <c r="AG60" s="496"/>
      <c r="AH60" s="496"/>
      <c r="AI60" s="496"/>
      <c r="AJ60" s="496"/>
      <c r="AK60" s="496"/>
      <c r="AL60" s="496"/>
      <c r="AM60" s="496"/>
      <c r="AN60" s="497"/>
    </row>
    <row r="61" spans="1:42">
      <c r="A61" s="494"/>
      <c r="B61" s="498"/>
      <c r="C61" s="499"/>
      <c r="D61" s="499"/>
      <c r="E61" s="499"/>
      <c r="F61" s="499"/>
      <c r="G61" s="499"/>
      <c r="H61" s="499"/>
      <c r="I61" s="499"/>
      <c r="J61" s="499"/>
      <c r="K61" s="499"/>
      <c r="L61" s="499"/>
      <c r="M61" s="499"/>
      <c r="N61" s="499"/>
      <c r="O61" s="499"/>
      <c r="P61" s="499"/>
      <c r="Q61" s="499"/>
      <c r="R61" s="499"/>
      <c r="S61" s="499"/>
      <c r="T61" s="499"/>
      <c r="U61" s="499"/>
      <c r="V61" s="499"/>
      <c r="W61" s="499"/>
      <c r="X61" s="499"/>
      <c r="Y61" s="499"/>
      <c r="Z61" s="499"/>
      <c r="AA61" s="499"/>
      <c r="AB61" s="499"/>
      <c r="AC61" s="499"/>
      <c r="AD61" s="499"/>
      <c r="AE61" s="499"/>
      <c r="AF61" s="499"/>
      <c r="AG61" s="499"/>
      <c r="AH61" s="499"/>
      <c r="AI61" s="499"/>
      <c r="AJ61" s="499"/>
      <c r="AK61" s="499"/>
      <c r="AL61" s="499"/>
      <c r="AM61" s="499"/>
      <c r="AN61" s="500"/>
    </row>
    <row r="62" spans="1:42" ht="13">
      <c r="A62" s="151" t="s">
        <v>2028</v>
      </c>
      <c r="B62" s="152" t="s">
        <v>2159</v>
      </c>
      <c r="C62" s="153">
        <f t="shared" ref="C62" si="12">D62/8</f>
        <v>180</v>
      </c>
      <c r="D62" s="153">
        <f>SUM(G62:BZ62)</f>
        <v>1440</v>
      </c>
      <c r="E62" s="154">
        <v>49</v>
      </c>
      <c r="F62" s="155">
        <f t="shared" ref="F62" si="13">D62*E62</f>
        <v>70560</v>
      </c>
      <c r="G62" s="156">
        <v>40</v>
      </c>
      <c r="H62" s="156">
        <v>40</v>
      </c>
      <c r="I62" s="156">
        <v>40</v>
      </c>
      <c r="J62" s="156">
        <v>40</v>
      </c>
      <c r="K62" s="156">
        <v>40</v>
      </c>
      <c r="L62" s="156">
        <v>40</v>
      </c>
      <c r="M62" s="156">
        <v>40</v>
      </c>
      <c r="N62" s="156">
        <v>40</v>
      </c>
      <c r="O62" s="156">
        <v>40</v>
      </c>
      <c r="P62" s="157">
        <v>40</v>
      </c>
      <c r="Q62" s="156">
        <v>40</v>
      </c>
      <c r="R62" s="156">
        <v>40</v>
      </c>
      <c r="S62" s="156">
        <v>40</v>
      </c>
      <c r="T62" s="156">
        <v>40</v>
      </c>
      <c r="U62" s="156">
        <v>40</v>
      </c>
      <c r="V62" s="156">
        <v>40</v>
      </c>
      <c r="W62" s="156">
        <v>40</v>
      </c>
      <c r="X62" s="156">
        <v>40</v>
      </c>
      <c r="Y62" s="156">
        <v>40</v>
      </c>
      <c r="Z62" s="156">
        <v>40</v>
      </c>
      <c r="AA62" s="156">
        <v>40</v>
      </c>
      <c r="AB62" s="156">
        <v>40</v>
      </c>
      <c r="AC62" s="156">
        <v>40</v>
      </c>
      <c r="AD62" s="156">
        <v>40</v>
      </c>
      <c r="AE62" s="156">
        <v>40</v>
      </c>
      <c r="AF62" s="156">
        <v>40</v>
      </c>
      <c r="AG62" s="156">
        <v>40</v>
      </c>
      <c r="AH62" s="156">
        <v>40</v>
      </c>
      <c r="AI62" s="156">
        <v>40</v>
      </c>
      <c r="AJ62" s="156">
        <v>40</v>
      </c>
      <c r="AK62" s="156">
        <v>40</v>
      </c>
      <c r="AL62" s="157">
        <v>40</v>
      </c>
      <c r="AM62" s="156">
        <v>40</v>
      </c>
      <c r="AN62" s="156">
        <v>40</v>
      </c>
      <c r="AO62" s="156">
        <v>40</v>
      </c>
      <c r="AP62" s="156">
        <v>40</v>
      </c>
    </row>
    <row r="63" spans="1:42" ht="13">
      <c r="A63" s="151" t="s">
        <v>2166</v>
      </c>
      <c r="B63" s="152" t="s">
        <v>2159</v>
      </c>
      <c r="C63" s="153">
        <f>D63/8</f>
        <v>180</v>
      </c>
      <c r="D63" s="153">
        <f>SUM(G63:BZ63)</f>
        <v>1440</v>
      </c>
      <c r="E63" s="154">
        <v>49</v>
      </c>
      <c r="F63" s="155">
        <f>D63*E63</f>
        <v>70560</v>
      </c>
      <c r="G63" s="156">
        <v>40</v>
      </c>
      <c r="H63" s="156">
        <v>40</v>
      </c>
      <c r="I63" s="156">
        <v>40</v>
      </c>
      <c r="J63" s="156">
        <v>40</v>
      </c>
      <c r="K63" s="156">
        <v>40</v>
      </c>
      <c r="L63" s="156">
        <v>40</v>
      </c>
      <c r="M63" s="156">
        <v>40</v>
      </c>
      <c r="N63" s="156">
        <v>40</v>
      </c>
      <c r="O63" s="156">
        <v>40</v>
      </c>
      <c r="P63" s="157">
        <v>40</v>
      </c>
      <c r="Q63" s="156">
        <v>40</v>
      </c>
      <c r="R63" s="156">
        <v>40</v>
      </c>
      <c r="S63" s="156">
        <v>40</v>
      </c>
      <c r="T63" s="156">
        <v>40</v>
      </c>
      <c r="U63" s="156">
        <v>40</v>
      </c>
      <c r="V63" s="156">
        <v>40</v>
      </c>
      <c r="W63" s="156">
        <v>40</v>
      </c>
      <c r="X63" s="156">
        <v>40</v>
      </c>
      <c r="Y63" s="156">
        <v>40</v>
      </c>
      <c r="Z63" s="156">
        <v>40</v>
      </c>
      <c r="AA63" s="156">
        <v>40</v>
      </c>
      <c r="AB63" s="156">
        <v>40</v>
      </c>
      <c r="AC63" s="156">
        <v>40</v>
      </c>
      <c r="AD63" s="156">
        <v>40</v>
      </c>
      <c r="AE63" s="156">
        <v>40</v>
      </c>
      <c r="AF63" s="156">
        <v>40</v>
      </c>
      <c r="AG63" s="156">
        <v>40</v>
      </c>
      <c r="AH63" s="156">
        <v>40</v>
      </c>
      <c r="AI63" s="156">
        <v>40</v>
      </c>
      <c r="AJ63" s="156">
        <v>40</v>
      </c>
      <c r="AK63" s="156">
        <v>40</v>
      </c>
      <c r="AL63" s="157">
        <v>40</v>
      </c>
      <c r="AM63" s="156">
        <v>40</v>
      </c>
      <c r="AN63" s="156">
        <v>40</v>
      </c>
      <c r="AO63" s="156">
        <v>40</v>
      </c>
      <c r="AP63" s="156">
        <v>40</v>
      </c>
    </row>
    <row r="64" spans="1:42" ht="13">
      <c r="A64" s="151" t="s">
        <v>2167</v>
      </c>
      <c r="B64" s="152" t="s">
        <v>2159</v>
      </c>
      <c r="C64" s="153">
        <f>D64/8</f>
        <v>180</v>
      </c>
      <c r="D64" s="153">
        <f>SUM(G64:BZ64)</f>
        <v>1440</v>
      </c>
      <c r="E64" s="154">
        <v>49</v>
      </c>
      <c r="F64" s="155">
        <f>D64*E64</f>
        <v>70560</v>
      </c>
      <c r="G64" s="156">
        <v>40</v>
      </c>
      <c r="H64" s="156">
        <v>40</v>
      </c>
      <c r="I64" s="156">
        <v>40</v>
      </c>
      <c r="J64" s="156">
        <v>40</v>
      </c>
      <c r="K64" s="156">
        <v>40</v>
      </c>
      <c r="L64" s="156">
        <v>40</v>
      </c>
      <c r="M64" s="156">
        <v>40</v>
      </c>
      <c r="N64" s="156">
        <v>40</v>
      </c>
      <c r="O64" s="156">
        <v>40</v>
      </c>
      <c r="P64" s="157">
        <v>40</v>
      </c>
      <c r="Q64" s="156">
        <v>40</v>
      </c>
      <c r="R64" s="156">
        <v>40</v>
      </c>
      <c r="S64" s="156">
        <v>40</v>
      </c>
      <c r="T64" s="156">
        <v>40</v>
      </c>
      <c r="U64" s="156">
        <v>40</v>
      </c>
      <c r="V64" s="156">
        <v>40</v>
      </c>
      <c r="W64" s="156">
        <v>40</v>
      </c>
      <c r="X64" s="156">
        <v>40</v>
      </c>
      <c r="Y64" s="156">
        <v>40</v>
      </c>
      <c r="Z64" s="156">
        <v>40</v>
      </c>
      <c r="AA64" s="156">
        <v>40</v>
      </c>
      <c r="AB64" s="156">
        <v>40</v>
      </c>
      <c r="AC64" s="156">
        <v>40</v>
      </c>
      <c r="AD64" s="156">
        <v>40</v>
      </c>
      <c r="AE64" s="156">
        <v>40</v>
      </c>
      <c r="AF64" s="156">
        <v>40</v>
      </c>
      <c r="AG64" s="156">
        <v>40</v>
      </c>
      <c r="AH64" s="156">
        <v>40</v>
      </c>
      <c r="AI64" s="156">
        <v>40</v>
      </c>
      <c r="AJ64" s="156">
        <v>40</v>
      </c>
      <c r="AK64" s="156">
        <v>40</v>
      </c>
      <c r="AL64" s="157">
        <v>40</v>
      </c>
      <c r="AM64" s="156">
        <v>40</v>
      </c>
      <c r="AN64" s="156">
        <v>40</v>
      </c>
      <c r="AO64" s="156">
        <v>40</v>
      </c>
      <c r="AP64" s="156">
        <v>40</v>
      </c>
    </row>
    <row r="65" spans="1:42" ht="13">
      <c r="A65" s="151" t="s">
        <v>2167</v>
      </c>
      <c r="B65" s="152" t="s">
        <v>2159</v>
      </c>
      <c r="C65" s="153">
        <f>D65/8</f>
        <v>180</v>
      </c>
      <c r="D65" s="153">
        <f>SUM(G65:BZ65)</f>
        <v>1440</v>
      </c>
      <c r="E65" s="154">
        <v>49</v>
      </c>
      <c r="F65" s="155">
        <f>D65*E65</f>
        <v>70560</v>
      </c>
      <c r="G65" s="156">
        <v>40</v>
      </c>
      <c r="H65" s="156">
        <v>40</v>
      </c>
      <c r="I65" s="156">
        <v>40</v>
      </c>
      <c r="J65" s="156">
        <v>40</v>
      </c>
      <c r="K65" s="156">
        <v>40</v>
      </c>
      <c r="L65" s="156">
        <v>40</v>
      </c>
      <c r="M65" s="156">
        <v>40</v>
      </c>
      <c r="N65" s="156">
        <v>40</v>
      </c>
      <c r="O65" s="156">
        <v>40</v>
      </c>
      <c r="P65" s="157">
        <v>40</v>
      </c>
      <c r="Q65" s="156">
        <v>40</v>
      </c>
      <c r="R65" s="156">
        <v>40</v>
      </c>
      <c r="S65" s="156">
        <v>40</v>
      </c>
      <c r="T65" s="156">
        <v>40</v>
      </c>
      <c r="U65" s="156">
        <v>40</v>
      </c>
      <c r="V65" s="156">
        <v>40</v>
      </c>
      <c r="W65" s="156">
        <v>40</v>
      </c>
      <c r="X65" s="156">
        <v>40</v>
      </c>
      <c r="Y65" s="156">
        <v>40</v>
      </c>
      <c r="Z65" s="156">
        <v>40</v>
      </c>
      <c r="AA65" s="156">
        <v>40</v>
      </c>
      <c r="AB65" s="156">
        <v>40</v>
      </c>
      <c r="AC65" s="156">
        <v>40</v>
      </c>
      <c r="AD65" s="156">
        <v>40</v>
      </c>
      <c r="AE65" s="156">
        <v>40</v>
      </c>
      <c r="AF65" s="156">
        <v>40</v>
      </c>
      <c r="AG65" s="156">
        <v>40</v>
      </c>
      <c r="AH65" s="156">
        <v>40</v>
      </c>
      <c r="AI65" s="156">
        <v>40</v>
      </c>
      <c r="AJ65" s="156">
        <v>40</v>
      </c>
      <c r="AK65" s="156">
        <v>40</v>
      </c>
      <c r="AL65" s="157">
        <v>40</v>
      </c>
      <c r="AM65" s="156">
        <v>40</v>
      </c>
      <c r="AN65" s="156">
        <v>40</v>
      </c>
      <c r="AO65" s="156">
        <v>40</v>
      </c>
      <c r="AP65" s="156">
        <v>40</v>
      </c>
    </row>
    <row r="66" spans="1:42" ht="15">
      <c r="A66" s="490" t="s">
        <v>2168</v>
      </c>
      <c r="B66" s="491"/>
      <c r="C66" s="491"/>
      <c r="D66" s="491"/>
      <c r="E66" s="492"/>
      <c r="F66" s="155">
        <f>SUM(F62:F65)</f>
        <v>282240</v>
      </c>
      <c r="G66" s="155">
        <f>SUM(G62:G65)</f>
        <v>160</v>
      </c>
      <c r="H66" s="155">
        <f t="shared" ref="H66:AJ66" si="14">SUM(H62:H65)</f>
        <v>160</v>
      </c>
      <c r="I66" s="155">
        <f t="shared" si="14"/>
        <v>160</v>
      </c>
      <c r="J66" s="155">
        <f t="shared" si="14"/>
        <v>160</v>
      </c>
      <c r="K66" s="155">
        <f t="shared" si="14"/>
        <v>160</v>
      </c>
      <c r="L66" s="155">
        <f t="shared" si="14"/>
        <v>160</v>
      </c>
      <c r="M66" s="155">
        <f t="shared" si="14"/>
        <v>160</v>
      </c>
      <c r="N66" s="155">
        <f t="shared" si="14"/>
        <v>160</v>
      </c>
      <c r="O66" s="155">
        <f t="shared" si="14"/>
        <v>160</v>
      </c>
      <c r="P66" s="158">
        <f t="shared" si="14"/>
        <v>160</v>
      </c>
      <c r="Q66" s="155">
        <f t="shared" si="14"/>
        <v>160</v>
      </c>
      <c r="R66" s="155">
        <f t="shared" si="14"/>
        <v>160</v>
      </c>
      <c r="S66" s="155">
        <f t="shared" si="14"/>
        <v>160</v>
      </c>
      <c r="T66" s="155">
        <f t="shared" si="14"/>
        <v>160</v>
      </c>
      <c r="U66" s="155">
        <f t="shared" si="14"/>
        <v>160</v>
      </c>
      <c r="V66" s="155">
        <f t="shared" si="14"/>
        <v>160</v>
      </c>
      <c r="W66" s="155">
        <f t="shared" si="14"/>
        <v>160</v>
      </c>
      <c r="X66" s="155">
        <f t="shared" si="14"/>
        <v>160</v>
      </c>
      <c r="Y66" s="155">
        <f t="shared" si="14"/>
        <v>160</v>
      </c>
      <c r="Z66" s="155">
        <f t="shared" si="14"/>
        <v>160</v>
      </c>
      <c r="AA66" s="155">
        <f t="shared" si="14"/>
        <v>160</v>
      </c>
      <c r="AB66" s="155">
        <f t="shared" si="14"/>
        <v>160</v>
      </c>
      <c r="AC66" s="155">
        <f t="shared" si="14"/>
        <v>160</v>
      </c>
      <c r="AD66" s="155">
        <f t="shared" si="14"/>
        <v>160</v>
      </c>
      <c r="AE66" s="155">
        <f t="shared" si="14"/>
        <v>160</v>
      </c>
      <c r="AF66" s="155">
        <f t="shared" si="14"/>
        <v>160</v>
      </c>
      <c r="AG66" s="155">
        <f t="shared" si="14"/>
        <v>160</v>
      </c>
      <c r="AH66" s="155">
        <f t="shared" si="14"/>
        <v>160</v>
      </c>
      <c r="AI66" s="155">
        <f t="shared" si="14"/>
        <v>160</v>
      </c>
      <c r="AJ66" s="155">
        <f t="shared" si="14"/>
        <v>160</v>
      </c>
      <c r="AK66" s="155">
        <f>SUM(AK62:AK65)</f>
        <v>160</v>
      </c>
      <c r="AL66" s="158">
        <f t="shared" ref="AL66:AP66" si="15">SUM(AL62:AL65)</f>
        <v>160</v>
      </c>
      <c r="AM66" s="155">
        <f t="shared" si="15"/>
        <v>160</v>
      </c>
      <c r="AN66" s="155">
        <f t="shared" si="15"/>
        <v>160</v>
      </c>
      <c r="AO66" s="155">
        <f t="shared" si="15"/>
        <v>160</v>
      </c>
      <c r="AP66" s="155">
        <f t="shared" si="15"/>
        <v>160</v>
      </c>
    </row>
    <row r="67" spans="1:42" ht="13">
      <c r="A67" s="159"/>
      <c r="B67" s="149"/>
      <c r="C67" s="160"/>
      <c r="D67" s="160"/>
      <c r="E67" s="161"/>
      <c r="F67" s="162"/>
      <c r="G67" s="159"/>
      <c r="H67" s="159"/>
      <c r="I67" s="163"/>
      <c r="J67" s="163"/>
      <c r="K67" s="163"/>
      <c r="L67" s="163"/>
      <c r="M67" s="163"/>
      <c r="N67" s="163"/>
      <c r="O67" s="163"/>
      <c r="P67" s="164"/>
      <c r="Q67" s="163"/>
      <c r="R67" s="163"/>
      <c r="S67" s="163"/>
      <c r="T67" s="163"/>
      <c r="U67" s="163"/>
      <c r="V67" s="163"/>
      <c r="W67" s="163"/>
      <c r="X67" s="163"/>
      <c r="Y67" s="163"/>
      <c r="Z67" s="163"/>
      <c r="AA67" s="163"/>
      <c r="AB67" s="163"/>
      <c r="AC67" s="163"/>
      <c r="AD67" s="163"/>
      <c r="AE67" s="163"/>
      <c r="AF67" s="163"/>
      <c r="AG67" s="163"/>
      <c r="AH67" s="163"/>
      <c r="AI67" s="163"/>
      <c r="AJ67" s="163"/>
      <c r="AK67" s="163"/>
      <c r="AL67" s="164"/>
      <c r="AM67" s="163"/>
      <c r="AN67" s="163"/>
    </row>
    <row r="68" spans="1:42" ht="13">
      <c r="A68" s="159"/>
      <c r="B68" s="149"/>
      <c r="C68" s="160"/>
      <c r="E68" s="161" t="s">
        <v>2169</v>
      </c>
      <c r="F68" s="162"/>
      <c r="G68" s="159"/>
      <c r="H68" s="159"/>
      <c r="I68" s="163"/>
      <c r="J68" s="163"/>
      <c r="K68" s="163"/>
      <c r="L68" s="163"/>
      <c r="M68" s="163"/>
      <c r="N68" s="163"/>
      <c r="O68" s="163"/>
      <c r="P68" s="164"/>
      <c r="Q68" s="163"/>
      <c r="R68" s="163"/>
      <c r="S68" s="163"/>
      <c r="T68" s="163"/>
      <c r="U68" s="163"/>
      <c r="V68" s="163"/>
      <c r="W68" s="163"/>
      <c r="X68" s="163"/>
      <c r="Y68" s="163"/>
      <c r="Z68" s="163"/>
      <c r="AA68" s="163"/>
      <c r="AB68" s="163"/>
      <c r="AC68" s="163"/>
      <c r="AD68" s="163"/>
      <c r="AE68" s="163"/>
      <c r="AF68" s="163"/>
      <c r="AG68" s="163"/>
      <c r="AH68" s="163"/>
      <c r="AI68" s="163"/>
      <c r="AJ68" s="163"/>
      <c r="AK68" s="163"/>
      <c r="AL68" s="164"/>
      <c r="AM68" s="163"/>
      <c r="AN68" s="163"/>
    </row>
    <row r="69" spans="1:42">
      <c r="A69" s="493" t="s">
        <v>2032</v>
      </c>
      <c r="B69" s="501"/>
      <c r="C69" s="489"/>
      <c r="D69" s="489"/>
      <c r="E69" s="489"/>
      <c r="F69" s="489"/>
      <c r="G69" s="489"/>
      <c r="H69" s="489"/>
      <c r="I69" s="489"/>
      <c r="J69" s="489"/>
      <c r="K69" s="489"/>
      <c r="L69" s="489"/>
      <c r="M69" s="489"/>
      <c r="N69" s="489"/>
      <c r="O69" s="489"/>
      <c r="P69" s="489"/>
      <c r="Q69" s="489"/>
      <c r="R69" s="489"/>
      <c r="S69" s="489"/>
      <c r="T69" s="489"/>
      <c r="U69" s="489"/>
      <c r="V69" s="489"/>
      <c r="W69" s="489"/>
      <c r="X69" s="489"/>
      <c r="Y69" s="489"/>
      <c r="Z69" s="489"/>
      <c r="AA69" s="489"/>
      <c r="AB69" s="489"/>
      <c r="AC69" s="489"/>
      <c r="AD69" s="489"/>
      <c r="AE69" s="489"/>
      <c r="AF69" s="489"/>
      <c r="AG69" s="489"/>
      <c r="AH69" s="489"/>
      <c r="AI69" s="489"/>
      <c r="AJ69" s="489"/>
      <c r="AK69" s="489"/>
      <c r="AL69" s="489"/>
      <c r="AM69" s="489"/>
      <c r="AN69" s="502"/>
    </row>
    <row r="70" spans="1:42">
      <c r="A70" s="494"/>
      <c r="B70" s="498"/>
      <c r="C70" s="499"/>
      <c r="D70" s="499"/>
      <c r="E70" s="499"/>
      <c r="F70" s="499"/>
      <c r="G70" s="499"/>
      <c r="H70" s="499"/>
      <c r="I70" s="499"/>
      <c r="J70" s="499"/>
      <c r="K70" s="499"/>
      <c r="L70" s="499"/>
      <c r="M70" s="499"/>
      <c r="N70" s="499"/>
      <c r="O70" s="499"/>
      <c r="P70" s="499"/>
      <c r="Q70" s="499"/>
      <c r="R70" s="499"/>
      <c r="S70" s="499"/>
      <c r="T70" s="499"/>
      <c r="U70" s="499"/>
      <c r="V70" s="499"/>
      <c r="W70" s="499"/>
      <c r="X70" s="499"/>
      <c r="Y70" s="499"/>
      <c r="Z70" s="499"/>
      <c r="AA70" s="499"/>
      <c r="AB70" s="499"/>
      <c r="AC70" s="499"/>
      <c r="AD70" s="499"/>
      <c r="AE70" s="499"/>
      <c r="AF70" s="499"/>
      <c r="AG70" s="499"/>
      <c r="AH70" s="499"/>
      <c r="AI70" s="499"/>
      <c r="AJ70" s="499"/>
      <c r="AK70" s="499"/>
      <c r="AL70" s="499"/>
      <c r="AM70" s="499"/>
      <c r="AN70" s="500"/>
    </row>
    <row r="71" spans="1:42" ht="13">
      <c r="A71" s="151" t="s">
        <v>2170</v>
      </c>
      <c r="B71" s="152" t="s">
        <v>2159</v>
      </c>
      <c r="C71" s="153">
        <f t="shared" ref="C71:C73" si="16">D71/8</f>
        <v>180</v>
      </c>
      <c r="D71" s="153">
        <f>SUM(G71:BZ71)</f>
        <v>1440</v>
      </c>
      <c r="E71" s="154">
        <v>39</v>
      </c>
      <c r="F71" s="155">
        <f t="shared" ref="F71:F73" si="17">D71*E71</f>
        <v>56160</v>
      </c>
      <c r="G71" s="156">
        <v>40</v>
      </c>
      <c r="H71" s="156">
        <v>40</v>
      </c>
      <c r="I71" s="156">
        <v>40</v>
      </c>
      <c r="J71" s="156">
        <v>40</v>
      </c>
      <c r="K71" s="156">
        <v>40</v>
      </c>
      <c r="L71" s="156">
        <v>40</v>
      </c>
      <c r="M71" s="156">
        <v>40</v>
      </c>
      <c r="N71" s="156">
        <v>40</v>
      </c>
      <c r="O71" s="156">
        <v>40</v>
      </c>
      <c r="P71" s="157">
        <v>40</v>
      </c>
      <c r="Q71" s="156">
        <v>40</v>
      </c>
      <c r="R71" s="156">
        <v>40</v>
      </c>
      <c r="S71" s="156">
        <v>40</v>
      </c>
      <c r="T71" s="156">
        <v>40</v>
      </c>
      <c r="U71" s="156">
        <v>40</v>
      </c>
      <c r="V71" s="156">
        <v>40</v>
      </c>
      <c r="W71" s="156">
        <v>40</v>
      </c>
      <c r="X71" s="156">
        <v>40</v>
      </c>
      <c r="Y71" s="156">
        <v>40</v>
      </c>
      <c r="Z71" s="156">
        <v>40</v>
      </c>
      <c r="AA71" s="156">
        <v>40</v>
      </c>
      <c r="AB71" s="156">
        <v>40</v>
      </c>
      <c r="AC71" s="156">
        <v>40</v>
      </c>
      <c r="AD71" s="156">
        <v>40</v>
      </c>
      <c r="AE71" s="156">
        <v>40</v>
      </c>
      <c r="AF71" s="156">
        <v>40</v>
      </c>
      <c r="AG71" s="156">
        <v>40</v>
      </c>
      <c r="AH71" s="156">
        <v>40</v>
      </c>
      <c r="AI71" s="156">
        <v>40</v>
      </c>
      <c r="AJ71" s="156">
        <v>40</v>
      </c>
      <c r="AK71" s="156">
        <v>40</v>
      </c>
      <c r="AL71" s="157">
        <v>40</v>
      </c>
      <c r="AM71" s="156">
        <v>40</v>
      </c>
      <c r="AN71" s="156">
        <v>40</v>
      </c>
      <c r="AO71" s="156">
        <v>40</v>
      </c>
      <c r="AP71" s="156">
        <v>40</v>
      </c>
    </row>
    <row r="72" spans="1:42" ht="13">
      <c r="A72" s="151" t="s">
        <v>2170</v>
      </c>
      <c r="B72" s="152" t="s">
        <v>2159</v>
      </c>
      <c r="C72" s="153">
        <f t="shared" si="16"/>
        <v>180</v>
      </c>
      <c r="D72" s="153">
        <f>SUM(G72:BZ72)</f>
        <v>1440</v>
      </c>
      <c r="E72" s="154">
        <v>39</v>
      </c>
      <c r="F72" s="155">
        <f t="shared" si="17"/>
        <v>56160</v>
      </c>
      <c r="G72" s="156">
        <v>40</v>
      </c>
      <c r="H72" s="156">
        <v>40</v>
      </c>
      <c r="I72" s="156">
        <v>40</v>
      </c>
      <c r="J72" s="156">
        <v>40</v>
      </c>
      <c r="K72" s="156">
        <v>40</v>
      </c>
      <c r="L72" s="156">
        <v>40</v>
      </c>
      <c r="M72" s="156">
        <v>40</v>
      </c>
      <c r="N72" s="156">
        <v>40</v>
      </c>
      <c r="O72" s="156">
        <v>40</v>
      </c>
      <c r="P72" s="157">
        <v>40</v>
      </c>
      <c r="Q72" s="156">
        <v>40</v>
      </c>
      <c r="R72" s="156">
        <v>40</v>
      </c>
      <c r="S72" s="156">
        <v>40</v>
      </c>
      <c r="T72" s="156">
        <v>40</v>
      </c>
      <c r="U72" s="156">
        <v>40</v>
      </c>
      <c r="V72" s="156">
        <v>40</v>
      </c>
      <c r="W72" s="156">
        <v>40</v>
      </c>
      <c r="X72" s="156">
        <v>40</v>
      </c>
      <c r="Y72" s="156">
        <v>40</v>
      </c>
      <c r="Z72" s="156">
        <v>40</v>
      </c>
      <c r="AA72" s="156">
        <v>40</v>
      </c>
      <c r="AB72" s="156">
        <v>40</v>
      </c>
      <c r="AC72" s="156">
        <v>40</v>
      </c>
      <c r="AD72" s="156">
        <v>40</v>
      </c>
      <c r="AE72" s="156">
        <v>40</v>
      </c>
      <c r="AF72" s="156">
        <v>40</v>
      </c>
      <c r="AG72" s="156">
        <v>40</v>
      </c>
      <c r="AH72" s="156">
        <v>40</v>
      </c>
      <c r="AI72" s="156">
        <v>40</v>
      </c>
      <c r="AJ72" s="156">
        <v>40</v>
      </c>
      <c r="AK72" s="156">
        <v>40</v>
      </c>
      <c r="AL72" s="157">
        <v>40</v>
      </c>
      <c r="AM72" s="156">
        <v>40</v>
      </c>
      <c r="AN72" s="156">
        <v>40</v>
      </c>
      <c r="AO72" s="156">
        <v>40</v>
      </c>
      <c r="AP72" s="156">
        <v>40</v>
      </c>
    </row>
    <row r="73" spans="1:42" ht="13">
      <c r="A73" s="151" t="s">
        <v>2170</v>
      </c>
      <c r="B73" s="152" t="s">
        <v>2159</v>
      </c>
      <c r="C73" s="153">
        <f t="shared" si="16"/>
        <v>180</v>
      </c>
      <c r="D73" s="153">
        <f>SUM(G73:BZ73)</f>
        <v>1440</v>
      </c>
      <c r="E73" s="154">
        <v>39</v>
      </c>
      <c r="F73" s="155">
        <f t="shared" si="17"/>
        <v>56160</v>
      </c>
      <c r="G73" s="156">
        <v>40</v>
      </c>
      <c r="H73" s="156">
        <v>40</v>
      </c>
      <c r="I73" s="156">
        <v>40</v>
      </c>
      <c r="J73" s="156">
        <v>40</v>
      </c>
      <c r="K73" s="156">
        <v>40</v>
      </c>
      <c r="L73" s="156">
        <v>40</v>
      </c>
      <c r="M73" s="156">
        <v>40</v>
      </c>
      <c r="N73" s="156">
        <v>40</v>
      </c>
      <c r="O73" s="156">
        <v>40</v>
      </c>
      <c r="P73" s="157">
        <v>40</v>
      </c>
      <c r="Q73" s="156">
        <v>40</v>
      </c>
      <c r="R73" s="156">
        <v>40</v>
      </c>
      <c r="S73" s="156">
        <v>40</v>
      </c>
      <c r="T73" s="156">
        <v>40</v>
      </c>
      <c r="U73" s="156">
        <v>40</v>
      </c>
      <c r="V73" s="156">
        <v>40</v>
      </c>
      <c r="W73" s="156">
        <v>40</v>
      </c>
      <c r="X73" s="156">
        <v>40</v>
      </c>
      <c r="Y73" s="156">
        <v>40</v>
      </c>
      <c r="Z73" s="156">
        <v>40</v>
      </c>
      <c r="AA73" s="156">
        <v>40</v>
      </c>
      <c r="AB73" s="156">
        <v>40</v>
      </c>
      <c r="AC73" s="156">
        <v>40</v>
      </c>
      <c r="AD73" s="156">
        <v>40</v>
      </c>
      <c r="AE73" s="156">
        <v>40</v>
      </c>
      <c r="AF73" s="156">
        <v>40</v>
      </c>
      <c r="AG73" s="156">
        <v>40</v>
      </c>
      <c r="AH73" s="156">
        <v>40</v>
      </c>
      <c r="AI73" s="156">
        <v>40</v>
      </c>
      <c r="AJ73" s="156">
        <v>40</v>
      </c>
      <c r="AK73" s="156">
        <v>40</v>
      </c>
      <c r="AL73" s="157">
        <v>40</v>
      </c>
      <c r="AM73" s="156">
        <v>40</v>
      </c>
      <c r="AN73" s="156">
        <v>40</v>
      </c>
      <c r="AO73" s="156">
        <v>40</v>
      </c>
      <c r="AP73" s="156">
        <v>40</v>
      </c>
    </row>
    <row r="74" spans="1:42" ht="15">
      <c r="A74" s="490" t="s">
        <v>2168</v>
      </c>
      <c r="B74" s="491"/>
      <c r="C74" s="491"/>
      <c r="D74" s="491"/>
      <c r="E74" s="492"/>
      <c r="F74" s="155">
        <f t="shared" ref="F74:AP74" si="18">SUM(F71:F73)</f>
        <v>168480</v>
      </c>
      <c r="G74" s="156">
        <f t="shared" si="18"/>
        <v>120</v>
      </c>
      <c r="H74" s="156">
        <f t="shared" si="18"/>
        <v>120</v>
      </c>
      <c r="I74" s="156">
        <f t="shared" si="18"/>
        <v>120</v>
      </c>
      <c r="J74" s="156">
        <f t="shared" si="18"/>
        <v>120</v>
      </c>
      <c r="K74" s="156">
        <f t="shared" si="18"/>
        <v>120</v>
      </c>
      <c r="L74" s="156">
        <f t="shared" si="18"/>
        <v>120</v>
      </c>
      <c r="M74" s="156">
        <f t="shared" si="18"/>
        <v>120</v>
      </c>
      <c r="N74" s="156">
        <f t="shared" si="18"/>
        <v>120</v>
      </c>
      <c r="O74" s="156">
        <f t="shared" si="18"/>
        <v>120</v>
      </c>
      <c r="P74" s="157">
        <f t="shared" si="18"/>
        <v>120</v>
      </c>
      <c r="Q74" s="156">
        <f t="shared" si="18"/>
        <v>120</v>
      </c>
      <c r="R74" s="156">
        <f t="shared" si="18"/>
        <v>120</v>
      </c>
      <c r="S74" s="156">
        <f t="shared" si="18"/>
        <v>120</v>
      </c>
      <c r="T74" s="156">
        <f t="shared" si="18"/>
        <v>120</v>
      </c>
      <c r="U74" s="156">
        <f t="shared" si="18"/>
        <v>120</v>
      </c>
      <c r="V74" s="156">
        <f t="shared" si="18"/>
        <v>120</v>
      </c>
      <c r="W74" s="156">
        <f t="shared" si="18"/>
        <v>120</v>
      </c>
      <c r="X74" s="156">
        <f t="shared" si="18"/>
        <v>120</v>
      </c>
      <c r="Y74" s="156">
        <f t="shared" si="18"/>
        <v>120</v>
      </c>
      <c r="Z74" s="156">
        <f t="shared" si="18"/>
        <v>120</v>
      </c>
      <c r="AA74" s="156">
        <f t="shared" si="18"/>
        <v>120</v>
      </c>
      <c r="AB74" s="156">
        <f t="shared" si="18"/>
        <v>120</v>
      </c>
      <c r="AC74" s="156">
        <f t="shared" si="18"/>
        <v>120</v>
      </c>
      <c r="AD74" s="156">
        <f t="shared" si="18"/>
        <v>120</v>
      </c>
      <c r="AE74" s="156">
        <f t="shared" si="18"/>
        <v>120</v>
      </c>
      <c r="AF74" s="156">
        <f t="shared" si="18"/>
        <v>120</v>
      </c>
      <c r="AG74" s="156">
        <f t="shared" si="18"/>
        <v>120</v>
      </c>
      <c r="AH74" s="156">
        <f t="shared" si="18"/>
        <v>120</v>
      </c>
      <c r="AI74" s="156">
        <f t="shared" si="18"/>
        <v>120</v>
      </c>
      <c r="AJ74" s="156">
        <f t="shared" si="18"/>
        <v>120</v>
      </c>
      <c r="AK74" s="156">
        <f t="shared" si="18"/>
        <v>120</v>
      </c>
      <c r="AL74" s="157">
        <f t="shared" si="18"/>
        <v>120</v>
      </c>
      <c r="AM74" s="156">
        <f t="shared" si="18"/>
        <v>120</v>
      </c>
      <c r="AN74" s="156">
        <f t="shared" si="18"/>
        <v>120</v>
      </c>
      <c r="AO74" s="156">
        <f t="shared" si="18"/>
        <v>120</v>
      </c>
      <c r="AP74" s="156">
        <f t="shared" si="18"/>
        <v>120</v>
      </c>
    </row>
    <row r="75" spans="1:42" ht="13">
      <c r="A75" s="159"/>
      <c r="B75" s="149"/>
      <c r="C75" s="160"/>
      <c r="D75" s="160"/>
      <c r="E75" s="161"/>
      <c r="F75" s="162"/>
      <c r="G75" s="159"/>
      <c r="H75" s="159"/>
      <c r="I75" s="163"/>
      <c r="J75" s="163"/>
      <c r="K75" s="163"/>
      <c r="L75" s="163"/>
      <c r="M75" s="163"/>
      <c r="N75" s="163"/>
      <c r="O75" s="163"/>
      <c r="P75" s="164"/>
      <c r="Q75" s="163"/>
      <c r="R75" s="163"/>
      <c r="S75" s="163"/>
      <c r="T75" s="163"/>
      <c r="U75" s="163"/>
      <c r="V75" s="163"/>
      <c r="W75" s="163"/>
      <c r="X75" s="163"/>
      <c r="Y75" s="163"/>
      <c r="Z75" s="163"/>
      <c r="AA75" s="163"/>
      <c r="AB75" s="163"/>
      <c r="AC75" s="163"/>
      <c r="AD75" s="163"/>
      <c r="AE75" s="163"/>
      <c r="AF75" s="163"/>
      <c r="AG75" s="163"/>
      <c r="AH75" s="163"/>
      <c r="AI75" s="163"/>
      <c r="AJ75" s="163"/>
      <c r="AK75" s="163"/>
      <c r="AL75" s="164"/>
      <c r="AM75" s="163"/>
      <c r="AN75" s="163"/>
    </row>
    <row r="76" spans="1:42" ht="13">
      <c r="A76" s="159"/>
      <c r="B76" s="149"/>
      <c r="C76" s="160"/>
      <c r="D76" s="160"/>
      <c r="E76" s="161"/>
      <c r="F76" s="162"/>
      <c r="G76" s="159"/>
      <c r="H76" s="159"/>
      <c r="I76" s="163"/>
      <c r="J76" s="163"/>
      <c r="K76" s="163"/>
      <c r="L76" s="163"/>
      <c r="M76" s="163"/>
      <c r="N76" s="163"/>
      <c r="O76" s="163"/>
      <c r="P76" s="164"/>
      <c r="Q76" s="163"/>
      <c r="R76" s="163"/>
      <c r="S76" s="163"/>
      <c r="T76" s="163"/>
      <c r="U76" s="163"/>
      <c r="V76" s="163"/>
      <c r="W76" s="163"/>
      <c r="X76" s="163"/>
      <c r="Y76" s="163"/>
      <c r="Z76" s="163"/>
      <c r="AA76" s="163"/>
      <c r="AB76" s="163"/>
      <c r="AC76" s="163"/>
      <c r="AD76" s="163"/>
      <c r="AE76" s="163"/>
      <c r="AF76" s="163"/>
      <c r="AG76" s="163"/>
      <c r="AH76" s="163"/>
      <c r="AI76" s="163"/>
      <c r="AJ76" s="163"/>
      <c r="AK76" s="163"/>
      <c r="AL76" s="164"/>
      <c r="AM76" s="163"/>
      <c r="AN76" s="163"/>
    </row>
    <row r="77" spans="1:42" ht="15">
      <c r="A77" s="503" t="s">
        <v>2171</v>
      </c>
      <c r="B77" s="504"/>
      <c r="C77" s="165">
        <f>ROUND(SUM(C54:C73), 0)</f>
        <v>1508</v>
      </c>
      <c r="D77" s="153">
        <f>SUM(D54:D73)</f>
        <v>12060</v>
      </c>
      <c r="E77" s="166"/>
      <c r="F77" s="167">
        <f>SUM(F59, F66,F74)</f>
        <v>557640</v>
      </c>
      <c r="I77" s="163"/>
      <c r="J77" s="159"/>
      <c r="K77" s="159"/>
      <c r="L77" s="159"/>
      <c r="M77" s="159"/>
      <c r="N77" s="159"/>
      <c r="O77" s="159"/>
      <c r="P77" s="168"/>
      <c r="Q77" s="159"/>
      <c r="R77" s="159"/>
      <c r="S77" s="159"/>
      <c r="T77" s="159"/>
      <c r="U77" s="159"/>
      <c r="V77" s="159"/>
      <c r="W77" s="159"/>
      <c r="X77" s="159"/>
      <c r="Y77" s="159"/>
      <c r="Z77" s="159"/>
      <c r="AA77" s="159"/>
      <c r="AB77" s="159"/>
      <c r="AC77" s="159"/>
      <c r="AD77" s="159"/>
      <c r="AE77" s="159"/>
      <c r="AF77" s="159"/>
      <c r="AG77" s="159"/>
      <c r="AH77" s="159"/>
      <c r="AI77" s="159"/>
      <c r="AJ77" s="159"/>
      <c r="AK77" s="159"/>
      <c r="AL77" s="168"/>
      <c r="AM77" s="159"/>
      <c r="AN77" s="159"/>
    </row>
    <row r="78" spans="1:42" ht="15">
      <c r="A78" s="503" t="s">
        <v>2172</v>
      </c>
      <c r="B78" s="504"/>
      <c r="C78" s="169">
        <v>0</v>
      </c>
      <c r="D78" s="153"/>
      <c r="E78" s="170"/>
      <c r="F78" s="171"/>
      <c r="G78" s="159"/>
      <c r="H78" s="163"/>
      <c r="I78" s="172"/>
      <c r="J78" s="163"/>
      <c r="K78" s="163"/>
      <c r="L78" s="163"/>
      <c r="M78" s="163"/>
      <c r="N78" s="163"/>
      <c r="O78" s="163"/>
      <c r="P78" s="164"/>
      <c r="Q78" s="163"/>
      <c r="R78" s="163"/>
      <c r="S78" s="163"/>
      <c r="T78" s="163"/>
      <c r="U78" s="163"/>
      <c r="V78" s="163"/>
      <c r="W78" s="163"/>
      <c r="X78" s="163"/>
      <c r="Y78" s="163"/>
      <c r="Z78" s="163"/>
      <c r="AA78" s="163"/>
      <c r="AB78" s="163"/>
      <c r="AC78" s="163"/>
      <c r="AD78" s="163"/>
      <c r="AE78" s="163"/>
      <c r="AF78" s="163"/>
      <c r="AG78" s="159"/>
      <c r="AH78" s="159"/>
      <c r="AI78" s="159"/>
      <c r="AJ78" s="159"/>
      <c r="AK78" s="159"/>
      <c r="AL78" s="168"/>
      <c r="AM78" s="159"/>
      <c r="AN78" s="159"/>
    </row>
    <row r="79" spans="1:42" ht="15">
      <c r="A79" s="503" t="s">
        <v>2173</v>
      </c>
      <c r="B79" s="504"/>
      <c r="C79" s="173">
        <f>C77-C78</f>
        <v>1508</v>
      </c>
      <c r="D79" s="153"/>
      <c r="E79" s="170"/>
      <c r="F79" s="171"/>
      <c r="G79" s="163"/>
      <c r="I79" s="174"/>
      <c r="J79" s="175"/>
      <c r="K79" s="163"/>
      <c r="L79" s="163"/>
      <c r="M79" s="163"/>
      <c r="N79" s="163"/>
      <c r="O79" s="163"/>
      <c r="P79" s="164"/>
      <c r="Q79" s="163"/>
      <c r="R79" s="163"/>
      <c r="S79" s="163"/>
      <c r="T79" s="163"/>
      <c r="U79" s="163"/>
      <c r="V79" s="163"/>
      <c r="W79" s="163"/>
      <c r="X79" s="163"/>
      <c r="Y79" s="163"/>
      <c r="Z79" s="163"/>
      <c r="AA79" s="163"/>
      <c r="AB79" s="163"/>
      <c r="AC79" s="163"/>
      <c r="AD79" s="163"/>
      <c r="AE79" s="163"/>
      <c r="AF79" s="163"/>
      <c r="AG79" s="163"/>
      <c r="AH79" s="163"/>
      <c r="AI79" s="163"/>
      <c r="AJ79" s="163"/>
      <c r="AK79" s="163"/>
      <c r="AL79" s="164"/>
      <c r="AM79" s="163"/>
      <c r="AN79" s="163"/>
    </row>
    <row r="80" spans="1:42" ht="15">
      <c r="A80" s="176" t="s">
        <v>2174</v>
      </c>
      <c r="B80" s="505" t="s">
        <v>2152</v>
      </c>
      <c r="C80" s="492"/>
      <c r="D80" s="177">
        <f>F59</f>
        <v>106920</v>
      </c>
      <c r="E80" s="178" t="s">
        <v>2175</v>
      </c>
      <c r="F80" s="179">
        <f>F77-D80</f>
        <v>450720</v>
      </c>
      <c r="G80" s="163"/>
      <c r="H80" s="163"/>
      <c r="I80" s="163"/>
      <c r="J80" s="163"/>
      <c r="K80" s="163"/>
      <c r="L80" s="163"/>
      <c r="M80" s="163"/>
      <c r="N80" s="163"/>
      <c r="O80" s="163"/>
      <c r="P80" s="164"/>
      <c r="Q80" s="163"/>
      <c r="R80" s="163"/>
      <c r="S80" s="163"/>
      <c r="T80" s="163"/>
      <c r="U80" s="163"/>
      <c r="V80" s="163"/>
      <c r="W80" s="163"/>
      <c r="X80" s="163"/>
      <c r="Y80" s="163"/>
      <c r="Z80" s="163"/>
      <c r="AA80" s="163"/>
      <c r="AB80" s="163"/>
      <c r="AC80" s="163"/>
      <c r="AD80" s="163"/>
      <c r="AE80" s="163"/>
      <c r="AF80" s="163"/>
      <c r="AG80" s="163"/>
      <c r="AH80" s="163"/>
      <c r="AI80" s="163"/>
      <c r="AJ80" s="163"/>
      <c r="AK80" s="163"/>
      <c r="AL80" s="164"/>
      <c r="AM80" s="163"/>
      <c r="AN80" s="163"/>
    </row>
    <row r="81" spans="1:40" ht="13">
      <c r="A81" s="180"/>
      <c r="B81" s="149"/>
      <c r="C81" s="160"/>
      <c r="D81" s="146"/>
      <c r="E81" s="181"/>
      <c r="F81" s="182"/>
      <c r="G81" s="159"/>
      <c r="H81" s="159"/>
      <c r="I81" s="159"/>
      <c r="J81" s="159"/>
      <c r="K81" s="159"/>
      <c r="L81" s="159"/>
      <c r="M81" s="159"/>
      <c r="N81" s="159"/>
      <c r="O81" s="159"/>
      <c r="P81" s="168"/>
      <c r="Q81" s="159"/>
      <c r="R81" s="159"/>
      <c r="S81" s="159"/>
      <c r="T81" s="159"/>
      <c r="U81" s="159"/>
      <c r="V81" s="159"/>
      <c r="W81" s="159"/>
      <c r="X81" s="159"/>
      <c r="Y81" s="159"/>
      <c r="Z81" s="159"/>
      <c r="AA81" s="159"/>
      <c r="AB81" s="159"/>
      <c r="AC81" s="159"/>
      <c r="AD81" s="159"/>
      <c r="AE81" s="159"/>
      <c r="AF81" s="159"/>
      <c r="AG81" s="159"/>
      <c r="AH81" s="159"/>
      <c r="AI81" s="159"/>
      <c r="AJ81" s="159"/>
      <c r="AK81" s="159"/>
      <c r="AL81" s="168"/>
      <c r="AM81" s="159"/>
      <c r="AN81" s="159"/>
    </row>
    <row r="82" spans="1:40" ht="13">
      <c r="A82" s="180"/>
      <c r="B82" s="149"/>
      <c r="C82" s="160"/>
      <c r="D82" s="160"/>
      <c r="E82" s="161"/>
      <c r="F82" s="162"/>
      <c r="G82" s="159"/>
      <c r="H82" s="159"/>
      <c r="I82" s="159"/>
      <c r="J82" s="159"/>
      <c r="K82" s="159"/>
      <c r="L82" s="159"/>
      <c r="M82" s="159"/>
      <c r="N82" s="159"/>
      <c r="O82" s="159"/>
      <c r="P82" s="168"/>
      <c r="Q82" s="159"/>
      <c r="R82" s="159"/>
      <c r="S82" s="159"/>
      <c r="T82" s="159"/>
      <c r="U82" s="159"/>
      <c r="V82" s="159"/>
      <c r="W82" s="159"/>
      <c r="X82" s="159"/>
      <c r="Y82" s="159"/>
      <c r="Z82" s="159"/>
      <c r="AA82" s="159"/>
      <c r="AB82" s="159"/>
      <c r="AC82" s="159"/>
      <c r="AD82" s="159"/>
      <c r="AE82" s="159"/>
      <c r="AF82" s="159"/>
      <c r="AG82" s="159"/>
      <c r="AH82" s="159"/>
      <c r="AI82" s="159"/>
      <c r="AJ82" s="159"/>
      <c r="AK82" s="159"/>
      <c r="AL82" s="168"/>
      <c r="AM82" s="159"/>
      <c r="AN82" s="159"/>
    </row>
    <row r="83" spans="1:40" ht="13">
      <c r="A83" s="180"/>
      <c r="B83" s="149"/>
      <c r="C83" s="160"/>
      <c r="D83" s="488"/>
      <c r="E83" s="489"/>
      <c r="F83" s="182"/>
      <c r="G83" s="159"/>
      <c r="H83" s="159"/>
      <c r="I83" s="159"/>
      <c r="J83" s="159"/>
      <c r="K83" s="159"/>
      <c r="L83" s="159"/>
      <c r="M83" s="159"/>
      <c r="N83" s="159"/>
      <c r="O83" s="159"/>
      <c r="P83" s="168"/>
      <c r="Q83" s="159"/>
      <c r="R83" s="159"/>
      <c r="S83" s="159"/>
      <c r="T83" s="159"/>
      <c r="U83" s="159"/>
      <c r="V83" s="159"/>
      <c r="W83" s="159"/>
      <c r="X83" s="159"/>
      <c r="Y83" s="159"/>
      <c r="Z83" s="159"/>
      <c r="AA83" s="159"/>
      <c r="AB83" s="159"/>
      <c r="AC83" s="159"/>
      <c r="AD83" s="159"/>
      <c r="AE83" s="159"/>
      <c r="AF83" s="159"/>
      <c r="AG83" s="159"/>
      <c r="AH83" s="159"/>
      <c r="AI83" s="159"/>
      <c r="AJ83" s="159"/>
      <c r="AK83" s="159"/>
      <c r="AL83" s="168"/>
      <c r="AM83" s="159"/>
      <c r="AN83" s="159"/>
    </row>
    <row r="84" spans="1:40" ht="13">
      <c r="A84" s="183" t="s">
        <v>2176</v>
      </c>
      <c r="B84" s="149"/>
      <c r="C84" s="160"/>
      <c r="D84" s="160"/>
      <c r="E84" s="161"/>
      <c r="F84" s="162"/>
      <c r="G84" s="184"/>
      <c r="H84" s="159"/>
      <c r="I84" s="159"/>
      <c r="J84" s="159"/>
      <c r="K84" s="159"/>
      <c r="L84" s="159"/>
      <c r="M84" s="159"/>
      <c r="N84" s="159"/>
      <c r="O84" s="159"/>
      <c r="P84" s="168"/>
      <c r="Q84" s="159"/>
      <c r="R84" s="159"/>
      <c r="S84" s="159"/>
      <c r="T84" s="159"/>
      <c r="U84" s="159"/>
      <c r="V84" s="159"/>
      <c r="W84" s="159"/>
      <c r="X84" s="159"/>
      <c r="Y84" s="159"/>
      <c r="Z84" s="159"/>
      <c r="AA84" s="159"/>
      <c r="AB84" s="159"/>
      <c r="AC84" s="159"/>
      <c r="AD84" s="159"/>
      <c r="AE84" s="159"/>
      <c r="AF84" s="159"/>
      <c r="AG84" s="159"/>
      <c r="AH84" s="159"/>
      <c r="AI84" s="159"/>
      <c r="AJ84" s="159"/>
      <c r="AK84" s="159"/>
      <c r="AL84" s="168"/>
      <c r="AM84" s="159"/>
      <c r="AN84" s="159"/>
    </row>
    <row r="85" spans="1:40" ht="13">
      <c r="A85" s="185" t="s">
        <v>2177</v>
      </c>
      <c r="B85" s="186"/>
      <c r="C85" s="146"/>
      <c r="D85" s="146"/>
      <c r="E85" s="181"/>
      <c r="F85" s="182"/>
      <c r="G85" s="159"/>
      <c r="H85" s="159"/>
      <c r="I85" s="159"/>
      <c r="J85" s="159"/>
      <c r="K85" s="159"/>
      <c r="L85" s="159"/>
      <c r="M85" s="159"/>
      <c r="N85" s="159"/>
      <c r="O85" s="159"/>
      <c r="P85" s="168"/>
      <c r="Q85" s="159"/>
      <c r="R85" s="159"/>
      <c r="S85" s="159"/>
      <c r="T85" s="159"/>
      <c r="U85" s="159"/>
      <c r="V85" s="159"/>
      <c r="W85" s="159"/>
      <c r="X85" s="159"/>
      <c r="Y85" s="159"/>
      <c r="Z85" s="159"/>
      <c r="AA85" s="159"/>
      <c r="AB85" s="159"/>
      <c r="AC85" s="159"/>
      <c r="AD85" s="159"/>
      <c r="AE85" s="159"/>
      <c r="AF85" s="159"/>
      <c r="AG85" s="159"/>
      <c r="AH85" s="159"/>
      <c r="AI85" s="159"/>
      <c r="AJ85" s="159"/>
      <c r="AK85" s="159"/>
      <c r="AL85" s="168"/>
      <c r="AM85" s="159"/>
      <c r="AN85" s="159"/>
    </row>
    <row r="86" spans="1:40" ht="13">
      <c r="A86" s="159"/>
      <c r="B86" s="149"/>
      <c r="C86" s="160"/>
      <c r="D86" s="160"/>
      <c r="E86" s="161"/>
      <c r="F86" s="162"/>
      <c r="G86" s="159"/>
      <c r="H86" s="159"/>
      <c r="I86" s="159"/>
      <c r="J86" s="159"/>
      <c r="K86" s="159"/>
      <c r="L86" s="159"/>
      <c r="M86" s="159"/>
      <c r="N86" s="159"/>
      <c r="O86" s="159"/>
      <c r="P86" s="168"/>
      <c r="Q86" s="159"/>
      <c r="R86" s="159"/>
      <c r="S86" s="159"/>
      <c r="T86" s="159"/>
      <c r="U86" s="159"/>
      <c r="V86" s="159"/>
      <c r="W86" s="159"/>
      <c r="X86" s="159"/>
      <c r="Y86" s="159"/>
      <c r="Z86" s="159"/>
      <c r="AA86" s="159"/>
      <c r="AB86" s="159"/>
      <c r="AC86" s="159"/>
      <c r="AD86" s="159"/>
      <c r="AE86" s="159"/>
      <c r="AF86" s="159"/>
      <c r="AG86" s="159"/>
      <c r="AH86" s="159"/>
      <c r="AI86" s="159"/>
      <c r="AJ86" s="159"/>
      <c r="AK86" s="159"/>
      <c r="AL86" s="168"/>
      <c r="AM86" s="159"/>
      <c r="AN86" s="159"/>
    </row>
    <row r="89" spans="1:40">
      <c r="A89" s="192" t="s">
        <v>2178</v>
      </c>
      <c r="B89" s="192" t="s">
        <v>2179</v>
      </c>
      <c r="C89" s="187" t="s">
        <v>2180</v>
      </c>
    </row>
    <row r="90" spans="1:40">
      <c r="A90" s="42" t="s">
        <v>2082</v>
      </c>
      <c r="B90">
        <v>28014</v>
      </c>
      <c r="C90" s="187">
        <v>1283988.5338467336</v>
      </c>
    </row>
    <row r="91" spans="1:40">
      <c r="A91" s="188" t="s">
        <v>2181</v>
      </c>
      <c r="B91">
        <v>6948</v>
      </c>
      <c r="C91" s="187">
        <v>313304.05543270393</v>
      </c>
    </row>
    <row r="92" spans="1:40">
      <c r="A92" s="189" t="s">
        <v>2072</v>
      </c>
      <c r="B92">
        <v>6748</v>
      </c>
      <c r="C92" s="187">
        <v>299152.20249346853</v>
      </c>
    </row>
    <row r="93" spans="1:40">
      <c r="A93" s="190" t="s">
        <v>2089</v>
      </c>
      <c r="B93">
        <v>3804</v>
      </c>
      <c r="C93" s="187">
        <v>174351.29043597297</v>
      </c>
    </row>
    <row r="94" spans="1:40">
      <c r="A94" s="191" t="s">
        <v>2084</v>
      </c>
      <c r="B94">
        <v>3804</v>
      </c>
      <c r="C94" s="187">
        <v>174351.29043597297</v>
      </c>
    </row>
    <row r="95" spans="1:40">
      <c r="A95" s="190" t="s">
        <v>2085</v>
      </c>
      <c r="B95">
        <v>800</v>
      </c>
      <c r="C95" s="187">
        <v>36666.938051729347</v>
      </c>
    </row>
    <row r="96" spans="1:40">
      <c r="A96" s="191" t="s">
        <v>2084</v>
      </c>
      <c r="B96">
        <v>800</v>
      </c>
      <c r="C96" s="187">
        <v>36666.938051729347</v>
      </c>
    </row>
    <row r="97" spans="1:3">
      <c r="A97" s="190" t="s">
        <v>2078</v>
      </c>
      <c r="B97">
        <v>480</v>
      </c>
      <c r="C97" s="187">
        <v>23068.963963963972</v>
      </c>
    </row>
    <row r="98" spans="1:3">
      <c r="A98" s="191" t="s">
        <v>2084</v>
      </c>
      <c r="B98">
        <v>480</v>
      </c>
      <c r="C98" s="187">
        <v>23068.963963963972</v>
      </c>
    </row>
    <row r="99" spans="1:3">
      <c r="A99" s="190" t="s">
        <v>2091</v>
      </c>
      <c r="B99">
        <v>1616</v>
      </c>
      <c r="C99" s="187">
        <v>62758.113645405872</v>
      </c>
    </row>
    <row r="100" spans="1:3">
      <c r="A100" s="191" t="s">
        <v>2084</v>
      </c>
      <c r="B100">
        <v>1616</v>
      </c>
      <c r="C100" s="187">
        <v>62758.113645405872</v>
      </c>
    </row>
    <row r="101" spans="1:3">
      <c r="A101" s="190" t="s">
        <v>2182</v>
      </c>
      <c r="B101">
        <v>48</v>
      </c>
      <c r="C101" s="187">
        <v>2306.8963963963961</v>
      </c>
    </row>
    <row r="102" spans="1:3">
      <c r="A102" s="191" t="s">
        <v>2084</v>
      </c>
      <c r="B102">
        <v>48</v>
      </c>
      <c r="C102" s="187">
        <v>2306.8963963963961</v>
      </c>
    </row>
    <row r="103" spans="1:3">
      <c r="A103" s="189" t="s">
        <v>2081</v>
      </c>
      <c r="B103">
        <v>200</v>
      </c>
      <c r="C103" s="187">
        <v>14151.852939235379</v>
      </c>
    </row>
    <row r="104" spans="1:3">
      <c r="A104" s="190" t="s">
        <v>2160</v>
      </c>
      <c r="B104">
        <v>200</v>
      </c>
      <c r="C104" s="187">
        <v>14151.852939235379</v>
      </c>
    </row>
    <row r="105" spans="1:3">
      <c r="A105" s="191" t="s">
        <v>2074</v>
      </c>
      <c r="B105">
        <v>200</v>
      </c>
      <c r="C105" s="187">
        <v>14151.852939235379</v>
      </c>
    </row>
    <row r="106" spans="1:3">
      <c r="A106" s="188" t="s">
        <v>2029</v>
      </c>
      <c r="B106">
        <v>1104</v>
      </c>
      <c r="C106" s="187">
        <v>50830.520802358136</v>
      </c>
    </row>
    <row r="107" spans="1:3">
      <c r="A107" s="189" t="s">
        <v>2072</v>
      </c>
      <c r="B107">
        <v>960</v>
      </c>
      <c r="C107" s="187">
        <v>40641.18668610866</v>
      </c>
    </row>
    <row r="108" spans="1:3">
      <c r="A108" s="190" t="s">
        <v>2089</v>
      </c>
      <c r="B108">
        <v>320</v>
      </c>
      <c r="C108" s="187">
        <v>14666.775220691739</v>
      </c>
    </row>
    <row r="109" spans="1:3">
      <c r="A109" s="191" t="s">
        <v>2084</v>
      </c>
      <c r="B109">
        <v>320</v>
      </c>
      <c r="C109" s="187">
        <v>14666.775220691739</v>
      </c>
    </row>
    <row r="110" spans="1:3">
      <c r="A110" s="190" t="s">
        <v>2085</v>
      </c>
      <c r="B110">
        <v>160</v>
      </c>
      <c r="C110" s="187">
        <v>7333.3876103458697</v>
      </c>
    </row>
    <row r="111" spans="1:3">
      <c r="A111" s="191" t="s">
        <v>2084</v>
      </c>
      <c r="B111">
        <v>160</v>
      </c>
      <c r="C111" s="187">
        <v>7333.3876103458697</v>
      </c>
    </row>
    <row r="112" spans="1:3">
      <c r="A112" s="190" t="s">
        <v>2091</v>
      </c>
      <c r="B112">
        <v>480</v>
      </c>
      <c r="C112" s="187">
        <v>18641.023855071049</v>
      </c>
    </row>
    <row r="113" spans="1:3">
      <c r="A113" s="191" t="s">
        <v>2084</v>
      </c>
      <c r="B113">
        <v>480</v>
      </c>
      <c r="C113" s="187">
        <v>18641.023855071049</v>
      </c>
    </row>
    <row r="114" spans="1:3">
      <c r="A114" s="189" t="s">
        <v>2081</v>
      </c>
      <c r="B114">
        <v>144</v>
      </c>
      <c r="C114" s="187">
        <v>10189.334116249478</v>
      </c>
    </row>
    <row r="115" spans="1:3">
      <c r="A115" s="190" t="s">
        <v>2160</v>
      </c>
      <c r="B115">
        <v>144</v>
      </c>
      <c r="C115" s="187">
        <v>10189.334116249478</v>
      </c>
    </row>
    <row r="116" spans="1:3">
      <c r="A116" s="191" t="s">
        <v>2074</v>
      </c>
      <c r="B116">
        <v>144</v>
      </c>
      <c r="C116" s="187">
        <v>10189.334116249478</v>
      </c>
    </row>
    <row r="117" spans="1:3">
      <c r="A117" s="188" t="s">
        <v>2183</v>
      </c>
      <c r="B117">
        <v>880</v>
      </c>
      <c r="C117" s="187">
        <v>42082.300613967018</v>
      </c>
    </row>
    <row r="118" spans="1:3">
      <c r="A118" s="189" t="s">
        <v>2072</v>
      </c>
      <c r="B118">
        <v>720</v>
      </c>
      <c r="C118" s="187">
        <v>30760.818262578709</v>
      </c>
    </row>
    <row r="119" spans="1:3">
      <c r="A119" s="190" t="s">
        <v>2089</v>
      </c>
      <c r="B119">
        <v>320</v>
      </c>
      <c r="C119" s="187">
        <v>14666.775220691739</v>
      </c>
    </row>
    <row r="120" spans="1:3">
      <c r="A120" s="191" t="s">
        <v>2084</v>
      </c>
      <c r="B120">
        <v>320</v>
      </c>
      <c r="C120" s="187">
        <v>14666.775220691739</v>
      </c>
    </row>
    <row r="121" spans="1:3">
      <c r="A121" s="190" t="s">
        <v>2085</v>
      </c>
      <c r="B121">
        <v>80</v>
      </c>
      <c r="C121" s="187">
        <v>3666.6938051729348</v>
      </c>
    </row>
    <row r="122" spans="1:3">
      <c r="A122" s="191" t="s">
        <v>2084</v>
      </c>
      <c r="B122">
        <v>80</v>
      </c>
      <c r="C122" s="187">
        <v>3666.6938051729348</v>
      </c>
    </row>
    <row r="123" spans="1:3">
      <c r="A123" s="190" t="s">
        <v>2091</v>
      </c>
      <c r="B123">
        <v>320</v>
      </c>
      <c r="C123" s="187">
        <v>12427.349236714033</v>
      </c>
    </row>
    <row r="124" spans="1:3">
      <c r="A124" s="191" t="s">
        <v>2084</v>
      </c>
      <c r="B124">
        <v>320</v>
      </c>
      <c r="C124" s="187">
        <v>12427.349236714033</v>
      </c>
    </row>
    <row r="125" spans="1:3">
      <c r="A125" s="189" t="s">
        <v>2081</v>
      </c>
      <c r="B125">
        <v>160</v>
      </c>
      <c r="C125" s="187">
        <v>11321.482351388309</v>
      </c>
    </row>
    <row r="126" spans="1:3">
      <c r="A126" s="190" t="s">
        <v>2160</v>
      </c>
      <c r="B126">
        <v>160</v>
      </c>
      <c r="C126" s="187">
        <v>11321.482351388309</v>
      </c>
    </row>
    <row r="127" spans="1:3">
      <c r="A127" s="191" t="s">
        <v>2074</v>
      </c>
      <c r="B127">
        <v>160</v>
      </c>
      <c r="C127" s="187">
        <v>11321.482351388309</v>
      </c>
    </row>
    <row r="128" spans="1:3">
      <c r="A128" s="188" t="s">
        <v>2076</v>
      </c>
      <c r="B128">
        <v>19082</v>
      </c>
      <c r="C128" s="187">
        <v>877771.65699770465</v>
      </c>
    </row>
    <row r="129" spans="1:3">
      <c r="A129" s="189" t="s">
        <v>2072</v>
      </c>
      <c r="B129">
        <v>18113</v>
      </c>
      <c r="C129" s="187">
        <v>809205.9295071091</v>
      </c>
    </row>
    <row r="130" spans="1:3">
      <c r="A130" s="190" t="s">
        <v>2089</v>
      </c>
      <c r="B130">
        <v>4992</v>
      </c>
      <c r="C130" s="187">
        <v>228801.693442791</v>
      </c>
    </row>
    <row r="131" spans="1:3">
      <c r="A131" s="191" t="s">
        <v>2084</v>
      </c>
      <c r="B131">
        <v>4992</v>
      </c>
      <c r="C131" s="187">
        <v>228801.693442791</v>
      </c>
    </row>
    <row r="132" spans="1:3">
      <c r="A132" s="190" t="s">
        <v>2160</v>
      </c>
      <c r="B132">
        <v>1200</v>
      </c>
      <c r="C132" s="187">
        <v>84911.117635412316</v>
      </c>
    </row>
    <row r="133" spans="1:3">
      <c r="A133" s="191" t="s">
        <v>2074</v>
      </c>
      <c r="B133">
        <v>1200</v>
      </c>
      <c r="C133" s="187">
        <v>84911.117635412316</v>
      </c>
    </row>
    <row r="134" spans="1:3">
      <c r="A134" s="190" t="s">
        <v>2085</v>
      </c>
      <c r="B134">
        <v>4592</v>
      </c>
      <c r="C134" s="187">
        <v>210468.22441692636</v>
      </c>
    </row>
    <row r="135" spans="1:3">
      <c r="A135" s="191" t="s">
        <v>2084</v>
      </c>
      <c r="B135">
        <v>4592</v>
      </c>
      <c r="C135" s="187">
        <v>210468.22441692636</v>
      </c>
    </row>
    <row r="136" spans="1:3">
      <c r="A136" s="190" t="s">
        <v>2091</v>
      </c>
      <c r="B136">
        <v>7328</v>
      </c>
      <c r="C136" s="187">
        <v>284586.29752075131</v>
      </c>
    </row>
    <row r="137" spans="1:3">
      <c r="A137" s="191" t="s">
        <v>2084</v>
      </c>
      <c r="B137">
        <v>7328</v>
      </c>
      <c r="C137" s="187">
        <v>284586.29752075131</v>
      </c>
    </row>
    <row r="138" spans="1:3">
      <c r="A138" s="190" t="s">
        <v>2184</v>
      </c>
      <c r="B138">
        <v>1</v>
      </c>
      <c r="C138" s="187">
        <v>438.59649122807019</v>
      </c>
    </row>
    <row r="139" spans="1:3">
      <c r="A139" s="189" t="s">
        <v>2081</v>
      </c>
      <c r="B139">
        <v>969</v>
      </c>
      <c r="C139" s="187">
        <v>68565.727490595484</v>
      </c>
    </row>
    <row r="140" spans="1:3">
      <c r="A140" s="190" t="s">
        <v>2160</v>
      </c>
      <c r="B140">
        <v>969</v>
      </c>
      <c r="C140" s="187">
        <v>68565.727490595484</v>
      </c>
    </row>
    <row r="141" spans="1:3">
      <c r="A141" s="191" t="s">
        <v>2074</v>
      </c>
      <c r="B141">
        <v>969</v>
      </c>
      <c r="C141" s="187">
        <v>68565.727490595484</v>
      </c>
    </row>
    <row r="142" spans="1:3">
      <c r="A142" s="42" t="s">
        <v>2077</v>
      </c>
      <c r="B142">
        <v>2148</v>
      </c>
      <c r="C142" s="187">
        <v>117022.15155633951</v>
      </c>
    </row>
    <row r="143" spans="1:3">
      <c r="A143" s="188" t="s">
        <v>2029</v>
      </c>
      <c r="B143">
        <v>144</v>
      </c>
      <c r="C143" s="187">
        <v>6920.6891891891883</v>
      </c>
    </row>
    <row r="144" spans="1:3">
      <c r="A144" s="189" t="s">
        <v>2072</v>
      </c>
      <c r="B144">
        <v>144</v>
      </c>
      <c r="C144" s="187">
        <v>6920.6891891891883</v>
      </c>
    </row>
    <row r="145" spans="1:3">
      <c r="A145" s="190" t="s">
        <v>2078</v>
      </c>
      <c r="B145">
        <v>144</v>
      </c>
      <c r="C145" s="187">
        <v>6920.6891891891883</v>
      </c>
    </row>
    <row r="146" spans="1:3">
      <c r="A146" s="191" t="s">
        <v>2084</v>
      </c>
      <c r="B146">
        <v>144</v>
      </c>
      <c r="C146" s="187">
        <v>6920.6891891891883</v>
      </c>
    </row>
    <row r="147" spans="1:3">
      <c r="A147" s="188" t="s">
        <v>2183</v>
      </c>
      <c r="B147">
        <v>160</v>
      </c>
      <c r="C147" s="187">
        <v>7689.6546546546533</v>
      </c>
    </row>
    <row r="148" spans="1:3">
      <c r="A148" s="189" t="s">
        <v>2072</v>
      </c>
      <c r="B148">
        <v>160</v>
      </c>
      <c r="C148" s="187">
        <v>7689.6546546546533</v>
      </c>
    </row>
    <row r="149" spans="1:3">
      <c r="A149" s="190" t="s">
        <v>2078</v>
      </c>
      <c r="B149">
        <v>160</v>
      </c>
      <c r="C149" s="187">
        <v>7689.6546546546533</v>
      </c>
    </row>
    <row r="150" spans="1:3">
      <c r="A150" s="191" t="s">
        <v>2084</v>
      </c>
      <c r="B150">
        <v>160</v>
      </c>
      <c r="C150" s="187">
        <v>7689.6546546546533</v>
      </c>
    </row>
    <row r="151" spans="1:3">
      <c r="A151" s="188" t="s">
        <v>2076</v>
      </c>
      <c r="B151">
        <v>1844</v>
      </c>
      <c r="C151" s="187">
        <v>102411.80771249566</v>
      </c>
    </row>
    <row r="152" spans="1:3">
      <c r="A152" s="189" t="s">
        <v>2072</v>
      </c>
      <c r="B152">
        <v>1844</v>
      </c>
      <c r="C152" s="187">
        <v>102411.80771249566</v>
      </c>
    </row>
    <row r="153" spans="1:3">
      <c r="A153" s="190" t="s">
        <v>2185</v>
      </c>
      <c r="B153">
        <v>615</v>
      </c>
      <c r="C153" s="187">
        <v>22336.591986723568</v>
      </c>
    </row>
    <row r="154" spans="1:3">
      <c r="A154" s="191" t="s">
        <v>2084</v>
      </c>
      <c r="B154">
        <v>615</v>
      </c>
      <c r="C154" s="187">
        <v>22336.591986723568</v>
      </c>
    </row>
    <row r="155" spans="1:3">
      <c r="A155" s="190" t="s">
        <v>2078</v>
      </c>
      <c r="B155">
        <v>1029</v>
      </c>
      <c r="C155" s="187">
        <v>72811.283372366059</v>
      </c>
    </row>
    <row r="156" spans="1:3">
      <c r="A156" s="191" t="s">
        <v>2074</v>
      </c>
      <c r="B156">
        <v>1029</v>
      </c>
      <c r="C156" s="187">
        <v>72811.283372366059</v>
      </c>
    </row>
    <row r="157" spans="1:3">
      <c r="A157" s="190" t="s">
        <v>2186</v>
      </c>
      <c r="B157">
        <v>200</v>
      </c>
      <c r="C157" s="187">
        <v>7263.9323534060368</v>
      </c>
    </row>
    <row r="158" spans="1:3">
      <c r="A158" s="191" t="s">
        <v>2084</v>
      </c>
      <c r="B158">
        <v>200</v>
      </c>
      <c r="C158" s="187">
        <v>7263.9323534060368</v>
      </c>
    </row>
    <row r="159" spans="1:3">
      <c r="A159" s="42" t="s">
        <v>2187</v>
      </c>
      <c r="B159">
        <v>480</v>
      </c>
      <c r="C159" s="187">
        <v>22824.014089277247</v>
      </c>
    </row>
    <row r="160" spans="1:3">
      <c r="A160" s="188" t="s">
        <v>2076</v>
      </c>
      <c r="B160">
        <v>480</v>
      </c>
      <c r="C160" s="187">
        <v>22824.014089277247</v>
      </c>
    </row>
    <row r="161" spans="1:3">
      <c r="A161" s="189" t="s">
        <v>2072</v>
      </c>
      <c r="B161">
        <v>480</v>
      </c>
      <c r="C161" s="187">
        <v>22824.014089277247</v>
      </c>
    </row>
    <row r="162" spans="1:3">
      <c r="A162" s="190" t="s">
        <v>2188</v>
      </c>
      <c r="B162">
        <v>480</v>
      </c>
      <c r="C162" s="187">
        <v>22824.014089277247</v>
      </c>
    </row>
    <row r="163" spans="1:3">
      <c r="A163" s="191" t="s">
        <v>2084</v>
      </c>
      <c r="B163">
        <v>480</v>
      </c>
      <c r="C163" s="187">
        <v>22824.014089277247</v>
      </c>
    </row>
    <row r="164" spans="1:3">
      <c r="A164" s="42" t="s">
        <v>2189</v>
      </c>
      <c r="B164">
        <v>264</v>
      </c>
      <c r="C164" s="187">
        <v>12553.207749102487</v>
      </c>
    </row>
    <row r="165" spans="1:3">
      <c r="A165" s="188" t="s">
        <v>2076</v>
      </c>
      <c r="B165">
        <v>264</v>
      </c>
      <c r="C165" s="187">
        <v>12553.207749102487</v>
      </c>
    </row>
    <row r="166" spans="1:3">
      <c r="A166" s="189" t="s">
        <v>2072</v>
      </c>
      <c r="B166">
        <v>264</v>
      </c>
      <c r="C166" s="187">
        <v>12553.207749102487</v>
      </c>
    </row>
    <row r="167" spans="1:3">
      <c r="A167" s="190" t="s">
        <v>2190</v>
      </c>
      <c r="B167">
        <v>264</v>
      </c>
      <c r="C167" s="187">
        <v>12553.207749102487</v>
      </c>
    </row>
    <row r="168" spans="1:3">
      <c r="A168" s="191" t="s">
        <v>2084</v>
      </c>
      <c r="B168">
        <v>264</v>
      </c>
      <c r="C168" s="187">
        <v>12553.207749102487</v>
      </c>
    </row>
    <row r="169" spans="1:3">
      <c r="A169" s="42" t="s">
        <v>2191</v>
      </c>
      <c r="B169">
        <v>176</v>
      </c>
      <c r="C169" s="187">
        <v>7345.8228534958471</v>
      </c>
    </row>
    <row r="170" spans="1:3">
      <c r="A170" s="188" t="s">
        <v>2076</v>
      </c>
      <c r="B170">
        <v>176</v>
      </c>
      <c r="C170" s="187">
        <v>7345.8228534958471</v>
      </c>
    </row>
    <row r="171" spans="1:3">
      <c r="A171" s="189" t="s">
        <v>2072</v>
      </c>
      <c r="B171">
        <v>176</v>
      </c>
      <c r="C171" s="187">
        <v>7345.8228534958471</v>
      </c>
    </row>
    <row r="172" spans="1:3">
      <c r="A172" s="190" t="s">
        <v>2192</v>
      </c>
      <c r="B172">
        <v>160</v>
      </c>
      <c r="C172" s="187">
        <v>6213.6746183570167</v>
      </c>
    </row>
    <row r="173" spans="1:3">
      <c r="A173" s="191" t="s">
        <v>2084</v>
      </c>
      <c r="B173">
        <v>160</v>
      </c>
      <c r="C173" s="187">
        <v>6213.6746183570167</v>
      </c>
    </row>
    <row r="174" spans="1:3">
      <c r="A174" s="190" t="s">
        <v>2193</v>
      </c>
      <c r="B174">
        <v>16</v>
      </c>
      <c r="C174" s="187">
        <v>1132.1482351388308</v>
      </c>
    </row>
    <row r="175" spans="1:3">
      <c r="A175" s="191" t="s">
        <v>2074</v>
      </c>
      <c r="B175">
        <v>16</v>
      </c>
      <c r="C175" s="187">
        <v>1132.1482351388308</v>
      </c>
    </row>
    <row r="176" spans="1:3">
      <c r="A176" s="42" t="s">
        <v>2194</v>
      </c>
      <c r="B176">
        <v>441</v>
      </c>
      <c r="C176" s="187">
        <v>20311.347890540274</v>
      </c>
    </row>
    <row r="177" spans="1:3">
      <c r="A177" s="42" t="s">
        <v>40</v>
      </c>
      <c r="B177">
        <v>467</v>
      </c>
      <c r="C177" s="187">
        <v>38301.727273710952</v>
      </c>
    </row>
    <row r="178" spans="1:3">
      <c r="A178" s="42" t="s">
        <v>2195</v>
      </c>
      <c r="B178">
        <v>25</v>
      </c>
      <c r="C178" s="187">
        <v>6000.2917654496605</v>
      </c>
    </row>
    <row r="179" spans="1:3">
      <c r="A179" s="42" t="s">
        <v>2184</v>
      </c>
      <c r="C179" s="187">
        <v>0</v>
      </c>
    </row>
    <row r="180" spans="1:3">
      <c r="A180" s="188" t="s">
        <v>2184</v>
      </c>
      <c r="C180" s="187">
        <v>0</v>
      </c>
    </row>
    <row r="181" spans="1:3">
      <c r="A181" s="42" t="s">
        <v>2196</v>
      </c>
      <c r="B181">
        <v>32015</v>
      </c>
      <c r="C181" s="187">
        <v>1508347.0970246494</v>
      </c>
    </row>
  </sheetData>
  <mergeCells count="52">
    <mergeCell ref="F42:F44"/>
    <mergeCell ref="A42:A44"/>
    <mergeCell ref="B42:B44"/>
    <mergeCell ref="C42:C44"/>
    <mergeCell ref="D42:D44"/>
    <mergeCell ref="E42:E44"/>
    <mergeCell ref="AA44:AB44"/>
    <mergeCell ref="AC44:AD44"/>
    <mergeCell ref="G44:H44"/>
    <mergeCell ref="I44:J44"/>
    <mergeCell ref="K44:L44"/>
    <mergeCell ref="M44:N44"/>
    <mergeCell ref="O44:P44"/>
    <mergeCell ref="Q44:R44"/>
    <mergeCell ref="AY44:AZ44"/>
    <mergeCell ref="B45:F45"/>
    <mergeCell ref="G45:AH46"/>
    <mergeCell ref="AI45:AL46"/>
    <mergeCell ref="AM45:AN46"/>
    <mergeCell ref="AO45:AP46"/>
    <mergeCell ref="AE44:AF44"/>
    <mergeCell ref="AG44:AH44"/>
    <mergeCell ref="AI44:AJ44"/>
    <mergeCell ref="AK44:AL44"/>
    <mergeCell ref="AM44:AN44"/>
    <mergeCell ref="AO44:AP44"/>
    <mergeCell ref="S44:T44"/>
    <mergeCell ref="U44:V44"/>
    <mergeCell ref="W44:X44"/>
    <mergeCell ref="Y44:Z44"/>
    <mergeCell ref="AL47:AL53"/>
    <mergeCell ref="AQ44:AR44"/>
    <mergeCell ref="AS44:AT44"/>
    <mergeCell ref="AU44:AV44"/>
    <mergeCell ref="AW44:AX44"/>
    <mergeCell ref="B46:F46"/>
    <mergeCell ref="A47:A53"/>
    <mergeCell ref="P47:P53"/>
    <mergeCell ref="AA47:AD53"/>
    <mergeCell ref="AE47:AF53"/>
    <mergeCell ref="D83:E83"/>
    <mergeCell ref="A59:E59"/>
    <mergeCell ref="A60:A61"/>
    <mergeCell ref="B60:AN61"/>
    <mergeCell ref="A66:E66"/>
    <mergeCell ref="A69:A70"/>
    <mergeCell ref="B69:AN70"/>
    <mergeCell ref="A74:E74"/>
    <mergeCell ref="A77:B77"/>
    <mergeCell ref="A78:B78"/>
    <mergeCell ref="A79:B79"/>
    <mergeCell ref="B80:C80"/>
  </mergeCells>
  <phoneticPr fontId="37" type="noConversion"/>
  <conditionalFormatting sqref="C79">
    <cfRule type="cellIs" dxfId="22" priority="1" operator="lessThan">
      <formula>0</formula>
    </cfRule>
    <cfRule type="cellIs" dxfId="21" priority="2" operator="greaterThan">
      <formula>0</formula>
    </cfRule>
  </conditionalFormatting>
  <conditionalFormatting sqref="M35:M39">
    <cfRule type="expression" dxfId="20" priority="11" stopIfTrue="1">
      <formula>TRIM(INDIRECT("R"&amp;ROW()&amp;"C"&amp;(COLUMN()-3),FALSE))="Labor"</formula>
    </cfRule>
    <cfRule type="expression" dxfId="19" priority="12">
      <formula>TRIM(INDIRECT("R"&amp;ROW()&amp;"C"&amp;(COLUMN()-3),FALSE))&lt;&gt;"Labor"</formula>
    </cfRule>
  </conditionalFormatting>
  <conditionalFormatting sqref="N35:N39">
    <cfRule type="expression" dxfId="18" priority="3" stopIfTrue="1">
      <formula>TRIM(INDIRECT("R"&amp;ROW()&amp;"C"&amp;(COLUMN()-4),FALSE))&lt;&gt;"Labor"</formula>
    </cfRule>
  </conditionalFormatting>
  <conditionalFormatting sqref="O35:O39">
    <cfRule type="expression" dxfId="17" priority="6" stopIfTrue="1">
      <formula>TRIM(INDIRECT("R"&amp;ROW()&amp;"C"&amp;(COLUMN()-1),FALSE))&lt;&gt;"Y"</formula>
    </cfRule>
    <cfRule type="expression" dxfId="16" priority="9" stopIfTrue="1">
      <formula>TRIM(INDIRECT("R"&amp;ROW()&amp;"C"&amp;(COLUMN()-5),FALSE))="Labor"</formula>
    </cfRule>
    <cfRule type="expression" dxfId="15" priority="10">
      <formula>TRIM(INDIRECT("R"&amp;ROW()&amp;"C"&amp;(COLUMN()-5),FALSE))&lt;&gt;"Labor"</formula>
    </cfRule>
  </conditionalFormatting>
  <conditionalFormatting sqref="P35:P39">
    <cfRule type="expression" dxfId="14" priority="7" stopIfTrue="1">
      <formula>TRIM(INDIRECT("R"&amp;ROW()&amp;"C"&amp;(COLUMN()-6),FALSE))="Labor"</formula>
    </cfRule>
    <cfRule type="expression" dxfId="13" priority="8" stopIfTrue="1">
      <formula>TRIM(INDIRECT("R"&amp;ROW()&amp;"C"&amp;(COLUMN()-6),FALSE))&lt;&gt;"Labor"</formula>
    </cfRule>
  </conditionalFormatting>
  <conditionalFormatting sqref="Q35:Q39">
    <cfRule type="expression" dxfId="12" priority="4" stopIfTrue="1">
      <formula>TRIM(INDIRECT("R"&amp;ROW()&amp;"C"&amp;(COLUMN()-7),FALSE))="Hardware Purchase"</formula>
    </cfRule>
    <cfRule type="expression" dxfId="11" priority="5" stopIfTrue="1">
      <formula>TRIM(INDIRECT("R"&amp;ROW()&amp;"C"&amp;(COLUMN()-7),FALSE))&lt;&gt;"Hardware Purchase"</formula>
    </cfRule>
  </conditionalFormatting>
  <dataValidations count="2">
    <dataValidation type="list" allowBlank="1" showInputMessage="1" showErrorMessage="1" sqref="G35:G39" xr:uid="{BB8F4AA1-4F9E-D54E-9668-709CCE3738D7}">
      <formula1>"CAPEX,OTE"</formula1>
    </dataValidation>
    <dataValidation type="list" allowBlank="1" showInputMessage="1" showErrorMessage="1" sqref="D1:E1" xr:uid="{311CA168-63FE-4F42-B610-4289A69EDE97}">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4A5B2-A8F2-574F-94FE-3AD2607E469C}">
  <sheetPr codeName="Sheet21"/>
  <dimension ref="A1:V5"/>
  <sheetViews>
    <sheetView showGridLines="0" topLeftCell="D4" zoomScaleNormal="100" workbookViewId="0">
      <pane ySplit="1" topLeftCell="A5" activePane="bottomLeft" state="frozen"/>
      <selection activeCell="A4" sqref="A4"/>
      <selection pane="bottomLeft" activeCell="H6" sqref="H6"/>
    </sheetView>
  </sheetViews>
  <sheetFormatPr baseColWidth="10" defaultColWidth="12" defaultRowHeight="40" customHeight="1"/>
  <cols>
    <col min="1" max="1" width="34.75" style="21" bestFit="1" customWidth="1"/>
    <col min="2" max="2" width="19.25" style="21" customWidth="1"/>
    <col min="3" max="3" width="46.25" style="21" customWidth="1"/>
    <col min="4" max="4" width="64.75" style="276" customWidth="1"/>
    <col min="5" max="5" width="72.5" style="265" customWidth="1"/>
    <col min="6" max="6" width="60.25" style="22" customWidth="1"/>
    <col min="7" max="7" width="20.5" style="22" customWidth="1"/>
    <col min="8" max="8" width="21.75" style="22" customWidth="1"/>
    <col min="9" max="9" width="14.75" style="22" customWidth="1"/>
    <col min="10" max="10" width="21.5" style="22" customWidth="1"/>
    <col min="11" max="11" width="41.75" style="22" bestFit="1" customWidth="1"/>
    <col min="12" max="13" width="20.25" style="22" customWidth="1"/>
    <col min="14" max="14" width="13" style="22" customWidth="1"/>
    <col min="15" max="15" width="21.5" style="22" customWidth="1"/>
    <col min="16" max="17" width="13" style="22" customWidth="1"/>
    <col min="18" max="18" width="15.5" style="22" customWidth="1"/>
    <col min="19" max="19" width="15.25" style="22" customWidth="1"/>
    <col min="20" max="21" width="12" style="22"/>
    <col min="22" max="22" width="26.75" style="22" customWidth="1"/>
  </cols>
  <sheetData>
    <row r="1" spans="1:22" ht="40" customHeight="1">
      <c r="A1" s="269" t="s">
        <v>2232</v>
      </c>
      <c r="B1" s="270" t="s">
        <v>1</v>
      </c>
      <c r="D1" s="271"/>
      <c r="E1" s="272"/>
      <c r="V1" s="273"/>
    </row>
    <row r="2" spans="1:22" ht="40" customHeight="1">
      <c r="A2" s="274" t="s">
        <v>2233</v>
      </c>
      <c r="C2" s="275"/>
    </row>
    <row r="3" spans="1:22" ht="40" customHeight="1">
      <c r="T3" s="277"/>
      <c r="U3" s="277"/>
    </row>
    <row r="4" spans="1:22" s="268" customFormat="1" ht="40" customHeight="1">
      <c r="A4" s="278" t="s">
        <v>2046</v>
      </c>
      <c r="B4" s="278" t="s">
        <v>9</v>
      </c>
      <c r="C4" s="278" t="s">
        <v>2047</v>
      </c>
      <c r="D4" s="278" t="s">
        <v>2048</v>
      </c>
      <c r="E4" s="279" t="s">
        <v>2049</v>
      </c>
      <c r="F4" s="280" t="s">
        <v>2050</v>
      </c>
      <c r="G4" s="280" t="s">
        <v>2051</v>
      </c>
      <c r="H4" s="280" t="s">
        <v>2052</v>
      </c>
      <c r="I4" s="128" t="s">
        <v>2053</v>
      </c>
      <c r="J4" s="129" t="s">
        <v>2054</v>
      </c>
      <c r="K4" s="280" t="s">
        <v>2055</v>
      </c>
      <c r="L4" s="280" t="s">
        <v>2056</v>
      </c>
      <c r="M4" s="280" t="s">
        <v>2057</v>
      </c>
      <c r="N4" s="280" t="s">
        <v>2058</v>
      </c>
      <c r="O4" s="130" t="s">
        <v>2059</v>
      </c>
      <c r="P4" s="130" t="s">
        <v>2060</v>
      </c>
      <c r="Q4" s="130" t="s">
        <v>2061</v>
      </c>
      <c r="R4" s="280" t="s">
        <v>2062</v>
      </c>
      <c r="S4" s="131" t="s">
        <v>2063</v>
      </c>
      <c r="T4" s="131" t="s">
        <v>2064</v>
      </c>
      <c r="U4" s="131" t="s">
        <v>2065</v>
      </c>
      <c r="V4" s="280" t="s">
        <v>2066</v>
      </c>
    </row>
    <row r="5" spans="1:22" ht="40" customHeight="1">
      <c r="A5" s="281" t="s">
        <v>2067</v>
      </c>
      <c r="B5" s="282">
        <v>5</v>
      </c>
      <c r="C5" s="282" t="s">
        <v>2068</v>
      </c>
      <c r="D5" s="283" t="s">
        <v>2069</v>
      </c>
      <c r="E5" s="284" t="s">
        <v>2070</v>
      </c>
      <c r="F5" s="136" t="s">
        <v>2071</v>
      </c>
      <c r="G5" s="137" t="s">
        <v>2072</v>
      </c>
      <c r="H5" s="137" t="s">
        <v>2073</v>
      </c>
      <c r="I5" s="137" t="s">
        <v>2074</v>
      </c>
      <c r="J5" s="137" t="s">
        <v>2075</v>
      </c>
      <c r="K5" s="137" t="s">
        <v>2234</v>
      </c>
      <c r="L5" s="136" t="s">
        <v>2077</v>
      </c>
      <c r="M5" s="136" t="s">
        <v>2078</v>
      </c>
      <c r="N5" s="136" t="e" cm="1">
        <f t="array" aca="1" ref="N5" ca="1">Contractor(I5,J5)</f>
        <v>#NAME?</v>
      </c>
      <c r="O5" s="136"/>
      <c r="P5" s="136" t="s">
        <v>2079</v>
      </c>
      <c r="Q5" s="136"/>
      <c r="R5" s="138">
        <v>44</v>
      </c>
      <c r="S5" s="285">
        <v>0</v>
      </c>
      <c r="T5" s="140">
        <f>S5*R5</f>
        <v>0</v>
      </c>
      <c r="U5" s="140">
        <v>0</v>
      </c>
      <c r="V5" s="136"/>
    </row>
  </sheetData>
  <autoFilter ref="A4:U5" xr:uid="{C1D618CB-8C13-0642-8447-4FB5B56F3BB8}"/>
  <phoneticPr fontId="37" type="noConversion"/>
  <conditionalFormatting sqref="M5">
    <cfRule type="expression" dxfId="10" priority="1261" stopIfTrue="1">
      <formula>TRIM(INDIRECT("R"&amp;ROW()&amp;"C"&amp;(COLUMN()-3),FALSE))="Labor"</formula>
    </cfRule>
    <cfRule type="expression" dxfId="9" priority="1262">
      <formula>TRIM(INDIRECT("R"&amp;ROW()&amp;"C"&amp;(COLUMN()-3),FALSE))&lt;&gt;"Labor"</formula>
    </cfRule>
  </conditionalFormatting>
  <conditionalFormatting sqref="N5">
    <cfRule type="expression" dxfId="8" priority="1263" stopIfTrue="1">
      <formula>TRIM(INDIRECT("R"&amp;ROW()&amp;"C"&amp;(COLUMN()-4),FALSE))&lt;&gt;"Labor"</formula>
    </cfRule>
  </conditionalFormatting>
  <conditionalFormatting sqref="O5">
    <cfRule type="expression" dxfId="7" priority="1266" stopIfTrue="1">
      <formula>TRIM(INDIRECT("R"&amp;ROW()&amp;"C"&amp;(COLUMN()-1),FALSE))&lt;&gt;"Y"</formula>
    </cfRule>
    <cfRule type="expression" dxfId="6" priority="1269" stopIfTrue="1">
      <formula>TRIM(INDIRECT("R"&amp;ROW()&amp;"C"&amp;(COLUMN()-5),FALSE))="Labor"</formula>
    </cfRule>
    <cfRule type="expression" dxfId="5" priority="1270">
      <formula>TRIM(INDIRECT("R"&amp;ROW()&amp;"C"&amp;(COLUMN()-5),FALSE))&lt;&gt;"Labor"</formula>
    </cfRule>
  </conditionalFormatting>
  <conditionalFormatting sqref="P5">
    <cfRule type="expression" dxfId="4" priority="1267" stopIfTrue="1">
      <formula>TRIM(INDIRECT("R"&amp;ROW()&amp;"C"&amp;(COLUMN()-6),FALSE))="Labor"</formula>
    </cfRule>
    <cfRule type="expression" dxfId="3" priority="1268" stopIfTrue="1">
      <formula>TRIM(INDIRECT("R"&amp;ROW()&amp;"C"&amp;(COLUMN()-6),FALSE))&lt;&gt;"Labor"</formula>
    </cfRule>
  </conditionalFormatting>
  <conditionalFormatting sqref="Q5">
    <cfRule type="expression" dxfId="2" priority="1264" stopIfTrue="1">
      <formula>TRIM(INDIRECT("R"&amp;ROW()&amp;"C"&amp;(COLUMN()-7),FALSE))="Hardware Purchase"</formula>
    </cfRule>
    <cfRule type="expression" dxfId="1" priority="1265" stopIfTrue="1">
      <formula>TRIM(INDIRECT("R"&amp;ROW()&amp;"C"&amp;(COLUMN()-7),FALSE))&lt;&gt;"Hardware Purchase"</formula>
    </cfRule>
  </conditionalFormatting>
  <dataValidations count="2">
    <dataValidation type="list" allowBlank="1" showInputMessage="1" showErrorMessage="1" sqref="F3:K3 G1:K1 F6:K1048576" xr:uid="{8D5F36D4-B792-774F-87D2-2C33C3557FC2}">
      <formula1>#REF!</formula1>
    </dataValidation>
    <dataValidation type="list" allowBlank="1" showInputMessage="1" showErrorMessage="1" sqref="G5" xr:uid="{05BEAFC8-C26C-B943-AEB4-D5CF8CB25DFA}">
      <formula1>"CAPEX,OTE"</formula1>
    </dataValidation>
  </dataValidations>
  <hyperlinks>
    <hyperlink ref="B1" location="Instructions!A1" display="Instructions!A1" xr:uid="{49F99777-1236-0E46-9D6B-1CAC73D9E835}"/>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EACCC-BFC2-0640-B6BA-1EF824EC9C20}">
  <sheetPr>
    <tabColor theme="5" tint="-0.249977111117893"/>
    <pageSetUpPr fitToPage="1"/>
  </sheetPr>
  <dimension ref="A1:BZ2485"/>
  <sheetViews>
    <sheetView zoomScale="65" zoomScaleNormal="65" workbookViewId="0">
      <pane ySplit="6" topLeftCell="A187" activePane="bottomLeft" state="frozen"/>
      <selection pane="bottomLeft" activeCell="AI294" sqref="AI294"/>
    </sheetView>
  </sheetViews>
  <sheetFormatPr baseColWidth="10" defaultColWidth="12" defaultRowHeight="17"/>
  <cols>
    <col min="1" max="1" width="30.75" style="13" customWidth="1"/>
    <col min="2" max="2" width="39.5" style="25" customWidth="1"/>
    <col min="3" max="3" width="51.5" style="22" customWidth="1"/>
    <col min="4" max="4" width="90.5" style="26" customWidth="1"/>
    <col min="5" max="5" width="74" style="25" customWidth="1"/>
    <col min="6" max="6" width="83.5" style="42" customWidth="1"/>
    <col min="7" max="7" width="61.25" style="10" customWidth="1"/>
    <col min="8" max="8" width="110" style="21" customWidth="1"/>
    <col min="9" max="9" width="68.75" style="21" customWidth="1"/>
    <col min="10" max="10" width="0.25" style="21" customWidth="1"/>
    <col min="11" max="11" width="37" style="10" customWidth="1"/>
    <col min="12" max="12" width="23.25" style="21" customWidth="1"/>
    <col min="13" max="13" width="16" style="21" customWidth="1"/>
    <col min="14" max="14" width="69.75" style="199" customWidth="1"/>
    <col min="15" max="15" width="81" style="200" customWidth="1"/>
    <col min="16" max="16" width="49.5" style="201" customWidth="1"/>
    <col min="17" max="17" width="119.75" style="201" customWidth="1"/>
    <col min="18" max="18" width="63.25" style="201" customWidth="1"/>
    <col min="19" max="19" width="61.25" style="201" hidden="1" customWidth="1"/>
    <col min="20" max="20" width="33.5" style="201" hidden="1" customWidth="1"/>
    <col min="21" max="21" width="31.5" style="202" customWidth="1"/>
    <col min="22" max="22" width="28.5" style="202" hidden="1" customWidth="1"/>
    <col min="23" max="23" width="22.25" style="202" hidden="1" customWidth="1"/>
    <col min="24" max="24" width="13.5" style="202" hidden="1" customWidth="1"/>
    <col min="25" max="25" width="21.75" style="202" hidden="1" customWidth="1"/>
    <col min="26" max="26" width="28.5" style="201" customWidth="1"/>
    <col min="27" max="27" width="44.25" style="246" hidden="1" customWidth="1"/>
    <col min="28" max="28" width="44" hidden="1" customWidth="1"/>
    <col min="29" max="29" width="0" hidden="1" customWidth="1"/>
    <col min="30" max="30" width="29.5" style="202" customWidth="1"/>
    <col min="33" max="33" width="12" customWidth="1"/>
  </cols>
  <sheetData>
    <row r="1" spans="1:77" ht="54" hidden="1" customHeight="1">
      <c r="A1" s="528" t="s">
        <v>0</v>
      </c>
      <c r="B1" s="528"/>
      <c r="C1" s="528"/>
      <c r="D1" s="528"/>
      <c r="E1" s="529"/>
      <c r="F1" s="43" t="s">
        <v>1</v>
      </c>
      <c r="N1" s="195"/>
      <c r="O1" s="96"/>
      <c r="P1" s="198"/>
      <c r="Q1" s="198"/>
      <c r="R1" s="198"/>
      <c r="Y1" s="202">
        <v>0</v>
      </c>
      <c r="AB1" s="246"/>
    </row>
    <row r="2" spans="1:77" s="11" customFormat="1" ht="33.75" hidden="1" customHeight="1">
      <c r="A2" s="530" t="s">
        <v>2</v>
      </c>
      <c r="B2" s="530"/>
      <c r="C2" s="27" t="s">
        <v>3</v>
      </c>
      <c r="D2" s="286" t="s">
        <v>4</v>
      </c>
      <c r="E2" s="23"/>
      <c r="F2" s="21"/>
      <c r="G2" s="10"/>
      <c r="H2" s="21"/>
      <c r="I2" s="21"/>
      <c r="J2" s="21"/>
      <c r="K2" s="10"/>
      <c r="L2" s="21"/>
      <c r="M2" s="21"/>
      <c r="N2" s="196"/>
      <c r="O2" s="97"/>
      <c r="P2" s="198"/>
      <c r="Q2" s="198"/>
      <c r="R2" s="198"/>
      <c r="S2" s="201"/>
      <c r="T2" s="201"/>
      <c r="U2" s="202"/>
      <c r="V2" s="202"/>
      <c r="W2" s="202"/>
      <c r="X2" s="202"/>
      <c r="Y2" s="202"/>
      <c r="Z2" s="201"/>
      <c r="AA2" s="246"/>
      <c r="AB2" s="246"/>
      <c r="AC2"/>
      <c r="AD2" s="20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row>
    <row r="3" spans="1:77" s="11" customFormat="1" ht="33.75" hidden="1" customHeight="1">
      <c r="A3" s="530" t="s">
        <v>5</v>
      </c>
      <c r="B3" s="530"/>
      <c r="C3" s="27" t="s">
        <v>6</v>
      </c>
      <c r="D3" s="286" t="s">
        <v>4</v>
      </c>
      <c r="E3" s="23"/>
      <c r="F3" s="21"/>
      <c r="G3" s="10"/>
      <c r="H3" s="21"/>
      <c r="I3" s="21"/>
      <c r="J3" s="21"/>
      <c r="K3" s="10"/>
      <c r="L3" s="21"/>
      <c r="M3" s="21"/>
      <c r="N3" s="196"/>
      <c r="O3" s="97"/>
      <c r="P3" s="198"/>
      <c r="Q3" s="198"/>
      <c r="R3" s="198"/>
      <c r="S3" s="201"/>
      <c r="T3" s="201"/>
      <c r="U3" s="202"/>
      <c r="V3" s="202"/>
      <c r="W3" s="202"/>
      <c r="X3" s="202"/>
      <c r="Y3" s="202"/>
      <c r="Z3" s="201"/>
      <c r="AA3" s="246"/>
      <c r="AB3" s="246"/>
      <c r="AC3"/>
      <c r="AD3" s="202"/>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row>
    <row r="4" spans="1:77" s="11" customFormat="1" ht="33.75" hidden="1" customHeight="1">
      <c r="A4" s="530" t="s">
        <v>7</v>
      </c>
      <c r="B4" s="530"/>
      <c r="C4" s="27" t="s">
        <v>8</v>
      </c>
      <c r="D4" s="286" t="s">
        <v>4</v>
      </c>
      <c r="E4" s="23"/>
      <c r="F4" s="21"/>
      <c r="G4" s="10"/>
      <c r="H4" s="21"/>
      <c r="I4" s="21"/>
      <c r="J4" s="21"/>
      <c r="K4" s="10"/>
      <c r="L4" s="21"/>
      <c r="M4" s="21"/>
      <c r="N4" s="196"/>
      <c r="O4" s="97"/>
      <c r="P4" s="198"/>
      <c r="Q4" s="198"/>
      <c r="R4" s="198"/>
      <c r="S4" s="201"/>
      <c r="T4" s="201"/>
      <c r="U4" s="202"/>
      <c r="V4" s="202"/>
      <c r="W4" s="202"/>
      <c r="X4" s="202"/>
      <c r="Y4" s="202"/>
      <c r="Z4" s="201"/>
      <c r="AA4" s="246"/>
      <c r="AB4" s="246"/>
      <c r="AC4"/>
      <c r="AD4" s="202"/>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row>
    <row r="5" spans="1:77" ht="59" hidden="1" customHeight="1">
      <c r="A5" s="58"/>
      <c r="B5" s="58"/>
      <c r="C5" s="58"/>
      <c r="D5" s="58"/>
      <c r="E5" s="59"/>
      <c r="F5"/>
      <c r="J5" s="11"/>
      <c r="N5" s="195"/>
      <c r="O5" s="96"/>
      <c r="P5" s="198"/>
      <c r="Q5" s="198"/>
      <c r="R5" s="198"/>
      <c r="AB5" s="246"/>
    </row>
    <row r="6" spans="1:77" ht="33.75" customHeight="1">
      <c r="A6" s="17" t="s">
        <v>9</v>
      </c>
      <c r="B6" s="34" t="s">
        <v>10</v>
      </c>
      <c r="C6" s="28" t="s">
        <v>11</v>
      </c>
      <c r="D6" s="16" t="s">
        <v>12</v>
      </c>
      <c r="E6" s="18" t="s">
        <v>13</v>
      </c>
      <c r="F6" s="287" t="s">
        <v>14</v>
      </c>
      <c r="G6" s="288" t="s">
        <v>15</v>
      </c>
      <c r="H6" s="289" t="s">
        <v>16</v>
      </c>
      <c r="I6" s="290" t="s">
        <v>17</v>
      </c>
      <c r="J6" s="291" t="s">
        <v>18</v>
      </c>
      <c r="K6" s="288" t="s">
        <v>19</v>
      </c>
      <c r="L6" s="292" t="s">
        <v>20</v>
      </c>
      <c r="M6" s="292" t="s">
        <v>21</v>
      </c>
      <c r="N6" s="293" t="s">
        <v>22</v>
      </c>
      <c r="O6" s="294" t="s">
        <v>23</v>
      </c>
      <c r="P6" s="295" t="s">
        <v>24</v>
      </c>
      <c r="Q6" s="295" t="s">
        <v>2235</v>
      </c>
      <c r="R6" s="295" t="s">
        <v>2236</v>
      </c>
      <c r="S6" s="295" t="s">
        <v>25</v>
      </c>
      <c r="T6" s="294" t="s">
        <v>26</v>
      </c>
      <c r="U6" s="294" t="s">
        <v>27</v>
      </c>
      <c r="V6" s="294" t="s">
        <v>28</v>
      </c>
      <c r="W6" s="294" t="s">
        <v>29</v>
      </c>
      <c r="X6" s="294" t="s">
        <v>30</v>
      </c>
      <c r="Y6" s="294" t="s">
        <v>31</v>
      </c>
      <c r="Z6" s="294" t="s">
        <v>32</v>
      </c>
      <c r="AA6" s="248" t="s">
        <v>33</v>
      </c>
      <c r="AB6" s="248" t="s">
        <v>34</v>
      </c>
      <c r="AC6" s="248" t="s">
        <v>35</v>
      </c>
      <c r="AD6" s="294" t="s">
        <v>2237</v>
      </c>
    </row>
    <row r="7" spans="1:77" ht="113" hidden="1" customHeight="1">
      <c r="A7" s="32">
        <v>0</v>
      </c>
      <c r="B7" s="24" t="s">
        <v>36</v>
      </c>
      <c r="C7" s="19" t="s">
        <v>37</v>
      </c>
      <c r="D7" s="20" t="s">
        <v>38</v>
      </c>
      <c r="E7" s="12" t="s">
        <v>39</v>
      </c>
      <c r="F7" s="12"/>
      <c r="G7" s="32" t="s">
        <v>40</v>
      </c>
      <c r="H7" s="19" t="s">
        <v>41</v>
      </c>
      <c r="I7" s="19"/>
      <c r="J7" s="19"/>
      <c r="K7" s="32"/>
      <c r="L7" s="73"/>
      <c r="M7" s="73"/>
      <c r="N7" s="197"/>
      <c r="O7" s="12"/>
      <c r="P7" s="32"/>
      <c r="Q7" s="32" t="str">
        <f>BRD_EPIC2[[#This Row],[system type]]&amp;BRD_EPIC2[[#This Row],[system type2]]</f>
        <v/>
      </c>
      <c r="R7" s="32"/>
      <c r="S7" s="32"/>
      <c r="T7" s="203"/>
      <c r="U7" s="203"/>
      <c r="V7" s="204">
        <f>$U7*DE_Cost!$B$1*8</f>
        <v>0</v>
      </c>
      <c r="W7" s="204">
        <f>$U7*DE_Cost!$B$1</f>
        <v>0</v>
      </c>
      <c r="X7" s="204"/>
      <c r="Y7" s="204"/>
      <c r="Z7" s="204"/>
      <c r="AA7" s="203" t="s">
        <v>42</v>
      </c>
      <c r="AB7" s="203"/>
      <c r="AC7" s="203"/>
      <c r="AD7" s="204"/>
    </row>
    <row r="8" spans="1:77" ht="38.25" hidden="1" customHeight="1">
      <c r="A8" s="14"/>
      <c r="B8" s="20"/>
      <c r="C8" s="19"/>
      <c r="D8" s="20" t="s">
        <v>43</v>
      </c>
      <c r="E8" s="12" t="s">
        <v>44</v>
      </c>
      <c r="F8" s="12"/>
      <c r="G8" s="32" t="s">
        <v>40</v>
      </c>
      <c r="H8" s="19" t="s">
        <v>45</v>
      </c>
      <c r="I8" s="19"/>
      <c r="J8" s="19"/>
      <c r="K8" s="32"/>
      <c r="L8" s="73"/>
      <c r="M8" s="73"/>
      <c r="N8" s="197"/>
      <c r="O8" s="12"/>
      <c r="P8" s="32"/>
      <c r="Q8" s="32" t="str">
        <f>BRD_EPIC2[[#This Row],[system type]]&amp;BRD_EPIC2[[#This Row],[system type2]]</f>
        <v/>
      </c>
      <c r="R8" s="32"/>
      <c r="S8" s="32"/>
      <c r="T8" s="203"/>
      <c r="U8" s="203"/>
      <c r="V8" s="204">
        <f>$U8*DE_Cost!$B$1*8</f>
        <v>0</v>
      </c>
      <c r="W8" s="204">
        <f>$U8*DE_Cost!$B$1</f>
        <v>0</v>
      </c>
      <c r="X8" s="204"/>
      <c r="Y8" s="204"/>
      <c r="Z8" s="204"/>
      <c r="AA8" s="203" t="s">
        <v>42</v>
      </c>
      <c r="AB8" s="203"/>
      <c r="AC8" s="203"/>
      <c r="AD8" s="204"/>
    </row>
    <row r="9" spans="1:77" ht="38.25" hidden="1" customHeight="1">
      <c r="A9" s="14"/>
      <c r="B9" s="20"/>
      <c r="C9" s="19"/>
      <c r="D9" s="20" t="s">
        <v>46</v>
      </c>
      <c r="E9" s="12" t="s">
        <v>47</v>
      </c>
      <c r="F9" s="12"/>
      <c r="G9" s="32" t="s">
        <v>40</v>
      </c>
      <c r="H9" s="19" t="s">
        <v>48</v>
      </c>
      <c r="I9" s="19"/>
      <c r="J9" s="19"/>
      <c r="K9" s="32"/>
      <c r="L9" s="73"/>
      <c r="M9" s="73"/>
      <c r="N9" s="197"/>
      <c r="O9" s="12"/>
      <c r="P9" s="32"/>
      <c r="Q9" s="32" t="str">
        <f>BRD_EPIC2[[#This Row],[system type]]&amp;BRD_EPIC2[[#This Row],[system type2]]</f>
        <v/>
      </c>
      <c r="R9" s="32"/>
      <c r="S9" s="32"/>
      <c r="T9" s="203"/>
      <c r="U9" s="203"/>
      <c r="V9" s="204">
        <f>$U9*DE_Cost!$B$1*8</f>
        <v>0</v>
      </c>
      <c r="W9" s="204">
        <f>$U9*DE_Cost!$B$1</f>
        <v>0</v>
      </c>
      <c r="X9" s="204"/>
      <c r="Y9" s="204"/>
      <c r="Z9" s="204"/>
      <c r="AA9" s="203" t="s">
        <v>42</v>
      </c>
      <c r="AB9" s="203"/>
      <c r="AC9" s="203"/>
      <c r="AD9" s="204"/>
    </row>
    <row r="10" spans="1:77" ht="38.25" hidden="1" customHeight="1">
      <c r="A10" s="14"/>
      <c r="B10" s="24"/>
      <c r="C10" s="19"/>
      <c r="D10" s="20" t="s">
        <v>49</v>
      </c>
      <c r="E10" s="12" t="s">
        <v>50</v>
      </c>
      <c r="F10" s="12"/>
      <c r="G10" s="32" t="s">
        <v>40</v>
      </c>
      <c r="H10" s="19" t="s">
        <v>51</v>
      </c>
      <c r="I10" s="19"/>
      <c r="J10" s="19"/>
      <c r="K10" s="32"/>
      <c r="L10" s="73"/>
      <c r="M10" s="73"/>
      <c r="N10" s="197"/>
      <c r="O10" s="12"/>
      <c r="P10" s="32"/>
      <c r="Q10" s="32" t="str">
        <f>BRD_EPIC2[[#This Row],[system type]]&amp;BRD_EPIC2[[#This Row],[system type2]]</f>
        <v/>
      </c>
      <c r="R10" s="32"/>
      <c r="S10" s="32"/>
      <c r="T10" s="203"/>
      <c r="U10" s="203"/>
      <c r="V10" s="204">
        <f>$U10*DE_Cost!$B$1*8</f>
        <v>0</v>
      </c>
      <c r="W10" s="204">
        <f>$U10*DE_Cost!$B$1</f>
        <v>0</v>
      </c>
      <c r="X10" s="204"/>
      <c r="Y10" s="204"/>
      <c r="Z10" s="204"/>
      <c r="AA10" s="203" t="s">
        <v>42</v>
      </c>
      <c r="AB10" s="203"/>
      <c r="AC10" s="203"/>
      <c r="AD10" s="204"/>
    </row>
    <row r="11" spans="1:77" ht="38.25" hidden="1" customHeight="1">
      <c r="A11" s="14"/>
      <c r="B11" s="24"/>
      <c r="C11" s="19"/>
      <c r="D11" s="20" t="s">
        <v>52</v>
      </c>
      <c r="E11" s="12" t="s">
        <v>53</v>
      </c>
      <c r="F11" s="12"/>
      <c r="G11" s="32" t="s">
        <v>40</v>
      </c>
      <c r="H11" s="19" t="s">
        <v>54</v>
      </c>
      <c r="I11" s="19"/>
      <c r="J11" s="19"/>
      <c r="K11" s="32"/>
      <c r="L11" s="73"/>
      <c r="M11" s="73"/>
      <c r="N11" s="197"/>
      <c r="O11" s="12"/>
      <c r="P11" s="32"/>
      <c r="Q11" s="32" t="str">
        <f>BRD_EPIC2[[#This Row],[system type]]&amp;BRD_EPIC2[[#This Row],[system type2]]</f>
        <v/>
      </c>
      <c r="R11" s="32"/>
      <c r="S11" s="32"/>
      <c r="T11" s="203"/>
      <c r="U11" s="203"/>
      <c r="V11" s="204">
        <f>$U11*DE_Cost!$B$1*8</f>
        <v>0</v>
      </c>
      <c r="W11" s="204">
        <f>$U11*DE_Cost!$B$1</f>
        <v>0</v>
      </c>
      <c r="X11" s="204"/>
      <c r="Y11" s="204"/>
      <c r="Z11" s="204"/>
      <c r="AA11" s="203" t="s">
        <v>42</v>
      </c>
      <c r="AB11" s="203"/>
      <c r="AC11" s="203"/>
      <c r="AD11" s="204"/>
    </row>
    <row r="12" spans="1:77" ht="38.25" hidden="1" customHeight="1">
      <c r="A12" s="14"/>
      <c r="B12" s="24"/>
      <c r="C12" s="19"/>
      <c r="D12" s="20" t="s">
        <v>55</v>
      </c>
      <c r="E12" s="12" t="s">
        <v>56</v>
      </c>
      <c r="F12" s="12"/>
      <c r="G12" s="32" t="s">
        <v>40</v>
      </c>
      <c r="H12" s="19" t="s">
        <v>57</v>
      </c>
      <c r="I12" s="19"/>
      <c r="J12" s="19"/>
      <c r="K12" s="32"/>
      <c r="L12" s="73"/>
      <c r="M12" s="73"/>
      <c r="N12" s="197"/>
      <c r="O12" s="12"/>
      <c r="P12" s="32"/>
      <c r="Q12" s="32" t="str">
        <f>BRD_EPIC2[[#This Row],[system type]]&amp;BRD_EPIC2[[#This Row],[system type2]]</f>
        <v/>
      </c>
      <c r="R12" s="32"/>
      <c r="S12" s="32"/>
      <c r="T12" s="203"/>
      <c r="U12" s="203"/>
      <c r="V12" s="204">
        <f>$U12*DE_Cost!$B$1*8</f>
        <v>0</v>
      </c>
      <c r="W12" s="204">
        <f>$U12*DE_Cost!$B$1</f>
        <v>0</v>
      </c>
      <c r="X12" s="204"/>
      <c r="Y12" s="204"/>
      <c r="Z12" s="204"/>
      <c r="AA12" s="203" t="s">
        <v>42</v>
      </c>
      <c r="AB12" s="203"/>
      <c r="AC12" s="203"/>
      <c r="AD12" s="204"/>
    </row>
    <row r="13" spans="1:77" ht="38.25" hidden="1" customHeight="1">
      <c r="A13" s="14"/>
      <c r="B13" s="24"/>
      <c r="C13" s="19"/>
      <c r="D13" s="20" t="s">
        <v>58</v>
      </c>
      <c r="E13" s="12" t="s">
        <v>59</v>
      </c>
      <c r="F13" s="12"/>
      <c r="G13" s="32" t="s">
        <v>40</v>
      </c>
      <c r="H13" s="19" t="s">
        <v>60</v>
      </c>
      <c r="I13" s="19"/>
      <c r="J13" s="19"/>
      <c r="K13" s="32"/>
      <c r="L13" s="73"/>
      <c r="M13" s="73"/>
      <c r="N13" s="197"/>
      <c r="O13" s="12"/>
      <c r="P13" s="32"/>
      <c r="Q13" s="32" t="str">
        <f>BRD_EPIC2[[#This Row],[system type]]&amp;BRD_EPIC2[[#This Row],[system type2]]</f>
        <v/>
      </c>
      <c r="R13" s="32"/>
      <c r="S13" s="32"/>
      <c r="T13" s="203"/>
      <c r="U13" s="203"/>
      <c r="V13" s="204">
        <f>$U13*DE_Cost!$B$1*8</f>
        <v>0</v>
      </c>
      <c r="W13" s="204">
        <f>$U13*DE_Cost!$B$1</f>
        <v>0</v>
      </c>
      <c r="X13" s="204"/>
      <c r="Y13" s="204"/>
      <c r="Z13" s="204"/>
      <c r="AA13" s="203" t="s">
        <v>42</v>
      </c>
      <c r="AB13" s="203"/>
      <c r="AC13" s="203"/>
      <c r="AD13" s="204"/>
    </row>
    <row r="14" spans="1:77" ht="54" hidden="1">
      <c r="A14" s="44"/>
      <c r="B14" s="45"/>
      <c r="C14" s="12" t="s">
        <v>61</v>
      </c>
      <c r="D14" s="46" t="s">
        <v>62</v>
      </c>
      <c r="E14" s="12" t="s">
        <v>63</v>
      </c>
      <c r="F14" s="12"/>
      <c r="G14" s="32" t="s">
        <v>64</v>
      </c>
      <c r="H14" s="19" t="s">
        <v>65</v>
      </c>
      <c r="I14" s="19"/>
      <c r="J14" s="19"/>
      <c r="K14" s="32" t="s">
        <v>64</v>
      </c>
      <c r="L14" s="73"/>
      <c r="M14" s="73"/>
      <c r="N14" s="197"/>
      <c r="O14" s="12"/>
      <c r="P14" s="32"/>
      <c r="Q14" s="32" t="str">
        <f>BRD_EPIC2[[#This Row],[system type]]&amp;BRD_EPIC2[[#This Row],[system type2]]</f>
        <v/>
      </c>
      <c r="R14" s="32"/>
      <c r="S14" s="32"/>
      <c r="T14" s="203"/>
      <c r="U14" s="203"/>
      <c r="V14" s="204">
        <f>$U14*DE_Cost!$B$1*8</f>
        <v>0</v>
      </c>
      <c r="W14" s="204">
        <f>$U14*DE_Cost!$B$1</f>
        <v>0</v>
      </c>
      <c r="X14" s="204"/>
      <c r="Y14" s="204"/>
      <c r="Z14" s="204"/>
      <c r="AA14" s="203" t="s">
        <v>42</v>
      </c>
      <c r="AB14" s="203"/>
      <c r="AC14" s="203"/>
      <c r="AD14" s="204"/>
    </row>
    <row r="15" spans="1:77" ht="72" hidden="1">
      <c r="A15" s="44"/>
      <c r="B15" s="47"/>
      <c r="C15" s="12"/>
      <c r="D15" s="46" t="s">
        <v>66</v>
      </c>
      <c r="E15" s="12" t="s">
        <v>67</v>
      </c>
      <c r="F15" s="12"/>
      <c r="G15" s="32" t="s">
        <v>64</v>
      </c>
      <c r="H15" s="19" t="s">
        <v>68</v>
      </c>
      <c r="I15" s="19"/>
      <c r="J15" s="19"/>
      <c r="K15" s="32" t="s">
        <v>64</v>
      </c>
      <c r="L15" s="73"/>
      <c r="M15" s="73"/>
      <c r="N15" s="197"/>
      <c r="O15" s="12"/>
      <c r="P15" s="32"/>
      <c r="Q15" s="32" t="str">
        <f>BRD_EPIC2[[#This Row],[system type]]&amp;BRD_EPIC2[[#This Row],[system type2]]</f>
        <v/>
      </c>
      <c r="R15" s="32"/>
      <c r="S15" s="32"/>
      <c r="T15" s="203"/>
      <c r="U15" s="203"/>
      <c r="V15" s="204">
        <f>$U15*DE_Cost!$B$1*8</f>
        <v>0</v>
      </c>
      <c r="W15" s="204">
        <f>$U15*DE_Cost!$B$1</f>
        <v>0</v>
      </c>
      <c r="X15" s="204"/>
      <c r="Y15" s="204"/>
      <c r="Z15" s="204"/>
      <c r="AA15" s="203" t="s">
        <v>42</v>
      </c>
      <c r="AB15" s="203"/>
      <c r="AC15" s="203"/>
      <c r="AD15" s="204"/>
    </row>
    <row r="16" spans="1:77" ht="72" hidden="1">
      <c r="A16" s="44"/>
      <c r="B16" s="47"/>
      <c r="C16" s="12"/>
      <c r="D16" s="46" t="s">
        <v>69</v>
      </c>
      <c r="E16" s="12" t="s">
        <v>70</v>
      </c>
      <c r="F16" s="12"/>
      <c r="G16" s="32" t="s">
        <v>64</v>
      </c>
      <c r="H16" s="19" t="s">
        <v>71</v>
      </c>
      <c r="I16" s="19"/>
      <c r="J16" s="19"/>
      <c r="K16" s="32" t="s">
        <v>64</v>
      </c>
      <c r="L16" s="94"/>
      <c r="M16" s="73"/>
      <c r="N16" s="197"/>
      <c r="O16" s="12"/>
      <c r="P16" s="32"/>
      <c r="Q16" s="32" t="str">
        <f>BRD_EPIC2[[#This Row],[system type]]&amp;BRD_EPIC2[[#This Row],[system type2]]</f>
        <v/>
      </c>
      <c r="R16" s="32"/>
      <c r="S16" s="32"/>
      <c r="T16" s="203"/>
      <c r="U16" s="203"/>
      <c r="V16" s="204">
        <f>$U16*DE_Cost!$B$1*8</f>
        <v>0</v>
      </c>
      <c r="W16" s="204">
        <f>$U16*DE_Cost!$B$1</f>
        <v>0</v>
      </c>
      <c r="X16" s="204"/>
      <c r="Y16" s="204"/>
      <c r="Z16" s="204"/>
      <c r="AA16" s="203" t="s">
        <v>42</v>
      </c>
      <c r="AB16" s="203"/>
      <c r="AC16" s="203"/>
      <c r="AD16" s="204"/>
    </row>
    <row r="17" spans="1:30" ht="36" hidden="1">
      <c r="A17" s="44"/>
      <c r="B17" s="47"/>
      <c r="C17" s="12"/>
      <c r="D17" s="46" t="s">
        <v>72</v>
      </c>
      <c r="E17" s="12" t="s">
        <v>73</v>
      </c>
      <c r="F17" s="12"/>
      <c r="G17" s="32" t="s">
        <v>64</v>
      </c>
      <c r="H17" s="19" t="s">
        <v>74</v>
      </c>
      <c r="I17" s="19"/>
      <c r="J17" s="19"/>
      <c r="K17" s="32" t="s">
        <v>64</v>
      </c>
      <c r="L17" s="73"/>
      <c r="M17" s="73"/>
      <c r="N17" s="197"/>
      <c r="O17" s="12"/>
      <c r="P17" s="32"/>
      <c r="Q17" s="32" t="str">
        <f>BRD_EPIC2[[#This Row],[system type]]&amp;BRD_EPIC2[[#This Row],[system type2]]</f>
        <v/>
      </c>
      <c r="R17" s="32"/>
      <c r="S17" s="32"/>
      <c r="T17" s="203"/>
      <c r="U17" s="203"/>
      <c r="V17" s="204">
        <f>$U17*DE_Cost!$B$1*8</f>
        <v>0</v>
      </c>
      <c r="W17" s="204">
        <f>$U17*DE_Cost!$B$1</f>
        <v>0</v>
      </c>
      <c r="X17" s="204"/>
      <c r="Y17" s="204"/>
      <c r="Z17" s="204"/>
      <c r="AA17" s="203" t="s">
        <v>42</v>
      </c>
      <c r="AB17" s="203"/>
      <c r="AC17" s="203"/>
      <c r="AD17" s="204"/>
    </row>
    <row r="18" spans="1:30" ht="54" hidden="1">
      <c r="A18" s="48"/>
      <c r="B18" s="49"/>
      <c r="C18" s="12" t="s">
        <v>75</v>
      </c>
      <c r="D18" s="46" t="s">
        <v>76</v>
      </c>
      <c r="E18" s="12" t="s">
        <v>77</v>
      </c>
      <c r="F18" s="12"/>
      <c r="G18" s="32" t="s">
        <v>64</v>
      </c>
      <c r="H18" s="19" t="s">
        <v>78</v>
      </c>
      <c r="I18" s="19"/>
      <c r="J18" s="19"/>
      <c r="K18" s="32" t="s">
        <v>64</v>
      </c>
      <c r="L18" s="73"/>
      <c r="M18" s="73"/>
      <c r="N18" s="197"/>
      <c r="O18" s="12"/>
      <c r="P18" s="32"/>
      <c r="Q18" s="32" t="str">
        <f>BRD_EPIC2[[#This Row],[system type]]&amp;BRD_EPIC2[[#This Row],[system type2]]</f>
        <v/>
      </c>
      <c r="R18" s="32"/>
      <c r="S18" s="32"/>
      <c r="T18" s="203"/>
      <c r="U18" s="203"/>
      <c r="V18" s="204">
        <f>$U18*DE_Cost!$B$1*8</f>
        <v>0</v>
      </c>
      <c r="W18" s="204">
        <f>$U18*DE_Cost!$B$1</f>
        <v>0</v>
      </c>
      <c r="X18" s="204"/>
      <c r="Y18" s="204"/>
      <c r="Z18" s="204"/>
      <c r="AA18" s="203" t="s">
        <v>42</v>
      </c>
      <c r="AB18" s="203"/>
      <c r="AC18" s="203"/>
      <c r="AD18" s="204"/>
    </row>
    <row r="19" spans="1:30" ht="36" hidden="1">
      <c r="A19" s="48"/>
      <c r="B19" s="49"/>
      <c r="C19" s="12"/>
      <c r="D19" s="46" t="s">
        <v>79</v>
      </c>
      <c r="E19" s="12" t="s">
        <v>80</v>
      </c>
      <c r="F19" s="12"/>
      <c r="G19" s="32" t="s">
        <v>64</v>
      </c>
      <c r="H19" s="19" t="s">
        <v>81</v>
      </c>
      <c r="I19" s="19"/>
      <c r="J19" s="19"/>
      <c r="K19" s="32" t="s">
        <v>64</v>
      </c>
      <c r="L19" s="73"/>
      <c r="M19" s="73"/>
      <c r="N19" s="197"/>
      <c r="O19" s="12"/>
      <c r="P19" s="32"/>
      <c r="Q19" s="32" t="str">
        <f>BRD_EPIC2[[#This Row],[system type]]&amp;BRD_EPIC2[[#This Row],[system type2]]</f>
        <v/>
      </c>
      <c r="R19" s="32"/>
      <c r="S19" s="32"/>
      <c r="T19" s="203"/>
      <c r="U19" s="203"/>
      <c r="V19" s="204">
        <f>$U19*DE_Cost!$B$1*8</f>
        <v>0</v>
      </c>
      <c r="W19" s="204">
        <f>$U19*DE_Cost!$B$1</f>
        <v>0</v>
      </c>
      <c r="X19" s="204"/>
      <c r="Y19" s="204"/>
      <c r="Z19" s="204"/>
      <c r="AA19" s="203" t="s">
        <v>42</v>
      </c>
      <c r="AB19" s="203"/>
      <c r="AC19" s="203"/>
      <c r="AD19" s="204"/>
    </row>
    <row r="20" spans="1:30" ht="409.6" hidden="1">
      <c r="A20" s="44"/>
      <c r="B20" s="47"/>
      <c r="C20" s="12" t="s">
        <v>82</v>
      </c>
      <c r="D20" s="46" t="s">
        <v>83</v>
      </c>
      <c r="E20" s="12" t="s">
        <v>84</v>
      </c>
      <c r="F20" s="12"/>
      <c r="G20" s="32" t="s">
        <v>64</v>
      </c>
      <c r="H20" s="19" t="s">
        <v>85</v>
      </c>
      <c r="I20" s="19"/>
      <c r="J20" s="19" t="s">
        <v>86</v>
      </c>
      <c r="K20" s="32" t="s">
        <v>64</v>
      </c>
      <c r="L20" s="73"/>
      <c r="M20" s="73"/>
      <c r="N20" s="197"/>
      <c r="O20" s="12"/>
      <c r="P20" s="32"/>
      <c r="Q20" s="32" t="str">
        <f>BRD_EPIC2[[#This Row],[system type]]&amp;BRD_EPIC2[[#This Row],[system type2]]</f>
        <v/>
      </c>
      <c r="R20" s="32"/>
      <c r="S20" s="32"/>
      <c r="T20" s="203"/>
      <c r="U20" s="203"/>
      <c r="V20" s="204">
        <f>$U20*DE_Cost!$B$1*8</f>
        <v>0</v>
      </c>
      <c r="W20" s="204">
        <f>$U20*DE_Cost!$B$1</f>
        <v>0</v>
      </c>
      <c r="X20" s="204"/>
      <c r="Y20" s="204"/>
      <c r="Z20" s="204"/>
      <c r="AA20" s="203" t="s">
        <v>42</v>
      </c>
      <c r="AB20" s="203"/>
      <c r="AC20" s="203"/>
      <c r="AD20" s="204"/>
    </row>
    <row r="21" spans="1:30" ht="394" hidden="1">
      <c r="A21" s="44"/>
      <c r="B21" s="47"/>
      <c r="C21" s="12"/>
      <c r="D21" s="46" t="s">
        <v>87</v>
      </c>
      <c r="E21" s="12" t="s">
        <v>88</v>
      </c>
      <c r="F21" s="12"/>
      <c r="G21" s="32" t="s">
        <v>64</v>
      </c>
      <c r="H21" s="19" t="s">
        <v>89</v>
      </c>
      <c r="I21" s="19"/>
      <c r="J21" s="19" t="s">
        <v>90</v>
      </c>
      <c r="K21" s="32" t="s">
        <v>64</v>
      </c>
      <c r="L21" s="73"/>
      <c r="M21" s="73"/>
      <c r="N21" s="197"/>
      <c r="O21" s="12"/>
      <c r="P21" s="32"/>
      <c r="Q21" s="32" t="str">
        <f>BRD_EPIC2[[#This Row],[system type]]&amp;BRD_EPIC2[[#This Row],[system type2]]</f>
        <v/>
      </c>
      <c r="R21" s="32"/>
      <c r="S21" s="32"/>
      <c r="T21" s="203"/>
      <c r="U21" s="203"/>
      <c r="V21" s="204">
        <f>$U21*DE_Cost!$B$1*8</f>
        <v>0</v>
      </c>
      <c r="W21" s="204">
        <f>$U21*DE_Cost!$B$1</f>
        <v>0</v>
      </c>
      <c r="X21" s="204"/>
      <c r="Y21" s="204"/>
      <c r="Z21" s="204"/>
      <c r="AA21" s="203" t="s">
        <v>42</v>
      </c>
      <c r="AB21" s="203"/>
      <c r="AC21" s="203"/>
      <c r="AD21" s="204"/>
    </row>
    <row r="22" spans="1:30" ht="252" hidden="1">
      <c r="A22" s="44"/>
      <c r="B22" s="47"/>
      <c r="C22" s="12" t="s">
        <v>91</v>
      </c>
      <c r="D22" s="46" t="s">
        <v>92</v>
      </c>
      <c r="E22" s="12" t="s">
        <v>93</v>
      </c>
      <c r="F22" s="12"/>
      <c r="G22" s="32" t="s">
        <v>64</v>
      </c>
      <c r="H22" s="19" t="s">
        <v>94</v>
      </c>
      <c r="I22" s="19"/>
      <c r="J22" s="19" t="s">
        <v>95</v>
      </c>
      <c r="K22" s="32" t="s">
        <v>64</v>
      </c>
      <c r="L22" s="73"/>
      <c r="M22" s="73"/>
      <c r="N22" s="197"/>
      <c r="O22" s="12"/>
      <c r="P22" s="32"/>
      <c r="Q22" s="32" t="str">
        <f>BRD_EPIC2[[#This Row],[system type]]&amp;BRD_EPIC2[[#This Row],[system type2]]</f>
        <v/>
      </c>
      <c r="R22" s="32"/>
      <c r="S22" s="32"/>
      <c r="T22" s="203"/>
      <c r="U22" s="203"/>
      <c r="V22" s="204">
        <f>$U22*DE_Cost!$B$1*8</f>
        <v>0</v>
      </c>
      <c r="W22" s="204">
        <f>$U22*DE_Cost!$B$1</f>
        <v>0</v>
      </c>
      <c r="X22" s="204"/>
      <c r="Y22" s="204"/>
      <c r="Z22" s="204"/>
      <c r="AA22" s="203" t="s">
        <v>42</v>
      </c>
      <c r="AB22" s="203"/>
      <c r="AC22" s="203"/>
      <c r="AD22" s="204"/>
    </row>
    <row r="23" spans="1:30" ht="38.25" hidden="1" customHeight="1">
      <c r="A23" s="44"/>
      <c r="B23" s="47"/>
      <c r="C23" s="12" t="s">
        <v>96</v>
      </c>
      <c r="D23" s="46" t="s">
        <v>97</v>
      </c>
      <c r="E23" s="12" t="s">
        <v>98</v>
      </c>
      <c r="F23" s="12"/>
      <c r="G23" s="32" t="s">
        <v>99</v>
      </c>
      <c r="H23" s="19" t="s">
        <v>100</v>
      </c>
      <c r="I23" s="19"/>
      <c r="J23" s="19"/>
      <c r="K23" s="32"/>
      <c r="L23" s="73"/>
      <c r="M23" s="73"/>
      <c r="N23" s="197"/>
      <c r="O23" s="12"/>
      <c r="P23" s="32"/>
      <c r="Q23" s="32" t="str">
        <f>BRD_EPIC2[[#This Row],[system type]]&amp;BRD_EPIC2[[#This Row],[system type2]]</f>
        <v/>
      </c>
      <c r="R23" s="32"/>
      <c r="S23" s="32"/>
      <c r="T23" s="203"/>
      <c r="U23" s="203"/>
      <c r="V23" s="204">
        <f>$U23*DE_Cost!$B$1*8</f>
        <v>0</v>
      </c>
      <c r="W23" s="204">
        <f>$U23*DE_Cost!$B$1</f>
        <v>0</v>
      </c>
      <c r="X23" s="204"/>
      <c r="Y23" s="204"/>
      <c r="Z23" s="204"/>
      <c r="AA23" s="203" t="s">
        <v>42</v>
      </c>
      <c r="AB23" s="203"/>
      <c r="AC23" s="203"/>
      <c r="AD23" s="204"/>
    </row>
    <row r="24" spans="1:30" ht="38.25" hidden="1" customHeight="1">
      <c r="A24" s="44"/>
      <c r="B24" s="46"/>
      <c r="C24" s="12"/>
      <c r="D24" s="46" t="s">
        <v>101</v>
      </c>
      <c r="E24" s="12" t="s">
        <v>102</v>
      </c>
      <c r="F24" s="12"/>
      <c r="G24" s="32" t="s">
        <v>99</v>
      </c>
      <c r="H24" s="19" t="s">
        <v>103</v>
      </c>
      <c r="I24" s="19"/>
      <c r="J24" s="19"/>
      <c r="K24" s="32"/>
      <c r="L24" s="73"/>
      <c r="M24" s="73"/>
      <c r="N24" s="197"/>
      <c r="O24" s="12"/>
      <c r="P24" s="32"/>
      <c r="Q24" s="32" t="str">
        <f>BRD_EPIC2[[#This Row],[system type]]&amp;BRD_EPIC2[[#This Row],[system type2]]</f>
        <v/>
      </c>
      <c r="R24" s="32"/>
      <c r="S24" s="32"/>
      <c r="T24" s="203"/>
      <c r="U24" s="203"/>
      <c r="V24" s="204">
        <f>$U24*DE_Cost!$B$1*8</f>
        <v>0</v>
      </c>
      <c r="W24" s="204">
        <f>$U24*DE_Cost!$B$1</f>
        <v>0</v>
      </c>
      <c r="X24" s="204"/>
      <c r="Y24" s="204"/>
      <c r="Z24" s="204"/>
      <c r="AA24" s="203" t="s">
        <v>42</v>
      </c>
      <c r="AB24" s="203"/>
      <c r="AC24" s="203"/>
      <c r="AD24" s="204"/>
    </row>
    <row r="25" spans="1:30" ht="38.25" hidden="1" customHeight="1">
      <c r="A25" s="44"/>
      <c r="B25" s="46"/>
      <c r="C25" s="12"/>
      <c r="D25" s="46" t="s">
        <v>104</v>
      </c>
      <c r="E25" s="12" t="s">
        <v>105</v>
      </c>
      <c r="F25" s="12"/>
      <c r="G25" s="32" t="s">
        <v>99</v>
      </c>
      <c r="H25" s="19" t="s">
        <v>106</v>
      </c>
      <c r="I25" s="19"/>
      <c r="J25" s="19"/>
      <c r="K25" s="32"/>
      <c r="L25" s="73"/>
      <c r="M25" s="73"/>
      <c r="N25" s="197"/>
      <c r="O25" s="12"/>
      <c r="P25" s="32"/>
      <c r="Q25" s="32" t="str">
        <f>BRD_EPIC2[[#This Row],[system type]]&amp;BRD_EPIC2[[#This Row],[system type2]]</f>
        <v/>
      </c>
      <c r="R25" s="32"/>
      <c r="S25" s="32"/>
      <c r="T25" s="203"/>
      <c r="U25" s="203"/>
      <c r="V25" s="204">
        <f>$U25*DE_Cost!$B$1*8</f>
        <v>0</v>
      </c>
      <c r="W25" s="204">
        <f>$U25*DE_Cost!$B$1</f>
        <v>0</v>
      </c>
      <c r="X25" s="204"/>
      <c r="Y25" s="204"/>
      <c r="Z25" s="204"/>
      <c r="AA25" s="203" t="s">
        <v>42</v>
      </c>
      <c r="AB25" s="203"/>
      <c r="AC25" s="203"/>
      <c r="AD25" s="204"/>
    </row>
    <row r="26" spans="1:30" ht="38.25" hidden="1" customHeight="1">
      <c r="A26" s="44"/>
      <c r="B26" s="47"/>
      <c r="C26" s="12"/>
      <c r="D26" s="46" t="s">
        <v>107</v>
      </c>
      <c r="E26" s="12" t="s">
        <v>108</v>
      </c>
      <c r="F26" s="12"/>
      <c r="G26" s="32" t="s">
        <v>99</v>
      </c>
      <c r="H26" s="19" t="s">
        <v>109</v>
      </c>
      <c r="I26" s="19"/>
      <c r="J26" s="19"/>
      <c r="K26" s="32"/>
      <c r="L26" s="73"/>
      <c r="M26" s="73"/>
      <c r="N26" s="197"/>
      <c r="O26" s="12"/>
      <c r="P26" s="32"/>
      <c r="Q26" s="32" t="str">
        <f>BRD_EPIC2[[#This Row],[system type]]&amp;BRD_EPIC2[[#This Row],[system type2]]</f>
        <v/>
      </c>
      <c r="R26" s="32"/>
      <c r="S26" s="32"/>
      <c r="T26" s="203"/>
      <c r="U26" s="203"/>
      <c r="V26" s="204">
        <f>$U26*DE_Cost!$B$1*8</f>
        <v>0</v>
      </c>
      <c r="W26" s="204">
        <f>$U26*DE_Cost!$B$1</f>
        <v>0</v>
      </c>
      <c r="X26" s="204"/>
      <c r="Y26" s="204"/>
      <c r="Z26" s="204"/>
      <c r="AA26" s="203" t="s">
        <v>42</v>
      </c>
      <c r="AB26" s="203"/>
      <c r="AC26" s="203"/>
      <c r="AD26" s="204"/>
    </row>
    <row r="27" spans="1:30" ht="38.25" hidden="1" customHeight="1">
      <c r="A27" s="44"/>
      <c r="B27" s="47"/>
      <c r="C27" s="12"/>
      <c r="D27" s="46" t="s">
        <v>110</v>
      </c>
      <c r="E27" s="12" t="s">
        <v>111</v>
      </c>
      <c r="F27" s="12"/>
      <c r="G27" s="32" t="s">
        <v>99</v>
      </c>
      <c r="H27" s="19" t="s">
        <v>112</v>
      </c>
      <c r="I27" s="19"/>
      <c r="J27" s="19"/>
      <c r="K27" s="32"/>
      <c r="L27" s="73"/>
      <c r="M27" s="73"/>
      <c r="N27" s="90"/>
      <c r="O27" s="90"/>
      <c r="P27" s="32"/>
      <c r="Q27" s="32" t="str">
        <f>BRD_EPIC2[[#This Row],[system type]]&amp;BRD_EPIC2[[#This Row],[system type2]]</f>
        <v/>
      </c>
      <c r="R27" s="32"/>
      <c r="S27" s="32"/>
      <c r="T27" s="203"/>
      <c r="U27" s="203">
        <v>0</v>
      </c>
      <c r="V27" s="204">
        <f>$U27*DE_Cost!$B$1*8</f>
        <v>0</v>
      </c>
      <c r="W27" s="204">
        <f>$U27*DE_Cost!$B$1</f>
        <v>0</v>
      </c>
      <c r="X27" s="204"/>
      <c r="Y27" s="204"/>
      <c r="Z27" s="204"/>
      <c r="AA27" s="203" t="s">
        <v>42</v>
      </c>
      <c r="AB27" s="203"/>
      <c r="AC27" s="203"/>
      <c r="AD27" s="204"/>
    </row>
    <row r="28" spans="1:30" ht="38.25" hidden="1" customHeight="1">
      <c r="A28" s="44"/>
      <c r="B28" s="47"/>
      <c r="C28" s="12"/>
      <c r="D28" s="46" t="s">
        <v>113</v>
      </c>
      <c r="E28" s="12" t="s">
        <v>114</v>
      </c>
      <c r="F28" s="12"/>
      <c r="G28" s="32" t="s">
        <v>99</v>
      </c>
      <c r="H28" s="19" t="s">
        <v>115</v>
      </c>
      <c r="I28" s="19"/>
      <c r="J28" s="19"/>
      <c r="K28" s="32"/>
      <c r="L28" s="73"/>
      <c r="M28" s="73"/>
      <c r="N28" s="90"/>
      <c r="O28" s="90"/>
      <c r="P28" s="32"/>
      <c r="Q28" s="32" t="str">
        <f>BRD_EPIC2[[#This Row],[system type]]&amp;BRD_EPIC2[[#This Row],[system type2]]</f>
        <v/>
      </c>
      <c r="R28" s="32"/>
      <c r="S28" s="32"/>
      <c r="T28" s="203"/>
      <c r="U28" s="203"/>
      <c r="V28" s="204">
        <f>$U28*DE_Cost!$B$1*8</f>
        <v>0</v>
      </c>
      <c r="W28" s="204">
        <f>$U28*DE_Cost!$B$1</f>
        <v>0</v>
      </c>
      <c r="X28" s="204"/>
      <c r="Y28" s="204"/>
      <c r="Z28" s="204"/>
      <c r="AA28" s="203" t="s">
        <v>42</v>
      </c>
      <c r="AB28" s="203"/>
      <c r="AC28" s="203"/>
      <c r="AD28" s="204"/>
    </row>
    <row r="29" spans="1:30" ht="38.25" hidden="1" customHeight="1">
      <c r="A29" s="44"/>
      <c r="B29" s="47"/>
      <c r="C29" s="12"/>
      <c r="D29" s="46" t="s">
        <v>116</v>
      </c>
      <c r="E29" s="12" t="s">
        <v>117</v>
      </c>
      <c r="F29" s="12"/>
      <c r="G29" s="32" t="s">
        <v>99</v>
      </c>
      <c r="H29" s="19" t="s">
        <v>118</v>
      </c>
      <c r="I29" s="19"/>
      <c r="J29" s="19"/>
      <c r="K29" s="32"/>
      <c r="L29" s="73"/>
      <c r="M29" s="73"/>
      <c r="N29" s="90"/>
      <c r="O29" s="90"/>
      <c r="P29" s="32"/>
      <c r="Q29" s="32" t="str">
        <f>BRD_EPIC2[[#This Row],[system type]]&amp;BRD_EPIC2[[#This Row],[system type2]]</f>
        <v/>
      </c>
      <c r="R29" s="32"/>
      <c r="S29" s="32"/>
      <c r="T29" s="203"/>
      <c r="U29" s="203"/>
      <c r="V29" s="204">
        <f>$U29*DE_Cost!$B$1*8</f>
        <v>0</v>
      </c>
      <c r="W29" s="204">
        <f>$U29*DE_Cost!$B$1</f>
        <v>0</v>
      </c>
      <c r="X29" s="204"/>
      <c r="Y29" s="204"/>
      <c r="Z29" s="204"/>
      <c r="AA29" s="203" t="s">
        <v>42</v>
      </c>
      <c r="AB29" s="203"/>
      <c r="AC29" s="203"/>
      <c r="AD29" s="204"/>
    </row>
    <row r="30" spans="1:30" ht="38.25" hidden="1" customHeight="1">
      <c r="A30" s="44"/>
      <c r="B30" s="46"/>
      <c r="C30" s="12"/>
      <c r="D30" s="12" t="s">
        <v>119</v>
      </c>
      <c r="E30" s="12" t="s">
        <v>120</v>
      </c>
      <c r="F30" s="12"/>
      <c r="G30" s="32" t="s">
        <v>99</v>
      </c>
      <c r="H30" s="19" t="s">
        <v>121</v>
      </c>
      <c r="I30" s="19"/>
      <c r="J30" s="19"/>
      <c r="K30" s="32"/>
      <c r="L30" s="73"/>
      <c r="M30" s="73"/>
      <c r="N30" s="90"/>
      <c r="O30" s="90"/>
      <c r="P30" s="32"/>
      <c r="Q30" s="32" t="str">
        <f>BRD_EPIC2[[#This Row],[system type]]&amp;BRD_EPIC2[[#This Row],[system type2]]</f>
        <v/>
      </c>
      <c r="R30" s="32"/>
      <c r="S30" s="32"/>
      <c r="T30" s="203"/>
      <c r="U30" s="203"/>
      <c r="V30" s="204">
        <f>$U30*DE_Cost!$B$1*8</f>
        <v>0</v>
      </c>
      <c r="W30" s="204">
        <f>$U30*DE_Cost!$B$1</f>
        <v>0</v>
      </c>
      <c r="X30" s="204"/>
      <c r="Y30" s="204"/>
      <c r="Z30" s="204"/>
      <c r="AA30" s="203" t="s">
        <v>42</v>
      </c>
      <c r="AB30" s="203"/>
      <c r="AC30" s="203"/>
      <c r="AD30" s="204"/>
    </row>
    <row r="31" spans="1:30" ht="38.25" hidden="1" customHeight="1">
      <c r="A31" s="44"/>
      <c r="B31" s="47"/>
      <c r="C31" s="12" t="s">
        <v>122</v>
      </c>
      <c r="D31" s="46" t="s">
        <v>123</v>
      </c>
      <c r="E31" s="12" t="s">
        <v>124</v>
      </c>
      <c r="F31" s="12"/>
      <c r="G31" s="32" t="s">
        <v>125</v>
      </c>
      <c r="H31" s="19" t="s">
        <v>126</v>
      </c>
      <c r="I31" s="19"/>
      <c r="J31" s="19"/>
      <c r="K31" s="32"/>
      <c r="L31" s="73"/>
      <c r="M31" s="73"/>
      <c r="N31" s="90"/>
      <c r="O31" s="90"/>
      <c r="P31" s="32"/>
      <c r="Q31" s="32" t="str">
        <f>BRD_EPIC2[[#This Row],[system type]]&amp;BRD_EPIC2[[#This Row],[system type2]]</f>
        <v/>
      </c>
      <c r="R31" s="32"/>
      <c r="S31" s="32"/>
      <c r="T31" s="203"/>
      <c r="U31" s="203"/>
      <c r="V31" s="204">
        <f>$U31*DE_Cost!$B$1*8</f>
        <v>0</v>
      </c>
      <c r="W31" s="204">
        <f>$U31*DE_Cost!$B$1</f>
        <v>0</v>
      </c>
      <c r="X31" s="204"/>
      <c r="Y31" s="204"/>
      <c r="Z31" s="204"/>
      <c r="AA31" s="203" t="s">
        <v>42</v>
      </c>
      <c r="AB31" s="203"/>
      <c r="AC31" s="203"/>
      <c r="AD31" s="204"/>
    </row>
    <row r="32" spans="1:30" ht="38.25" hidden="1" customHeight="1">
      <c r="A32" s="44"/>
      <c r="B32" s="47"/>
      <c r="C32" s="12" t="s">
        <v>127</v>
      </c>
      <c r="D32" s="46" t="s">
        <v>128</v>
      </c>
      <c r="E32" s="12" t="s">
        <v>129</v>
      </c>
      <c r="F32" s="12"/>
      <c r="G32" s="32" t="s">
        <v>130</v>
      </c>
      <c r="H32" s="19" t="s">
        <v>131</v>
      </c>
      <c r="I32" s="19"/>
      <c r="J32" s="19"/>
      <c r="K32" s="32"/>
      <c r="L32" s="73"/>
      <c r="M32" s="73"/>
      <c r="N32" s="90"/>
      <c r="O32" s="90"/>
      <c r="P32" s="32"/>
      <c r="Q32" s="32" t="str">
        <f>BRD_EPIC2[[#This Row],[system type]]&amp;BRD_EPIC2[[#This Row],[system type2]]</f>
        <v/>
      </c>
      <c r="R32" s="32"/>
      <c r="S32" s="32"/>
      <c r="T32" s="203"/>
      <c r="U32" s="203"/>
      <c r="V32" s="204">
        <f>$U32*DE_Cost!$B$1*8</f>
        <v>0</v>
      </c>
      <c r="W32" s="204">
        <f>$U32*DE_Cost!$B$1</f>
        <v>0</v>
      </c>
      <c r="X32" s="204"/>
      <c r="Y32" s="204"/>
      <c r="Z32" s="204"/>
      <c r="AA32" s="203" t="s">
        <v>42</v>
      </c>
      <c r="AB32" s="203"/>
      <c r="AC32" s="203"/>
      <c r="AD32" s="204"/>
    </row>
    <row r="33" spans="1:30" ht="38.25" hidden="1" customHeight="1" thickBot="1">
      <c r="A33" s="14"/>
      <c r="B33" s="20"/>
      <c r="C33" s="19"/>
      <c r="D33" s="54" t="s">
        <v>132</v>
      </c>
      <c r="E33" s="53" t="s">
        <v>133</v>
      </c>
      <c r="F33" s="86"/>
      <c r="G33" s="32" t="s">
        <v>130</v>
      </c>
      <c r="H33" s="19" t="s">
        <v>134</v>
      </c>
      <c r="I33" s="19"/>
      <c r="J33" s="19"/>
      <c r="K33" s="32"/>
      <c r="L33" s="73"/>
      <c r="M33" s="73"/>
      <c r="N33" s="90"/>
      <c r="O33" s="90"/>
      <c r="P33" s="32"/>
      <c r="Q33" s="32" t="str">
        <f>BRD_EPIC2[[#This Row],[system type]]&amp;BRD_EPIC2[[#This Row],[system type2]]</f>
        <v/>
      </c>
      <c r="R33" s="32"/>
      <c r="S33" s="32"/>
      <c r="T33" s="203"/>
      <c r="U33" s="203"/>
      <c r="V33" s="204">
        <f>$U33*DE_Cost!$B$1*8</f>
        <v>0</v>
      </c>
      <c r="W33" s="204">
        <f>$U33*DE_Cost!$B$1</f>
        <v>0</v>
      </c>
      <c r="X33" s="204"/>
      <c r="Y33" s="204"/>
      <c r="Z33" s="204"/>
      <c r="AA33" s="203" t="s">
        <v>42</v>
      </c>
      <c r="AB33" s="203"/>
      <c r="AC33" s="203"/>
      <c r="AD33" s="204"/>
    </row>
    <row r="34" spans="1:30" ht="326" hidden="1" customHeight="1" thickBot="1">
      <c r="A34" s="81"/>
      <c r="B34" s="83"/>
      <c r="C34" s="53"/>
      <c r="D34" s="54" t="s">
        <v>135</v>
      </c>
      <c r="E34" s="53" t="s">
        <v>136</v>
      </c>
      <c r="F34" s="87"/>
      <c r="G34" s="65" t="s">
        <v>137</v>
      </c>
      <c r="H34" s="67" t="s">
        <v>138</v>
      </c>
      <c r="I34" s="67"/>
      <c r="J34" s="67"/>
      <c r="K34" s="65" t="s">
        <v>139</v>
      </c>
      <c r="L34" s="74"/>
      <c r="M34" s="74"/>
      <c r="N34" s="90"/>
      <c r="O34" s="90"/>
      <c r="P34" s="32"/>
      <c r="Q34" s="32" t="str">
        <f>BRD_EPIC2[[#This Row],[system type]]&amp;BRD_EPIC2[[#This Row],[system type2]]</f>
        <v/>
      </c>
      <c r="R34" s="32"/>
      <c r="S34" s="32"/>
      <c r="T34" s="203"/>
      <c r="U34" s="203"/>
      <c r="V34" s="204">
        <f>$U34*DE_Cost!$B$1*8</f>
        <v>0</v>
      </c>
      <c r="W34" s="204">
        <f>$U34*DE_Cost!$B$1</f>
        <v>0</v>
      </c>
      <c r="X34" s="204"/>
      <c r="Y34" s="204"/>
      <c r="Z34" s="204"/>
      <c r="AA34" s="203" t="s">
        <v>42</v>
      </c>
      <c r="AB34" s="203"/>
      <c r="AC34" s="203"/>
      <c r="AD34" s="204"/>
    </row>
    <row r="35" spans="1:30" ht="73" thickBot="1">
      <c r="A35" s="55" t="s">
        <v>140</v>
      </c>
      <c r="B35" s="51" t="s">
        <v>141</v>
      </c>
      <c r="C35" s="52" t="s">
        <v>142</v>
      </c>
      <c r="D35" s="85" t="s">
        <v>143</v>
      </c>
      <c r="E35" s="52" t="s">
        <v>144</v>
      </c>
      <c r="F35" s="52" t="s">
        <v>145</v>
      </c>
      <c r="G35" s="247"/>
      <c r="H35" s="68" t="s">
        <v>146</v>
      </c>
      <c r="I35" s="52" t="s">
        <v>147</v>
      </c>
      <c r="J35" s="68"/>
      <c r="K35" s="32"/>
      <c r="L35" s="75"/>
      <c r="M35" s="75"/>
      <c r="N35" s="205" t="s">
        <v>148</v>
      </c>
      <c r="O35" s="205" t="s">
        <v>149</v>
      </c>
      <c r="P35" s="203" t="s">
        <v>2238</v>
      </c>
      <c r="Q35" s="203" t="str">
        <f>BRD_EPIC2[[#This Row],[system type]]&amp;BRD_EPIC2[[#This Row],[system type2]]</f>
        <v>Android &amp; QA &amp; PM &amp; DM &amp; UI</v>
      </c>
      <c r="R35" s="203" t="s">
        <v>2239</v>
      </c>
      <c r="S35" s="203"/>
      <c r="T35" s="203"/>
      <c r="U35" s="203">
        <v>5</v>
      </c>
      <c r="V35" s="204">
        <f>$U35*DE_Cost!$B$1*8</f>
        <v>48</v>
      </c>
      <c r="W35" s="204">
        <f>$U35*DE_Cost!$B$1</f>
        <v>6</v>
      </c>
      <c r="X35" s="204">
        <v>0</v>
      </c>
      <c r="Y35" s="204">
        <v>0</v>
      </c>
      <c r="Z35" s="204">
        <f>LEN(Q35) - LEN(SUBSTITUTE(Q35, "&amp;", "")) + 1</f>
        <v>5</v>
      </c>
      <c r="AA35" s="204">
        <f t="shared" ref="AA35:AC35" si="0">LEN(R35) - LEN(SUBSTITUTE(R35, "&amp;", "")) + 1</f>
        <v>5</v>
      </c>
      <c r="AB35" s="204">
        <f t="shared" si="0"/>
        <v>1</v>
      </c>
      <c r="AC35" s="204">
        <f t="shared" si="0"/>
        <v>1</v>
      </c>
      <c r="AD35" s="204"/>
    </row>
    <row r="36" spans="1:30" ht="72">
      <c r="A36" s="55" t="s">
        <v>140</v>
      </c>
      <c r="B36" s="51" t="s">
        <v>141</v>
      </c>
      <c r="C36" s="52" t="s">
        <v>142</v>
      </c>
      <c r="D36" s="33" t="s">
        <v>152</v>
      </c>
      <c r="E36" s="33" t="s">
        <v>153</v>
      </c>
      <c r="F36" s="33"/>
      <c r="G36" s="32"/>
      <c r="H36" s="19" t="s">
        <v>154</v>
      </c>
      <c r="I36" s="33"/>
      <c r="J36" s="19"/>
      <c r="K36" s="32"/>
      <c r="L36" s="73"/>
      <c r="M36" s="73"/>
      <c r="N36" s="205" t="s">
        <v>155</v>
      </c>
      <c r="O36" s="205" t="s">
        <v>156</v>
      </c>
      <c r="P36" s="203" t="s">
        <v>2238</v>
      </c>
      <c r="Q36" s="203" t="str">
        <f>BRD_EPIC2[[#This Row],[system type]]&amp;BRD_EPIC2[[#This Row],[system type2]]</f>
        <v>Android &amp; QA &amp; PM &amp; DM &amp; UI</v>
      </c>
      <c r="R36" s="203" t="s">
        <v>2239</v>
      </c>
      <c r="S36" s="207"/>
      <c r="T36" s="203"/>
      <c r="U36" s="203">
        <v>2</v>
      </c>
      <c r="V36" s="204">
        <f>$U36*DE_Cost!$B$1*8</f>
        <v>19.2</v>
      </c>
      <c r="W36" s="204">
        <f>$U36*DE_Cost!$B$1</f>
        <v>2.4</v>
      </c>
      <c r="X36" s="204">
        <v>0</v>
      </c>
      <c r="Y36" s="204">
        <v>0</v>
      </c>
      <c r="Z36" s="204">
        <f t="shared" ref="Z36:Z99" si="1">LEN(Q36) - LEN(SUBSTITUTE(Q36, "&amp;", "")) + 1</f>
        <v>5</v>
      </c>
      <c r="AA36" s="203" t="s">
        <v>42</v>
      </c>
      <c r="AB36" s="203"/>
      <c r="AC36" s="203"/>
      <c r="AD36" s="204"/>
    </row>
    <row r="37" spans="1:30" ht="144">
      <c r="A37" s="55" t="s">
        <v>140</v>
      </c>
      <c r="B37" s="51" t="s">
        <v>141</v>
      </c>
      <c r="C37" s="52" t="s">
        <v>142</v>
      </c>
      <c r="D37" s="33" t="s">
        <v>157</v>
      </c>
      <c r="E37" s="33" t="s">
        <v>158</v>
      </c>
      <c r="F37" s="33" t="s">
        <v>159</v>
      </c>
      <c r="G37" s="32"/>
      <c r="H37" s="19" t="s">
        <v>160</v>
      </c>
      <c r="I37" s="33" t="s">
        <v>161</v>
      </c>
      <c r="J37" s="19"/>
      <c r="K37" s="32"/>
      <c r="L37" s="73"/>
      <c r="M37" s="73"/>
      <c r="N37" s="205" t="s">
        <v>162</v>
      </c>
      <c r="O37" s="205" t="s">
        <v>163</v>
      </c>
      <c r="P37" s="203" t="s">
        <v>455</v>
      </c>
      <c r="Q37" s="203" t="str">
        <f>BRD_EPIC2[[#This Row],[system type]]&amp;BRD_EPIC2[[#This Row],[system type2]]</f>
        <v>Android &amp; QA &amp; PM &amp; DM &amp; UI</v>
      </c>
      <c r="R37" s="203" t="s">
        <v>2239</v>
      </c>
      <c r="S37" s="203"/>
      <c r="T37" s="203"/>
      <c r="U37" s="203">
        <v>2</v>
      </c>
      <c r="V37" s="204">
        <f>$U37*DE_Cost!$B$1*8</f>
        <v>19.2</v>
      </c>
      <c r="W37" s="204">
        <f>$U37*DE_Cost!$B$1</f>
        <v>2.4</v>
      </c>
      <c r="X37" s="204">
        <v>0</v>
      </c>
      <c r="Y37" s="204">
        <v>0</v>
      </c>
      <c r="Z37" s="204">
        <f t="shared" si="1"/>
        <v>5</v>
      </c>
      <c r="AA37" s="203" t="s">
        <v>42</v>
      </c>
      <c r="AB37" s="203"/>
      <c r="AC37" s="203"/>
      <c r="AD37" s="204"/>
    </row>
    <row r="38" spans="1:30" ht="79" customHeight="1">
      <c r="A38" s="55" t="s">
        <v>140</v>
      </c>
      <c r="B38" s="51" t="s">
        <v>141</v>
      </c>
      <c r="C38" s="52" t="s">
        <v>142</v>
      </c>
      <c r="D38" s="33" t="s">
        <v>165</v>
      </c>
      <c r="E38" s="33" t="s">
        <v>166</v>
      </c>
      <c r="F38" s="33" t="s">
        <v>167</v>
      </c>
      <c r="G38" s="32"/>
      <c r="H38" s="19" t="s">
        <v>168</v>
      </c>
      <c r="I38" s="33" t="s">
        <v>169</v>
      </c>
      <c r="J38" s="19"/>
      <c r="K38" s="32"/>
      <c r="L38" s="73"/>
      <c r="M38" s="73"/>
      <c r="N38" s="205" t="s">
        <v>170</v>
      </c>
      <c r="O38" s="205" t="s">
        <v>171</v>
      </c>
      <c r="P38" s="203" t="s">
        <v>164</v>
      </c>
      <c r="Q38" s="203" t="str">
        <f>BRD_EPIC2[[#This Row],[system type]]&amp;BRD_EPIC2[[#This Row],[system type2]]</f>
        <v>Android &amp; Back-End &amp; QA &amp; PM &amp; DM &amp; UI</v>
      </c>
      <c r="R38" s="203" t="s">
        <v>2239</v>
      </c>
      <c r="S38" s="203"/>
      <c r="T38" s="203"/>
      <c r="U38" s="203">
        <v>5</v>
      </c>
      <c r="V38" s="204">
        <f>$U38*DE_Cost!$B$1*8</f>
        <v>48</v>
      </c>
      <c r="W38" s="204">
        <f>$U38*DE_Cost!$B$1</f>
        <v>6</v>
      </c>
      <c r="X38" s="204">
        <v>0</v>
      </c>
      <c r="Y38" s="204">
        <v>0</v>
      </c>
      <c r="Z38" s="204">
        <f t="shared" si="1"/>
        <v>6</v>
      </c>
      <c r="AA38" s="203" t="s">
        <v>42</v>
      </c>
      <c r="AB38" s="203"/>
      <c r="AC38" s="203"/>
      <c r="AD38" s="204"/>
    </row>
    <row r="39" spans="1:30" ht="108">
      <c r="A39" s="55" t="s">
        <v>140</v>
      </c>
      <c r="B39" s="51" t="s">
        <v>141</v>
      </c>
      <c r="C39" s="52" t="s">
        <v>142</v>
      </c>
      <c r="D39" s="33" t="s">
        <v>172</v>
      </c>
      <c r="E39" s="33" t="s">
        <v>173</v>
      </c>
      <c r="F39" s="33" t="s">
        <v>174</v>
      </c>
      <c r="G39" s="32"/>
      <c r="H39" s="19" t="s">
        <v>175</v>
      </c>
      <c r="I39" s="33" t="s">
        <v>176</v>
      </c>
      <c r="J39" s="19"/>
      <c r="K39" s="32"/>
      <c r="L39" s="73"/>
      <c r="M39" s="73"/>
      <c r="N39" s="205" t="s">
        <v>177</v>
      </c>
      <c r="O39" s="205" t="s">
        <v>178</v>
      </c>
      <c r="P39" s="203" t="s">
        <v>2238</v>
      </c>
      <c r="Q39" s="203" t="str">
        <f>BRD_EPIC2[[#This Row],[system type]]&amp;BRD_EPIC2[[#This Row],[system type2]]</f>
        <v>Android &amp; QA &amp; PM &amp; DM &amp; UI</v>
      </c>
      <c r="R39" s="203" t="s">
        <v>2239</v>
      </c>
      <c r="S39" s="203"/>
      <c r="T39" s="203"/>
      <c r="U39" s="203">
        <v>2</v>
      </c>
      <c r="V39" s="204">
        <f>$U39*DE_Cost!$B$1*8</f>
        <v>19.2</v>
      </c>
      <c r="W39" s="204">
        <f>$U39*DE_Cost!$B$1</f>
        <v>2.4</v>
      </c>
      <c r="X39" s="204">
        <v>0</v>
      </c>
      <c r="Y39" s="204">
        <v>0</v>
      </c>
      <c r="Z39" s="204">
        <f t="shared" si="1"/>
        <v>5</v>
      </c>
      <c r="AA39" s="203" t="s">
        <v>42</v>
      </c>
      <c r="AB39" s="203"/>
      <c r="AC39" s="203"/>
      <c r="AD39" s="204"/>
    </row>
    <row r="40" spans="1:30" ht="90">
      <c r="A40" s="55" t="s">
        <v>140</v>
      </c>
      <c r="B40" s="51" t="s">
        <v>141</v>
      </c>
      <c r="C40" s="52" t="s">
        <v>142</v>
      </c>
      <c r="D40" s="12" t="s">
        <v>179</v>
      </c>
      <c r="E40" s="12" t="s">
        <v>180</v>
      </c>
      <c r="F40" s="12" t="s">
        <v>181</v>
      </c>
      <c r="G40" s="32"/>
      <c r="H40" s="19" t="s">
        <v>182</v>
      </c>
      <c r="I40" s="12" t="s">
        <v>183</v>
      </c>
      <c r="J40" s="19"/>
      <c r="K40" s="32"/>
      <c r="L40" s="73"/>
      <c r="M40" s="73"/>
      <c r="N40" s="205" t="s">
        <v>148</v>
      </c>
      <c r="O40" s="205" t="s">
        <v>184</v>
      </c>
      <c r="P40" s="203" t="s">
        <v>2238</v>
      </c>
      <c r="Q40" s="203" t="str">
        <f>BRD_EPIC2[[#This Row],[system type]]&amp;BRD_EPIC2[[#This Row],[system type2]]</f>
        <v>Android &amp; QA &amp; PM &amp; DM &amp; UI</v>
      </c>
      <c r="R40" s="203" t="s">
        <v>2239</v>
      </c>
      <c r="S40" s="203"/>
      <c r="T40" s="203"/>
      <c r="U40" s="203">
        <v>5</v>
      </c>
      <c r="V40" s="204">
        <f>$U40*DE_Cost!$B$1*8</f>
        <v>48</v>
      </c>
      <c r="W40" s="204">
        <f>$U40*DE_Cost!$B$1</f>
        <v>6</v>
      </c>
      <c r="X40" s="204">
        <v>0</v>
      </c>
      <c r="Y40" s="204">
        <v>0</v>
      </c>
      <c r="Z40" s="204">
        <f t="shared" si="1"/>
        <v>5</v>
      </c>
      <c r="AA40" s="203" t="s">
        <v>150</v>
      </c>
      <c r="AB40" s="203" t="s">
        <v>185</v>
      </c>
      <c r="AC40" s="203"/>
      <c r="AD40" s="204"/>
    </row>
    <row r="41" spans="1:30" ht="90">
      <c r="A41" s="55" t="s">
        <v>140</v>
      </c>
      <c r="B41" s="51" t="s">
        <v>141</v>
      </c>
      <c r="C41" s="52" t="s">
        <v>142</v>
      </c>
      <c r="D41" s="12" t="s">
        <v>186</v>
      </c>
      <c r="E41" s="12" t="s">
        <v>187</v>
      </c>
      <c r="F41" s="12" t="s">
        <v>188</v>
      </c>
      <c r="G41" s="63"/>
      <c r="H41" s="19" t="s">
        <v>189</v>
      </c>
      <c r="I41" s="12" t="s">
        <v>190</v>
      </c>
      <c r="J41" s="19"/>
      <c r="K41" s="32"/>
      <c r="L41" s="73"/>
      <c r="M41" s="73"/>
      <c r="N41" s="205" t="s">
        <v>191</v>
      </c>
      <c r="O41" s="205" t="s">
        <v>192</v>
      </c>
      <c r="P41" s="203" t="s">
        <v>2240</v>
      </c>
      <c r="Q41" s="203" t="str">
        <f>BRD_EPIC2[[#This Row],[system type]]&amp;BRD_EPIC2[[#This Row],[system type2]]</f>
        <v>Android &amp; Back-End &amp; QA &amp; PM &amp; DM &amp; UI</v>
      </c>
      <c r="R41" s="203" t="s">
        <v>2239</v>
      </c>
      <c r="S41" s="203"/>
      <c r="T41" s="203"/>
      <c r="U41" s="203">
        <v>3</v>
      </c>
      <c r="V41" s="204">
        <f>$U41*DE_Cost!$B$1*8</f>
        <v>28.799999999999997</v>
      </c>
      <c r="W41" s="204">
        <f>$U41*DE_Cost!$B$1</f>
        <v>3.5999999999999996</v>
      </c>
      <c r="X41" s="204">
        <v>0</v>
      </c>
      <c r="Y41" s="204">
        <v>0</v>
      </c>
      <c r="Z41" s="204">
        <f t="shared" si="1"/>
        <v>6</v>
      </c>
      <c r="AA41" s="203" t="s">
        <v>42</v>
      </c>
      <c r="AB41" s="203"/>
      <c r="AC41" s="203"/>
      <c r="AD41" s="204"/>
    </row>
    <row r="42" spans="1:30" ht="90">
      <c r="A42" s="55" t="s">
        <v>140</v>
      </c>
      <c r="B42" s="51" t="s">
        <v>141</v>
      </c>
      <c r="C42" s="52" t="s">
        <v>142</v>
      </c>
      <c r="D42" s="12" t="s">
        <v>193</v>
      </c>
      <c r="E42" s="12" t="s">
        <v>194</v>
      </c>
      <c r="F42" s="12" t="s">
        <v>195</v>
      </c>
      <c r="G42" s="63"/>
      <c r="H42" s="19" t="s">
        <v>196</v>
      </c>
      <c r="I42" s="12" t="s">
        <v>197</v>
      </c>
      <c r="J42" s="19"/>
      <c r="K42" s="32"/>
      <c r="L42" s="73"/>
      <c r="M42" s="73"/>
      <c r="N42" s="205" t="s">
        <v>198</v>
      </c>
      <c r="O42" s="205" t="s">
        <v>199</v>
      </c>
      <c r="P42" s="203" t="s">
        <v>2238</v>
      </c>
      <c r="Q42" s="203" t="str">
        <f>BRD_EPIC2[[#This Row],[system type]]&amp;BRD_EPIC2[[#This Row],[system type2]]</f>
        <v>Android &amp; QA &amp; PM &amp; DM &amp; UI</v>
      </c>
      <c r="R42" s="203" t="s">
        <v>2239</v>
      </c>
      <c r="S42" s="203"/>
      <c r="T42" s="203"/>
      <c r="U42" s="203">
        <v>2</v>
      </c>
      <c r="V42" s="204">
        <f>$U42*DE_Cost!$B$1*8</f>
        <v>19.2</v>
      </c>
      <c r="W42" s="204">
        <f>$U42*DE_Cost!$B$1</f>
        <v>2.4</v>
      </c>
      <c r="X42" s="204">
        <v>0</v>
      </c>
      <c r="Y42" s="204">
        <v>0</v>
      </c>
      <c r="Z42" s="204">
        <f t="shared" si="1"/>
        <v>5</v>
      </c>
      <c r="AA42" s="203" t="s">
        <v>42</v>
      </c>
      <c r="AB42" s="203"/>
      <c r="AC42" s="203"/>
      <c r="AD42" s="204"/>
    </row>
    <row r="43" spans="1:30" ht="108">
      <c r="A43" s="55" t="s">
        <v>140</v>
      </c>
      <c r="B43" s="51" t="s">
        <v>141</v>
      </c>
      <c r="C43" s="52" t="s">
        <v>142</v>
      </c>
      <c r="D43" s="12" t="s">
        <v>200</v>
      </c>
      <c r="E43" s="12" t="s">
        <v>201</v>
      </c>
      <c r="F43" s="12" t="s">
        <v>202</v>
      </c>
      <c r="G43" s="32"/>
      <c r="H43" s="19" t="s">
        <v>203</v>
      </c>
      <c r="I43" s="12" t="s">
        <v>204</v>
      </c>
      <c r="J43" s="19"/>
      <c r="K43" s="32"/>
      <c r="L43" s="73"/>
      <c r="M43" s="73"/>
      <c r="N43" s="205" t="s">
        <v>205</v>
      </c>
      <c r="O43" s="205" t="s">
        <v>206</v>
      </c>
      <c r="P43" s="203" t="s">
        <v>164</v>
      </c>
      <c r="Q43" s="203" t="str">
        <f>BRD_EPIC2[[#This Row],[system type]]&amp;BRD_EPIC2[[#This Row],[system type2]]</f>
        <v>Android &amp; Back-End &amp; QA &amp; PM &amp; DM &amp; UI</v>
      </c>
      <c r="R43" s="203" t="s">
        <v>2239</v>
      </c>
      <c r="S43" s="203"/>
      <c r="T43" s="203"/>
      <c r="U43" s="203">
        <v>2</v>
      </c>
      <c r="V43" s="204">
        <f>$U43*DE_Cost!$B$1*8</f>
        <v>19.2</v>
      </c>
      <c r="W43" s="204">
        <f>$U43*DE_Cost!$B$1</f>
        <v>2.4</v>
      </c>
      <c r="X43" s="204">
        <v>0</v>
      </c>
      <c r="Y43" s="204">
        <v>0</v>
      </c>
      <c r="Z43" s="204">
        <f t="shared" si="1"/>
        <v>6</v>
      </c>
      <c r="AA43" s="203" t="s">
        <v>42</v>
      </c>
      <c r="AB43" s="203"/>
      <c r="AC43" s="203"/>
      <c r="AD43" s="204"/>
    </row>
    <row r="44" spans="1:30" ht="108">
      <c r="A44" s="55" t="s">
        <v>140</v>
      </c>
      <c r="B44" s="51" t="s">
        <v>141</v>
      </c>
      <c r="C44" s="52" t="s">
        <v>142</v>
      </c>
      <c r="D44" s="33" t="s">
        <v>207</v>
      </c>
      <c r="E44" s="33" t="s">
        <v>208</v>
      </c>
      <c r="F44" s="33" t="s">
        <v>209</v>
      </c>
      <c r="G44" s="32"/>
      <c r="H44" s="19" t="s">
        <v>210</v>
      </c>
      <c r="I44" s="33" t="s">
        <v>211</v>
      </c>
      <c r="J44" s="19"/>
      <c r="K44" s="32"/>
      <c r="L44" s="73"/>
      <c r="M44" s="73"/>
      <c r="N44" s="205" t="s">
        <v>212</v>
      </c>
      <c r="O44" s="205" t="s">
        <v>213</v>
      </c>
      <c r="P44" s="203" t="s">
        <v>2240</v>
      </c>
      <c r="Q44" s="203" t="str">
        <f>BRD_EPIC2[[#This Row],[system type]]&amp;BRD_EPIC2[[#This Row],[system type2]]</f>
        <v>Android &amp; Back-End &amp; QA &amp; PM &amp; DM &amp; UI</v>
      </c>
      <c r="R44" s="203" t="s">
        <v>2239</v>
      </c>
      <c r="S44" s="203"/>
      <c r="T44" s="203"/>
      <c r="U44" s="203">
        <v>2</v>
      </c>
      <c r="V44" s="204">
        <f>$U44*DE_Cost!$B$1*8</f>
        <v>19.2</v>
      </c>
      <c r="W44" s="204">
        <f>$U44*DE_Cost!$B$1</f>
        <v>2.4</v>
      </c>
      <c r="X44" s="204">
        <v>0</v>
      </c>
      <c r="Y44" s="204">
        <v>0</v>
      </c>
      <c r="Z44" s="204">
        <f t="shared" si="1"/>
        <v>6</v>
      </c>
      <c r="AA44" s="203" t="s">
        <v>42</v>
      </c>
      <c r="AB44" s="203"/>
      <c r="AC44" s="203"/>
      <c r="AD44" s="204"/>
    </row>
    <row r="45" spans="1:30" ht="312" customHeight="1">
      <c r="A45" s="55" t="s">
        <v>140</v>
      </c>
      <c r="B45" s="51" t="s">
        <v>141</v>
      </c>
      <c r="C45" s="52" t="s">
        <v>142</v>
      </c>
      <c r="D45" s="12" t="s">
        <v>214</v>
      </c>
      <c r="E45" s="12" t="s">
        <v>215</v>
      </c>
      <c r="F45" s="12" t="s">
        <v>216</v>
      </c>
      <c r="G45" s="63"/>
      <c r="H45" s="19" t="s">
        <v>217</v>
      </c>
      <c r="I45" s="12" t="s">
        <v>218</v>
      </c>
      <c r="J45" s="19"/>
      <c r="K45" s="32"/>
      <c r="L45" s="73"/>
      <c r="M45" s="73"/>
      <c r="N45" s="205" t="s">
        <v>219</v>
      </c>
      <c r="O45" s="205" t="s">
        <v>220</v>
      </c>
      <c r="P45" s="203" t="s">
        <v>2240</v>
      </c>
      <c r="Q45" s="203" t="str">
        <f>BRD_EPIC2[[#This Row],[system type]]&amp;BRD_EPIC2[[#This Row],[system type2]]</f>
        <v>Android &amp; Back-End &amp; QA &amp; PM &amp; DM &amp; UI</v>
      </c>
      <c r="R45" s="203" t="s">
        <v>2239</v>
      </c>
      <c r="S45" s="203" t="s">
        <v>221</v>
      </c>
      <c r="T45" s="203"/>
      <c r="U45" s="203">
        <v>15</v>
      </c>
      <c r="V45" s="204">
        <f>$U45*DE_Cost!$B$1*8</f>
        <v>144</v>
      </c>
      <c r="W45" s="204">
        <f>$U45*DE_Cost!$B$1</f>
        <v>18</v>
      </c>
      <c r="X45" s="204">
        <v>0</v>
      </c>
      <c r="Y45" s="204">
        <v>0</v>
      </c>
      <c r="Z45" s="204">
        <f t="shared" si="1"/>
        <v>6</v>
      </c>
      <c r="AA45" s="203" t="s">
        <v>42</v>
      </c>
      <c r="AB45" s="203"/>
      <c r="AC45" s="203"/>
      <c r="AD45" s="204"/>
    </row>
    <row r="46" spans="1:30" ht="72">
      <c r="A46" s="55" t="s">
        <v>140</v>
      </c>
      <c r="B46" s="51" t="s">
        <v>141</v>
      </c>
      <c r="C46" s="52" t="s">
        <v>142</v>
      </c>
      <c r="D46" s="12" t="s">
        <v>222</v>
      </c>
      <c r="E46" s="12" t="s">
        <v>223</v>
      </c>
      <c r="F46" s="12" t="s">
        <v>224</v>
      </c>
      <c r="G46" s="32"/>
      <c r="H46" s="19" t="s">
        <v>225</v>
      </c>
      <c r="I46" s="12" t="s">
        <v>226</v>
      </c>
      <c r="J46" s="19"/>
      <c r="K46" s="32"/>
      <c r="L46" s="73"/>
      <c r="M46" s="73"/>
      <c r="N46" s="205" t="s">
        <v>227</v>
      </c>
      <c r="O46" s="205" t="s">
        <v>228</v>
      </c>
      <c r="P46" s="203" t="s">
        <v>2240</v>
      </c>
      <c r="Q46" s="203" t="str">
        <f>BRD_EPIC2[[#This Row],[system type]]&amp;BRD_EPIC2[[#This Row],[system type2]]</f>
        <v>Android &amp; Back-End &amp; QA &amp; PM &amp; DM &amp; UI</v>
      </c>
      <c r="R46" s="203" t="s">
        <v>2239</v>
      </c>
      <c r="S46" s="203"/>
      <c r="T46" s="203"/>
      <c r="U46" s="203">
        <v>3</v>
      </c>
      <c r="V46" s="203">
        <f>$U46*DE_Cost!$B$1*8</f>
        <v>28.799999999999997</v>
      </c>
      <c r="W46" s="204">
        <f>$U46*DE_Cost!$B$1</f>
        <v>3.5999999999999996</v>
      </c>
      <c r="X46" s="204">
        <v>0</v>
      </c>
      <c r="Y46" s="204">
        <v>0</v>
      </c>
      <c r="Z46" s="204">
        <f t="shared" si="1"/>
        <v>6</v>
      </c>
      <c r="AA46" s="203" t="s">
        <v>42</v>
      </c>
      <c r="AB46" s="203"/>
      <c r="AC46" s="203"/>
      <c r="AD46" s="204"/>
    </row>
    <row r="47" spans="1:30" ht="90">
      <c r="A47" s="55" t="s">
        <v>140</v>
      </c>
      <c r="B47" s="51" t="s">
        <v>141</v>
      </c>
      <c r="C47" s="52" t="s">
        <v>142</v>
      </c>
      <c r="D47" s="12" t="s">
        <v>229</v>
      </c>
      <c r="E47" s="12" t="s">
        <v>230</v>
      </c>
      <c r="F47" s="12" t="s">
        <v>231</v>
      </c>
      <c r="G47" s="32"/>
      <c r="H47" s="19" t="s">
        <v>232</v>
      </c>
      <c r="I47" s="12" t="s">
        <v>233</v>
      </c>
      <c r="J47" s="19"/>
      <c r="K47" s="32"/>
      <c r="L47" s="73"/>
      <c r="M47" s="73"/>
      <c r="N47" s="205" t="s">
        <v>234</v>
      </c>
      <c r="O47" s="205" t="s">
        <v>235</v>
      </c>
      <c r="P47" s="203" t="s">
        <v>2240</v>
      </c>
      <c r="Q47" s="203" t="str">
        <f>BRD_EPIC2[[#This Row],[system type]]&amp;BRD_EPIC2[[#This Row],[system type2]]</f>
        <v>Android &amp; Back-End &amp; QA &amp; PM &amp; DM &amp; UI</v>
      </c>
      <c r="R47" s="203" t="s">
        <v>2239</v>
      </c>
      <c r="S47" s="203"/>
      <c r="T47" s="203"/>
      <c r="U47" s="203">
        <v>3</v>
      </c>
      <c r="V47" s="203">
        <f>$U47*DE_Cost!$B$1*8</f>
        <v>28.799999999999997</v>
      </c>
      <c r="W47" s="204">
        <f>$U47*DE_Cost!$B$1</f>
        <v>3.5999999999999996</v>
      </c>
      <c r="X47" s="204">
        <v>0</v>
      </c>
      <c r="Y47" s="204">
        <v>0</v>
      </c>
      <c r="Z47" s="204">
        <f t="shared" si="1"/>
        <v>6</v>
      </c>
      <c r="AA47" s="203" t="s">
        <v>42</v>
      </c>
      <c r="AB47" s="203"/>
      <c r="AC47" s="203"/>
      <c r="AD47" s="204"/>
    </row>
    <row r="48" spans="1:30" ht="231" customHeight="1">
      <c r="A48" s="55" t="s">
        <v>140</v>
      </c>
      <c r="B48" s="51" t="s">
        <v>141</v>
      </c>
      <c r="C48" s="52" t="s">
        <v>142</v>
      </c>
      <c r="D48" s="12" t="s">
        <v>236</v>
      </c>
      <c r="E48" s="12" t="s">
        <v>237</v>
      </c>
      <c r="F48" s="12" t="s">
        <v>238</v>
      </c>
      <c r="G48" s="32" t="s">
        <v>239</v>
      </c>
      <c r="H48" s="19" t="s">
        <v>240</v>
      </c>
      <c r="I48" s="12" t="s">
        <v>241</v>
      </c>
      <c r="J48" s="19"/>
      <c r="K48" s="32"/>
      <c r="L48" s="73"/>
      <c r="M48" s="73"/>
      <c r="N48" s="205" t="s">
        <v>242</v>
      </c>
      <c r="O48" s="205" t="s">
        <v>243</v>
      </c>
      <c r="P48" s="203" t="s">
        <v>2240</v>
      </c>
      <c r="Q48" s="203" t="str">
        <f>BRD_EPIC2[[#This Row],[system type]]&amp;BRD_EPIC2[[#This Row],[system type2]]</f>
        <v>Android &amp; Back-End &amp; QA &amp; PM &amp; DM &amp; UI</v>
      </c>
      <c r="R48" s="203" t="s">
        <v>2239</v>
      </c>
      <c r="S48" s="203"/>
      <c r="T48" s="203"/>
      <c r="U48" s="203">
        <v>3</v>
      </c>
      <c r="V48" s="203">
        <f>$U48*DE_Cost!$B$1*8</f>
        <v>28.799999999999997</v>
      </c>
      <c r="W48" s="204">
        <f>$U48*DE_Cost!$B$1</f>
        <v>3.5999999999999996</v>
      </c>
      <c r="X48" s="204">
        <v>0</v>
      </c>
      <c r="Y48" s="204">
        <v>0</v>
      </c>
      <c r="Z48" s="204">
        <f t="shared" si="1"/>
        <v>6</v>
      </c>
      <c r="AA48" s="203" t="s">
        <v>42</v>
      </c>
      <c r="AB48" s="203"/>
      <c r="AC48" s="203"/>
      <c r="AD48" s="204"/>
    </row>
    <row r="49" spans="1:30" ht="90">
      <c r="A49" s="56" t="s">
        <v>140</v>
      </c>
      <c r="B49" s="50" t="s">
        <v>141</v>
      </c>
      <c r="C49" s="12" t="s">
        <v>142</v>
      </c>
      <c r="D49" s="12" t="s">
        <v>244</v>
      </c>
      <c r="E49" s="197" t="s">
        <v>245</v>
      </c>
      <c r="F49" s="12"/>
      <c r="G49" s="32"/>
      <c r="H49" s="19" t="s">
        <v>246</v>
      </c>
      <c r="I49" s="12"/>
      <c r="J49" s="19"/>
      <c r="K49" s="32"/>
      <c r="L49" s="73"/>
      <c r="M49" s="73"/>
      <c r="N49" s="205" t="s">
        <v>247</v>
      </c>
      <c r="O49" s="205" t="s">
        <v>248</v>
      </c>
      <c r="P49" s="203" t="s">
        <v>2240</v>
      </c>
      <c r="Q49" s="203" t="str">
        <f>BRD_EPIC2[[#This Row],[system type]]&amp;BRD_EPIC2[[#This Row],[system type2]]</f>
        <v>Android &amp; Back-End &amp; QA &amp; PM &amp; DM &amp; UI</v>
      </c>
      <c r="R49" s="203" t="s">
        <v>2239</v>
      </c>
      <c r="S49" s="203"/>
      <c r="T49" s="203"/>
      <c r="U49" s="203">
        <v>4</v>
      </c>
      <c r="V49" s="203">
        <f>$U49*DE_Cost!$B$1*8</f>
        <v>38.4</v>
      </c>
      <c r="W49" s="204">
        <f>$U49*DE_Cost!$B$1</f>
        <v>4.8</v>
      </c>
      <c r="X49" s="204">
        <v>0</v>
      </c>
      <c r="Y49" s="204">
        <v>0</v>
      </c>
      <c r="Z49" s="204">
        <f t="shared" si="1"/>
        <v>6</v>
      </c>
      <c r="AA49" s="203" t="s">
        <v>42</v>
      </c>
      <c r="AB49" s="203"/>
      <c r="AC49" s="203"/>
      <c r="AD49" s="204"/>
    </row>
    <row r="50" spans="1:30" ht="90">
      <c r="A50" s="55" t="s">
        <v>140</v>
      </c>
      <c r="B50" s="51" t="s">
        <v>141</v>
      </c>
      <c r="C50" s="12" t="s">
        <v>249</v>
      </c>
      <c r="D50" s="33" t="s">
        <v>250</v>
      </c>
      <c r="E50" s="33" t="s">
        <v>251</v>
      </c>
      <c r="F50" s="33" t="s">
        <v>252</v>
      </c>
      <c r="G50" s="32" t="s">
        <v>253</v>
      </c>
      <c r="H50" s="19" t="s">
        <v>254</v>
      </c>
      <c r="I50" s="33" t="s">
        <v>255</v>
      </c>
      <c r="J50" s="19"/>
      <c r="K50" s="32"/>
      <c r="L50" s="73"/>
      <c r="M50" s="73"/>
      <c r="N50" s="205" t="s">
        <v>256</v>
      </c>
      <c r="O50" s="205" t="s">
        <v>257</v>
      </c>
      <c r="P50" s="203" t="s">
        <v>258</v>
      </c>
      <c r="Q50" s="203" t="str">
        <f>BRD_EPIC2[[#This Row],[system type]]&amp;BRD_EPIC2[[#This Row],[system type2]]</f>
        <v>Front-End &amp; Back-End &amp; QA &amp; PM &amp; DM &amp; UI</v>
      </c>
      <c r="R50" s="203" t="s">
        <v>2239</v>
      </c>
      <c r="S50" s="203"/>
      <c r="T50" s="203" t="s">
        <v>259</v>
      </c>
      <c r="U50" s="203">
        <v>10</v>
      </c>
      <c r="V50" s="203">
        <f>$U50*DE_Cost!$B$1*8</f>
        <v>96</v>
      </c>
      <c r="W50" s="204">
        <f>$U50*DE_Cost!$B$1</f>
        <v>12</v>
      </c>
      <c r="X50" s="204"/>
      <c r="Y50" s="204"/>
      <c r="Z50" s="204">
        <f t="shared" si="1"/>
        <v>6</v>
      </c>
      <c r="AA50" s="203" t="s">
        <v>150</v>
      </c>
      <c r="AB50" s="203" t="s">
        <v>260</v>
      </c>
      <c r="AC50" s="203"/>
      <c r="AD50" s="204"/>
    </row>
    <row r="51" spans="1:30" ht="162">
      <c r="A51" s="55" t="s">
        <v>140</v>
      </c>
      <c r="B51" s="51" t="s">
        <v>141</v>
      </c>
      <c r="C51" s="12" t="s">
        <v>249</v>
      </c>
      <c r="D51" s="12" t="s">
        <v>261</v>
      </c>
      <c r="E51" s="12" t="s">
        <v>262</v>
      </c>
      <c r="F51" s="12" t="s">
        <v>263</v>
      </c>
      <c r="G51" s="32" t="s">
        <v>253</v>
      </c>
      <c r="H51" s="19" t="s">
        <v>264</v>
      </c>
      <c r="I51" s="12" t="s">
        <v>265</v>
      </c>
      <c r="J51" s="19"/>
      <c r="K51" s="32"/>
      <c r="L51" s="73"/>
      <c r="M51" s="73"/>
      <c r="N51" s="205" t="s">
        <v>266</v>
      </c>
      <c r="O51" s="205" t="s">
        <v>267</v>
      </c>
      <c r="P51" s="203" t="s">
        <v>258</v>
      </c>
      <c r="Q51" s="203" t="str">
        <f>BRD_EPIC2[[#This Row],[system type]]&amp;BRD_EPIC2[[#This Row],[system type2]]</f>
        <v>Front-End &amp; Back-End &amp; QA &amp; PM &amp; DM &amp; UI</v>
      </c>
      <c r="R51" s="203" t="s">
        <v>2239</v>
      </c>
      <c r="S51" s="203"/>
      <c r="T51" s="203" t="s">
        <v>259</v>
      </c>
      <c r="U51" s="203">
        <v>100</v>
      </c>
      <c r="V51" s="203">
        <f>$U51*DE_Cost!$B$1*8</f>
        <v>960</v>
      </c>
      <c r="W51" s="204">
        <f>$U51*DE_Cost!$B$1</f>
        <v>120</v>
      </c>
      <c r="X51" s="204"/>
      <c r="Y51" s="204"/>
      <c r="Z51" s="204">
        <f t="shared" si="1"/>
        <v>6</v>
      </c>
      <c r="AA51" s="203" t="s">
        <v>150</v>
      </c>
      <c r="AB51" s="203" t="s">
        <v>260</v>
      </c>
      <c r="AC51" s="203"/>
      <c r="AD51" s="204"/>
    </row>
    <row r="52" spans="1:30" ht="409" customHeight="1">
      <c r="A52" s="55" t="s">
        <v>140</v>
      </c>
      <c r="B52" s="51" t="s">
        <v>141</v>
      </c>
      <c r="C52" s="12" t="s">
        <v>249</v>
      </c>
      <c r="D52" s="12" t="s">
        <v>268</v>
      </c>
      <c r="E52" s="12" t="s">
        <v>269</v>
      </c>
      <c r="F52" s="12" t="s">
        <v>270</v>
      </c>
      <c r="G52" s="32" t="s">
        <v>253</v>
      </c>
      <c r="H52" s="19" t="s">
        <v>271</v>
      </c>
      <c r="I52" s="240" t="s">
        <v>272</v>
      </c>
      <c r="J52" s="19"/>
      <c r="K52" s="32"/>
      <c r="L52" s="73"/>
      <c r="M52" s="73"/>
      <c r="N52" s="205" t="s">
        <v>273</v>
      </c>
      <c r="O52" s="205" t="s">
        <v>274</v>
      </c>
      <c r="P52" s="203" t="s">
        <v>2241</v>
      </c>
      <c r="Q52" s="203" t="str">
        <f>BRD_EPIC2[[#This Row],[system type]]&amp;BRD_EPIC2[[#This Row],[system type2]]</f>
        <v>Android &amp; Front-End &amp; Back-End &amp; QA &amp; PM &amp; DM &amp; UI</v>
      </c>
      <c r="R52" s="203" t="s">
        <v>2239</v>
      </c>
      <c r="S52" s="203"/>
      <c r="T52" s="203"/>
      <c r="U52" s="203">
        <v>15</v>
      </c>
      <c r="V52" s="203">
        <f>$U52*DE_Cost!$B$1*8</f>
        <v>144</v>
      </c>
      <c r="W52" s="204">
        <f>$U52*DE_Cost!$B$1</f>
        <v>18</v>
      </c>
      <c r="X52" s="204"/>
      <c r="Y52" s="204"/>
      <c r="Z52" s="204">
        <f t="shared" si="1"/>
        <v>7</v>
      </c>
      <c r="AA52" s="203" t="s">
        <v>150</v>
      </c>
      <c r="AB52" s="203" t="s">
        <v>275</v>
      </c>
      <c r="AC52" s="203"/>
      <c r="AD52" s="204"/>
    </row>
    <row r="53" spans="1:30" ht="198">
      <c r="A53" s="55" t="s">
        <v>140</v>
      </c>
      <c r="B53" s="51" t="s">
        <v>141</v>
      </c>
      <c r="C53" s="12" t="s">
        <v>276</v>
      </c>
      <c r="D53" s="33" t="s">
        <v>277</v>
      </c>
      <c r="E53" s="33" t="s">
        <v>278</v>
      </c>
      <c r="F53" s="33" t="s">
        <v>279</v>
      </c>
      <c r="G53" s="32" t="s">
        <v>174</v>
      </c>
      <c r="H53" s="19" t="s">
        <v>280</v>
      </c>
      <c r="I53" s="33" t="s">
        <v>281</v>
      </c>
      <c r="J53" s="19" t="s">
        <v>282</v>
      </c>
      <c r="K53" s="32" t="s">
        <v>283</v>
      </c>
      <c r="L53" s="73"/>
      <c r="M53" s="73"/>
      <c r="N53" s="205" t="s">
        <v>284</v>
      </c>
      <c r="O53" s="205" t="s">
        <v>285</v>
      </c>
      <c r="P53" s="203" t="s">
        <v>2242</v>
      </c>
      <c r="Q53" s="203" t="str">
        <f>BRD_EPIC2[[#This Row],[system type]]&amp;BRD_EPIC2[[#This Row],[system type2]]</f>
        <v>Front-End &amp; Back-End &amp; QA &amp; PM &amp; DM &amp; UI</v>
      </c>
      <c r="R53" s="203" t="s">
        <v>2239</v>
      </c>
      <c r="S53" s="203"/>
      <c r="T53" s="203"/>
      <c r="U53" s="203">
        <v>15</v>
      </c>
      <c r="V53" s="203">
        <f>$U53*DE_Cost!$B$1*8</f>
        <v>144</v>
      </c>
      <c r="W53" s="204">
        <f>$U53*DE_Cost!$B$1</f>
        <v>18</v>
      </c>
      <c r="X53" s="204"/>
      <c r="Y53" s="204"/>
      <c r="Z53" s="204">
        <f t="shared" si="1"/>
        <v>6</v>
      </c>
      <c r="AA53" s="203" t="s">
        <v>42</v>
      </c>
      <c r="AB53" s="203"/>
      <c r="AC53" s="203"/>
      <c r="AD53" s="204"/>
    </row>
    <row r="54" spans="1:30" ht="409.6">
      <c r="A54" s="71" t="s">
        <v>140</v>
      </c>
      <c r="B54" s="72" t="s">
        <v>141</v>
      </c>
      <c r="C54" s="19" t="s">
        <v>276</v>
      </c>
      <c r="D54" s="12" t="s">
        <v>287</v>
      </c>
      <c r="E54" s="12" t="s">
        <v>288</v>
      </c>
      <c r="F54" s="12" t="s">
        <v>289</v>
      </c>
      <c r="G54" s="32" t="s">
        <v>174</v>
      </c>
      <c r="H54" s="19" t="s">
        <v>290</v>
      </c>
      <c r="I54" s="12" t="s">
        <v>291</v>
      </c>
      <c r="J54" s="19" t="s">
        <v>292</v>
      </c>
      <c r="K54" s="32" t="s">
        <v>283</v>
      </c>
      <c r="L54" s="73"/>
      <c r="M54" s="73"/>
      <c r="N54" s="205" t="s">
        <v>293</v>
      </c>
      <c r="O54" s="205" t="s">
        <v>294</v>
      </c>
      <c r="P54" s="203" t="s">
        <v>2242</v>
      </c>
      <c r="Q54" s="203" t="str">
        <f>BRD_EPIC2[[#This Row],[system type]]&amp;BRD_EPIC2[[#This Row],[system type2]]</f>
        <v>Front-End &amp; Back-End &amp; QA &amp; PM &amp; DM &amp; UI</v>
      </c>
      <c r="R54" s="203" t="s">
        <v>2239</v>
      </c>
      <c r="S54" s="203"/>
      <c r="T54" s="203"/>
      <c r="U54" s="203">
        <v>15</v>
      </c>
      <c r="V54" s="203">
        <f>$U54*DE_Cost!$B$1*8</f>
        <v>144</v>
      </c>
      <c r="W54" s="204">
        <f>$U54*DE_Cost!$B$1</f>
        <v>18</v>
      </c>
      <c r="X54" s="204"/>
      <c r="Y54" s="204"/>
      <c r="Z54" s="204">
        <f t="shared" si="1"/>
        <v>6</v>
      </c>
      <c r="AA54" s="203" t="s">
        <v>42</v>
      </c>
      <c r="AB54" s="203"/>
      <c r="AC54" s="203"/>
      <c r="AD54" s="204"/>
    </row>
    <row r="55" spans="1:30" ht="108">
      <c r="A55" s="71" t="s">
        <v>140</v>
      </c>
      <c r="B55" s="72" t="s">
        <v>141</v>
      </c>
      <c r="C55" s="19" t="s">
        <v>276</v>
      </c>
      <c r="D55" s="12" t="s">
        <v>295</v>
      </c>
      <c r="E55" s="12" t="s">
        <v>296</v>
      </c>
      <c r="F55" s="12"/>
      <c r="G55" s="32" t="s">
        <v>174</v>
      </c>
      <c r="H55" s="19" t="s">
        <v>297</v>
      </c>
      <c r="I55" s="12"/>
      <c r="J55" s="19" t="s">
        <v>282</v>
      </c>
      <c r="K55" s="32" t="s">
        <v>283</v>
      </c>
      <c r="L55" s="73"/>
      <c r="M55" s="73"/>
      <c r="N55" s="205" t="s">
        <v>298</v>
      </c>
      <c r="O55" s="205" t="s">
        <v>299</v>
      </c>
      <c r="P55" s="203" t="s">
        <v>2240</v>
      </c>
      <c r="Q55" s="203" t="str">
        <f>BRD_EPIC2[[#This Row],[system type]]&amp;BRD_EPIC2[[#This Row],[system type2]]</f>
        <v>Android &amp; Back-End &amp; QA &amp; PM &amp; DM &amp; UI</v>
      </c>
      <c r="R55" s="203" t="s">
        <v>2239</v>
      </c>
      <c r="S55" s="203"/>
      <c r="T55" s="203"/>
      <c r="U55" s="203">
        <v>10</v>
      </c>
      <c r="V55" s="203">
        <f>$U55*DE_Cost!$B$1*8</f>
        <v>96</v>
      </c>
      <c r="W55" s="204">
        <f>$U55*DE_Cost!$B$1</f>
        <v>12</v>
      </c>
      <c r="X55" s="204"/>
      <c r="Y55" s="204"/>
      <c r="Z55" s="204">
        <f t="shared" si="1"/>
        <v>6</v>
      </c>
      <c r="AA55" s="203" t="s">
        <v>42</v>
      </c>
      <c r="AB55" s="203"/>
      <c r="AC55" s="203"/>
      <c r="AD55" s="204"/>
    </row>
    <row r="56" spans="1:30" ht="41" customHeight="1">
      <c r="A56" s="71" t="s">
        <v>140</v>
      </c>
      <c r="B56" s="72" t="s">
        <v>141</v>
      </c>
      <c r="C56" s="19" t="s">
        <v>276</v>
      </c>
      <c r="D56" s="12" t="s">
        <v>300</v>
      </c>
      <c r="E56" s="12" t="s">
        <v>301</v>
      </c>
      <c r="F56" s="12" t="s">
        <v>302</v>
      </c>
      <c r="G56" s="32" t="s">
        <v>174</v>
      </c>
      <c r="H56" s="19" t="s">
        <v>303</v>
      </c>
      <c r="I56" s="12" t="s">
        <v>304</v>
      </c>
      <c r="J56" s="19" t="s">
        <v>282</v>
      </c>
      <c r="K56" s="32" t="s">
        <v>283</v>
      </c>
      <c r="L56" s="73"/>
      <c r="M56" s="73"/>
      <c r="N56" s="205" t="s">
        <v>305</v>
      </c>
      <c r="O56" s="205" t="s">
        <v>306</v>
      </c>
      <c r="P56" s="203" t="s">
        <v>286</v>
      </c>
      <c r="Q56" s="203" t="str">
        <f>BRD_EPIC2[[#This Row],[system type]]&amp;BRD_EPIC2[[#This Row],[system type2]]</f>
        <v>Front-End &amp; Back-End  &amp; QA &amp; PM &amp; DM &amp; UI</v>
      </c>
      <c r="R56" s="203" t="s">
        <v>2239</v>
      </c>
      <c r="S56" s="203"/>
      <c r="T56" s="203"/>
      <c r="U56" s="203">
        <v>10</v>
      </c>
      <c r="V56" s="203">
        <f>$U56*DE_Cost!$B$1*8</f>
        <v>96</v>
      </c>
      <c r="W56" s="204">
        <f>$U56*DE_Cost!$B$1</f>
        <v>12</v>
      </c>
      <c r="X56" s="204"/>
      <c r="Y56" s="204"/>
      <c r="Z56" s="204">
        <f t="shared" si="1"/>
        <v>6</v>
      </c>
      <c r="AA56" s="203" t="s">
        <v>42</v>
      </c>
      <c r="AB56" s="203"/>
      <c r="AC56" s="203"/>
      <c r="AD56" s="204"/>
    </row>
    <row r="57" spans="1:30" ht="72">
      <c r="A57" s="71" t="s">
        <v>140</v>
      </c>
      <c r="B57" s="72" t="s">
        <v>141</v>
      </c>
      <c r="C57" s="19" t="s">
        <v>276</v>
      </c>
      <c r="D57" s="12" t="s">
        <v>307</v>
      </c>
      <c r="E57" s="12" t="s">
        <v>308</v>
      </c>
      <c r="F57" s="12"/>
      <c r="G57" s="32" t="s">
        <v>174</v>
      </c>
      <c r="H57" s="19" t="s">
        <v>309</v>
      </c>
      <c r="I57" s="12"/>
      <c r="J57" s="19" t="s">
        <v>282</v>
      </c>
      <c r="K57" s="32" t="s">
        <v>283</v>
      </c>
      <c r="L57" s="73"/>
      <c r="M57" s="73"/>
      <c r="N57" s="205" t="s">
        <v>310</v>
      </c>
      <c r="O57" s="205" t="s">
        <v>311</v>
      </c>
      <c r="P57" s="203" t="s">
        <v>286</v>
      </c>
      <c r="Q57" s="203" t="str">
        <f>BRD_EPIC2[[#This Row],[system type]]&amp;BRD_EPIC2[[#This Row],[system type2]]</f>
        <v>Front-End &amp; Back-End  &amp; QA &amp; PM &amp; DM &amp; UI</v>
      </c>
      <c r="R57" s="203" t="s">
        <v>2239</v>
      </c>
      <c r="S57" s="203"/>
      <c r="T57" s="203" t="s">
        <v>259</v>
      </c>
      <c r="U57" s="203">
        <v>10</v>
      </c>
      <c r="V57" s="203">
        <f>$U57*DE_Cost!$B$1*8</f>
        <v>96</v>
      </c>
      <c r="W57" s="204">
        <f>$U57*DE_Cost!$B$1</f>
        <v>12</v>
      </c>
      <c r="X57" s="204"/>
      <c r="Y57" s="204"/>
      <c r="Z57" s="204">
        <f t="shared" si="1"/>
        <v>6</v>
      </c>
      <c r="AA57" s="203" t="s">
        <v>42</v>
      </c>
      <c r="AB57" s="203"/>
      <c r="AC57" s="203"/>
      <c r="AD57" s="204"/>
    </row>
    <row r="58" spans="1:30" ht="288">
      <c r="A58" s="71" t="s">
        <v>140</v>
      </c>
      <c r="B58" s="72" t="s">
        <v>141</v>
      </c>
      <c r="C58" s="19" t="s">
        <v>276</v>
      </c>
      <c r="D58" s="33" t="s">
        <v>312</v>
      </c>
      <c r="E58" s="33" t="s">
        <v>313</v>
      </c>
      <c r="F58" s="33" t="s">
        <v>314</v>
      </c>
      <c r="G58" s="32" t="s">
        <v>174</v>
      </c>
      <c r="H58" s="19" t="s">
        <v>315</v>
      </c>
      <c r="I58" s="33" t="s">
        <v>316</v>
      </c>
      <c r="J58" s="19" t="s">
        <v>317</v>
      </c>
      <c r="K58" s="32" t="s">
        <v>318</v>
      </c>
      <c r="L58" s="73"/>
      <c r="M58" s="73"/>
      <c r="N58" s="205" t="s">
        <v>319</v>
      </c>
      <c r="O58" s="205" t="s">
        <v>320</v>
      </c>
      <c r="P58" s="203" t="s">
        <v>321</v>
      </c>
      <c r="Q58" s="203" t="str">
        <f>BRD_EPIC2[[#This Row],[system type]]&amp;BRD_EPIC2[[#This Row],[system type2]]</f>
        <v>Android &amp; Front-End &amp; Back-End &amp; QA &amp; PM &amp; DM &amp; UI</v>
      </c>
      <c r="R58" s="203" t="s">
        <v>2239</v>
      </c>
      <c r="S58" s="203"/>
      <c r="T58" s="203"/>
      <c r="U58" s="203">
        <v>10</v>
      </c>
      <c r="V58" s="203">
        <f>$U58*DE_Cost!$B$1*8</f>
        <v>96</v>
      </c>
      <c r="W58" s="204">
        <f>$U58*DE_Cost!$B$1</f>
        <v>12</v>
      </c>
      <c r="X58" s="204"/>
      <c r="Y58" s="204"/>
      <c r="Z58" s="204">
        <f t="shared" si="1"/>
        <v>7</v>
      </c>
      <c r="AA58" s="203" t="s">
        <v>42</v>
      </c>
      <c r="AB58" s="203"/>
      <c r="AC58" s="203"/>
      <c r="AD58" s="204"/>
    </row>
    <row r="59" spans="1:30" ht="409.6">
      <c r="A59" s="71" t="s">
        <v>140</v>
      </c>
      <c r="B59" s="72" t="s">
        <v>141</v>
      </c>
      <c r="C59" s="19" t="s">
        <v>276</v>
      </c>
      <c r="D59" s="12" t="s">
        <v>322</v>
      </c>
      <c r="E59" s="12" t="s">
        <v>323</v>
      </c>
      <c r="F59" s="12"/>
      <c r="G59" s="32" t="s">
        <v>174</v>
      </c>
      <c r="H59" s="19" t="s">
        <v>324</v>
      </c>
      <c r="I59" s="12"/>
      <c r="J59" s="19" t="s">
        <v>325</v>
      </c>
      <c r="K59" s="32" t="s">
        <v>283</v>
      </c>
      <c r="L59" s="73"/>
      <c r="M59" s="73"/>
      <c r="N59" s="205" t="s">
        <v>326</v>
      </c>
      <c r="O59" s="205" t="s">
        <v>327</v>
      </c>
      <c r="P59" s="203" t="s">
        <v>286</v>
      </c>
      <c r="Q59" s="203" t="str">
        <f>BRD_EPIC2[[#This Row],[system type]]&amp;BRD_EPIC2[[#This Row],[system type2]]</f>
        <v>Front-End &amp; Back-End  &amp; QA &amp; PM &amp; DM &amp; UI</v>
      </c>
      <c r="R59" s="203" t="s">
        <v>2239</v>
      </c>
      <c r="S59" s="203"/>
      <c r="T59" s="203"/>
      <c r="U59" s="203">
        <v>4</v>
      </c>
      <c r="V59" s="203">
        <f>$U59*DE_Cost!$B$1*8</f>
        <v>38.4</v>
      </c>
      <c r="W59" s="204">
        <f>$U59*DE_Cost!$B$1</f>
        <v>4.8</v>
      </c>
      <c r="X59" s="204"/>
      <c r="Y59" s="204"/>
      <c r="Z59" s="204">
        <f t="shared" si="1"/>
        <v>6</v>
      </c>
      <c r="AA59" s="203" t="s">
        <v>42</v>
      </c>
      <c r="AB59" s="203"/>
      <c r="AC59" s="203"/>
      <c r="AD59" s="204">
        <f>U59 * Z59</f>
        <v>24</v>
      </c>
    </row>
    <row r="60" spans="1:30" ht="72">
      <c r="A60" s="71" t="s">
        <v>140</v>
      </c>
      <c r="B60" s="72" t="s">
        <v>141</v>
      </c>
      <c r="C60" s="19" t="s">
        <v>276</v>
      </c>
      <c r="D60" s="33" t="s">
        <v>328</v>
      </c>
      <c r="E60" s="33" t="s">
        <v>329</v>
      </c>
      <c r="F60" s="33"/>
      <c r="G60" s="32" t="s">
        <v>174</v>
      </c>
      <c r="H60" s="19" t="s">
        <v>330</v>
      </c>
      <c r="I60" s="33"/>
      <c r="J60" s="19" t="s">
        <v>282</v>
      </c>
      <c r="K60" s="32" t="s">
        <v>283</v>
      </c>
      <c r="L60" s="73"/>
      <c r="M60" s="73"/>
      <c r="N60" s="205" t="s">
        <v>326</v>
      </c>
      <c r="O60" s="205" t="s">
        <v>331</v>
      </c>
      <c r="P60" s="203" t="s">
        <v>332</v>
      </c>
      <c r="Q60" s="203" t="str">
        <f>BRD_EPIC2[[#This Row],[system type]]&amp;BRD_EPIC2[[#This Row],[system type2]]</f>
        <v>Android &amp; Front-End &amp; Back-End  &amp; QA &amp; PM &amp; DM &amp; UI</v>
      </c>
      <c r="R60" s="203" t="s">
        <v>2239</v>
      </c>
      <c r="S60" s="203"/>
      <c r="T60" s="203"/>
      <c r="U60" s="203">
        <v>4</v>
      </c>
      <c r="V60" s="203">
        <f>$U60*DE_Cost!$B$1*8</f>
        <v>38.4</v>
      </c>
      <c r="W60" s="204">
        <f>$U60*DE_Cost!$B$1</f>
        <v>4.8</v>
      </c>
      <c r="X60" s="204"/>
      <c r="Y60" s="204"/>
      <c r="Z60" s="204">
        <f t="shared" si="1"/>
        <v>7</v>
      </c>
      <c r="AA60" s="203" t="s">
        <v>42</v>
      </c>
      <c r="AB60" s="203"/>
      <c r="AC60" s="203"/>
      <c r="AD60" s="204">
        <f t="shared" ref="AD60:AD123" si="2">U60 * Z60</f>
        <v>28</v>
      </c>
    </row>
    <row r="61" spans="1:30" ht="288">
      <c r="A61" s="71" t="s">
        <v>140</v>
      </c>
      <c r="B61" s="72" t="s">
        <v>141</v>
      </c>
      <c r="C61" s="19" t="s">
        <v>276</v>
      </c>
      <c r="D61" s="12" t="s">
        <v>333</v>
      </c>
      <c r="E61" s="12" t="s">
        <v>334</v>
      </c>
      <c r="F61" s="12" t="s">
        <v>335</v>
      </c>
      <c r="G61" s="32" t="s">
        <v>174</v>
      </c>
      <c r="H61" s="19" t="s">
        <v>336</v>
      </c>
      <c r="I61" s="12" t="s">
        <v>337</v>
      </c>
      <c r="J61" s="19" t="s">
        <v>338</v>
      </c>
      <c r="K61" s="32" t="s">
        <v>283</v>
      </c>
      <c r="L61" s="73"/>
      <c r="M61" s="73"/>
      <c r="N61" s="205" t="s">
        <v>339</v>
      </c>
      <c r="O61" s="205" t="s">
        <v>340</v>
      </c>
      <c r="P61" s="203" t="s">
        <v>332</v>
      </c>
      <c r="Q61" s="203" t="str">
        <f>BRD_EPIC2[[#This Row],[system type]]&amp;BRD_EPIC2[[#This Row],[system type2]]</f>
        <v>Android &amp; Front-End &amp; Back-End  &amp; QA &amp; PM &amp; DM &amp; UI</v>
      </c>
      <c r="R61" s="203" t="s">
        <v>2239</v>
      </c>
      <c r="S61" s="203"/>
      <c r="T61" s="203"/>
      <c r="U61" s="203">
        <v>10</v>
      </c>
      <c r="V61" s="203">
        <f>$U61*DE_Cost!$B$1*8</f>
        <v>96</v>
      </c>
      <c r="W61" s="204">
        <f>$U61*DE_Cost!$B$1</f>
        <v>12</v>
      </c>
      <c r="X61" s="204"/>
      <c r="Y61" s="204"/>
      <c r="Z61" s="204">
        <f t="shared" si="1"/>
        <v>7</v>
      </c>
      <c r="AA61" s="203" t="s">
        <v>42</v>
      </c>
      <c r="AB61" s="203"/>
      <c r="AC61" s="203"/>
      <c r="AD61" s="204">
        <f t="shared" si="2"/>
        <v>70</v>
      </c>
    </row>
    <row r="62" spans="1:30" ht="144" hidden="1">
      <c r="A62" s="71" t="s">
        <v>140</v>
      </c>
      <c r="B62" s="72" t="s">
        <v>141</v>
      </c>
      <c r="C62" s="19" t="s">
        <v>276</v>
      </c>
      <c r="D62" s="12" t="s">
        <v>341</v>
      </c>
      <c r="E62" s="12" t="s">
        <v>342</v>
      </c>
      <c r="F62" s="12" t="s">
        <v>343</v>
      </c>
      <c r="G62" s="32" t="s">
        <v>174</v>
      </c>
      <c r="H62" s="19" t="s">
        <v>344</v>
      </c>
      <c r="I62" s="12" t="s">
        <v>345</v>
      </c>
      <c r="J62" s="19"/>
      <c r="K62" s="32" t="s">
        <v>346</v>
      </c>
      <c r="L62" s="73"/>
      <c r="M62" s="73"/>
      <c r="N62" s="205"/>
      <c r="O62" s="205"/>
      <c r="P62" s="203"/>
      <c r="Q62" s="203" t="str">
        <f>BRD_EPIC2[[#This Row],[system type]]&amp;BRD_EPIC2[[#This Row],[system type2]]</f>
        <v xml:space="preserve"> &amp; QA &amp; PM &amp; DM &amp; UI</v>
      </c>
      <c r="R62" s="203" t="s">
        <v>2239</v>
      </c>
      <c r="S62" s="203"/>
      <c r="T62" s="203"/>
      <c r="U62" s="203"/>
      <c r="V62" s="203"/>
      <c r="W62" s="204"/>
      <c r="X62" s="204"/>
      <c r="Y62" s="204"/>
      <c r="Z62" s="204">
        <f t="shared" si="1"/>
        <v>5</v>
      </c>
      <c r="AA62" s="203" t="s">
        <v>42</v>
      </c>
      <c r="AB62" s="203"/>
      <c r="AC62" s="203"/>
      <c r="AD62" s="204">
        <f t="shared" si="2"/>
        <v>0</v>
      </c>
    </row>
    <row r="63" spans="1:30" ht="216">
      <c r="A63" s="71" t="s">
        <v>140</v>
      </c>
      <c r="B63" s="72" t="s">
        <v>141</v>
      </c>
      <c r="C63" s="19" t="s">
        <v>276</v>
      </c>
      <c r="D63" s="19" t="s">
        <v>349</v>
      </c>
      <c r="E63" s="12" t="s">
        <v>350</v>
      </c>
      <c r="F63" s="92" t="s">
        <v>351</v>
      </c>
      <c r="G63" s="32" t="s">
        <v>174</v>
      </c>
      <c r="H63" s="19" t="s">
        <v>352</v>
      </c>
      <c r="I63" s="92" t="s">
        <v>351</v>
      </c>
      <c r="J63" s="19" t="s">
        <v>353</v>
      </c>
      <c r="K63" s="32" t="s">
        <v>283</v>
      </c>
      <c r="L63" s="73"/>
      <c r="M63" s="73"/>
      <c r="N63" s="205" t="s">
        <v>354</v>
      </c>
      <c r="O63" s="205" t="s">
        <v>355</v>
      </c>
      <c r="P63" s="207" t="s">
        <v>258</v>
      </c>
      <c r="Q63" s="207" t="str">
        <f>BRD_EPIC2[[#This Row],[system type]]&amp;BRD_EPIC2[[#This Row],[system type2]]</f>
        <v>Front-End &amp; Back-End &amp; QA &amp; PM &amp; DM &amp; UI</v>
      </c>
      <c r="R63" s="203" t="s">
        <v>2239</v>
      </c>
      <c r="S63" s="207"/>
      <c r="T63" s="203"/>
      <c r="U63" s="203">
        <v>5</v>
      </c>
      <c r="V63" s="203">
        <f>$U63*DE_Cost!$B$1*8</f>
        <v>48</v>
      </c>
      <c r="W63" s="204">
        <f>$U63*DE_Cost!$B$1</f>
        <v>6</v>
      </c>
      <c r="X63" s="204"/>
      <c r="Y63" s="204"/>
      <c r="Z63" s="204">
        <f t="shared" si="1"/>
        <v>6</v>
      </c>
      <c r="AA63" s="203" t="s">
        <v>42</v>
      </c>
      <c r="AB63" s="203"/>
      <c r="AC63" s="203"/>
      <c r="AD63" s="204">
        <f t="shared" si="2"/>
        <v>30</v>
      </c>
    </row>
    <row r="64" spans="1:30" ht="270">
      <c r="A64" s="71" t="s">
        <v>140</v>
      </c>
      <c r="B64" s="72" t="s">
        <v>141</v>
      </c>
      <c r="C64" s="19" t="s">
        <v>276</v>
      </c>
      <c r="D64" s="12" t="s">
        <v>356</v>
      </c>
      <c r="E64" s="12" t="s">
        <v>357</v>
      </c>
      <c r="F64" s="12" t="s">
        <v>358</v>
      </c>
      <c r="G64" s="32" t="s">
        <v>359</v>
      </c>
      <c r="H64" s="19" t="s">
        <v>360</v>
      </c>
      <c r="I64" s="12" t="s">
        <v>361</v>
      </c>
      <c r="J64" s="19" t="s">
        <v>362</v>
      </c>
      <c r="K64" s="32" t="s">
        <v>363</v>
      </c>
      <c r="L64" s="73" t="s">
        <v>364</v>
      </c>
      <c r="M64" s="73"/>
      <c r="N64" s="205" t="s">
        <v>365</v>
      </c>
      <c r="O64" s="205" t="s">
        <v>366</v>
      </c>
      <c r="P64" s="207" t="s">
        <v>258</v>
      </c>
      <c r="Q64" s="207" t="str">
        <f>BRD_EPIC2[[#This Row],[system type]]&amp;BRD_EPIC2[[#This Row],[system type2]]</f>
        <v>Front-End &amp; Back-End &amp; QA &amp; PM &amp; DM &amp; UI</v>
      </c>
      <c r="R64" s="203" t="s">
        <v>2239</v>
      </c>
      <c r="S64" s="207"/>
      <c r="T64" s="203" t="s">
        <v>259</v>
      </c>
      <c r="U64" s="203">
        <v>10</v>
      </c>
      <c r="V64" s="203">
        <f>$U64*DE_Cost!$B$1*8</f>
        <v>96</v>
      </c>
      <c r="W64" s="204">
        <f>$U64*DE_Cost!$B$1</f>
        <v>12</v>
      </c>
      <c r="X64" s="204"/>
      <c r="Y64" s="204"/>
      <c r="Z64" s="204">
        <f t="shared" si="1"/>
        <v>6</v>
      </c>
      <c r="AA64" s="203" t="s">
        <v>42</v>
      </c>
      <c r="AB64" s="203"/>
      <c r="AC64" s="203"/>
      <c r="AD64" s="204">
        <f t="shared" si="2"/>
        <v>60</v>
      </c>
    </row>
    <row r="65" spans="1:30" ht="342">
      <c r="A65" s="71" t="s">
        <v>140</v>
      </c>
      <c r="B65" s="72" t="s">
        <v>141</v>
      </c>
      <c r="C65" s="19" t="s">
        <v>276</v>
      </c>
      <c r="D65" s="12" t="s">
        <v>367</v>
      </c>
      <c r="E65" s="12" t="s">
        <v>368</v>
      </c>
      <c r="F65" s="12" t="s">
        <v>369</v>
      </c>
      <c r="G65" s="32" t="s">
        <v>359</v>
      </c>
      <c r="H65" s="19" t="s">
        <v>370</v>
      </c>
      <c r="I65" s="12" t="s">
        <v>369</v>
      </c>
      <c r="J65" s="19" t="s">
        <v>371</v>
      </c>
      <c r="K65" s="32" t="s">
        <v>363</v>
      </c>
      <c r="L65" s="73"/>
      <c r="M65" s="73" t="s">
        <v>372</v>
      </c>
      <c r="N65" s="205" t="s">
        <v>365</v>
      </c>
      <c r="O65" s="205" t="s">
        <v>366</v>
      </c>
      <c r="P65" s="207" t="s">
        <v>258</v>
      </c>
      <c r="Q65" s="207" t="str">
        <f>BRD_EPIC2[[#This Row],[system type]]&amp;BRD_EPIC2[[#This Row],[system type2]]</f>
        <v>Front-End &amp; Back-End &amp; QA &amp; PM &amp; DM &amp; UI</v>
      </c>
      <c r="R65" s="203" t="s">
        <v>2239</v>
      </c>
      <c r="S65" s="207"/>
      <c r="T65" s="203" t="s">
        <v>259</v>
      </c>
      <c r="U65" s="203">
        <v>10</v>
      </c>
      <c r="V65" s="203">
        <f>$U65*DE_Cost!$B$1*8</f>
        <v>96</v>
      </c>
      <c r="W65" s="204">
        <f>$U65*DE_Cost!$B$1</f>
        <v>12</v>
      </c>
      <c r="X65" s="204"/>
      <c r="Y65" s="204"/>
      <c r="Z65" s="204">
        <f t="shared" si="1"/>
        <v>6</v>
      </c>
      <c r="AA65" s="203" t="s">
        <v>42</v>
      </c>
      <c r="AB65" s="203"/>
      <c r="AC65" s="203"/>
      <c r="AD65" s="204">
        <f t="shared" si="2"/>
        <v>60</v>
      </c>
    </row>
    <row r="66" spans="1:30" ht="108">
      <c r="A66" s="71" t="s">
        <v>140</v>
      </c>
      <c r="B66" s="72" t="s">
        <v>141</v>
      </c>
      <c r="C66" s="19" t="s">
        <v>276</v>
      </c>
      <c r="D66" s="12" t="s">
        <v>373</v>
      </c>
      <c r="E66" s="12" t="s">
        <v>374</v>
      </c>
      <c r="F66" s="12" t="s">
        <v>375</v>
      </c>
      <c r="G66" s="32" t="s">
        <v>359</v>
      </c>
      <c r="H66" s="19" t="s">
        <v>376</v>
      </c>
      <c r="I66" s="12" t="s">
        <v>375</v>
      </c>
      <c r="J66" s="19"/>
      <c r="K66" s="32" t="s">
        <v>363</v>
      </c>
      <c r="L66" s="73"/>
      <c r="M66" s="73"/>
      <c r="N66" s="205" t="s">
        <v>377</v>
      </c>
      <c r="O66" s="205" t="s">
        <v>378</v>
      </c>
      <c r="P66" s="207" t="s">
        <v>258</v>
      </c>
      <c r="Q66" s="207" t="str">
        <f>BRD_EPIC2[[#This Row],[system type]]&amp;BRD_EPIC2[[#This Row],[system type2]]</f>
        <v>Front-End &amp; Back-End &amp; QA &amp; PM &amp; DM &amp; UI</v>
      </c>
      <c r="R66" s="203" t="s">
        <v>2239</v>
      </c>
      <c r="S66" s="207"/>
      <c r="T66" s="203" t="s">
        <v>259</v>
      </c>
      <c r="U66" s="203">
        <v>10</v>
      </c>
      <c r="V66" s="203">
        <f>$U66*DE_Cost!$B$1*8</f>
        <v>96</v>
      </c>
      <c r="W66" s="204">
        <f>$U66*DE_Cost!$B$1</f>
        <v>12</v>
      </c>
      <c r="X66" s="204"/>
      <c r="Y66" s="204"/>
      <c r="Z66" s="204">
        <f t="shared" si="1"/>
        <v>6</v>
      </c>
      <c r="AA66" s="203" t="s">
        <v>42</v>
      </c>
      <c r="AB66" s="203"/>
      <c r="AC66" s="203"/>
      <c r="AD66" s="204">
        <f t="shared" si="2"/>
        <v>60</v>
      </c>
    </row>
    <row r="67" spans="1:30" ht="126">
      <c r="A67" s="71" t="s">
        <v>140</v>
      </c>
      <c r="B67" s="72" t="s">
        <v>141</v>
      </c>
      <c r="C67" s="19" t="s">
        <v>276</v>
      </c>
      <c r="D67" s="60" t="s">
        <v>379</v>
      </c>
      <c r="E67" s="33" t="s">
        <v>380</v>
      </c>
      <c r="F67" s="33"/>
      <c r="G67" s="32" t="s">
        <v>174</v>
      </c>
      <c r="H67" s="19" t="s">
        <v>381</v>
      </c>
      <c r="I67" s="33"/>
      <c r="J67" s="19"/>
      <c r="K67" s="32" t="s">
        <v>283</v>
      </c>
      <c r="L67" s="73"/>
      <c r="M67" s="73"/>
      <c r="N67" s="205" t="s">
        <v>382</v>
      </c>
      <c r="O67" s="205" t="s">
        <v>383</v>
      </c>
      <c r="P67" s="203" t="s">
        <v>384</v>
      </c>
      <c r="Q67" s="203" t="str">
        <f>BRD_EPIC2[[#This Row],[system type]]&amp;BRD_EPIC2[[#This Row],[system type2]]</f>
        <v>Back-End&amp; QA &amp; PM &amp; DM</v>
      </c>
      <c r="R67" s="203" t="s">
        <v>2243</v>
      </c>
      <c r="S67" s="203"/>
      <c r="T67" s="203"/>
      <c r="U67" s="203">
        <v>10</v>
      </c>
      <c r="V67" s="203">
        <f>$U67*DE_Cost!$B$1*8</f>
        <v>96</v>
      </c>
      <c r="W67" s="204">
        <f>$U67*DE_Cost!$B$1</f>
        <v>12</v>
      </c>
      <c r="X67" s="204"/>
      <c r="Y67" s="204"/>
      <c r="Z67" s="204">
        <f t="shared" si="1"/>
        <v>4</v>
      </c>
      <c r="AA67" s="203" t="s">
        <v>42</v>
      </c>
      <c r="AB67" s="203"/>
      <c r="AC67" s="203"/>
      <c r="AD67" s="204">
        <f t="shared" si="2"/>
        <v>40</v>
      </c>
    </row>
    <row r="68" spans="1:30" ht="72">
      <c r="A68" s="71" t="s">
        <v>140</v>
      </c>
      <c r="B68" s="72" t="s">
        <v>141</v>
      </c>
      <c r="C68" s="19" t="s">
        <v>276</v>
      </c>
      <c r="D68" s="19" t="s">
        <v>385</v>
      </c>
      <c r="E68" s="12" t="s">
        <v>386</v>
      </c>
      <c r="F68" s="92"/>
      <c r="G68" s="32" t="s">
        <v>359</v>
      </c>
      <c r="H68" s="19" t="s">
        <v>387</v>
      </c>
      <c r="I68" s="92"/>
      <c r="J68" s="19"/>
      <c r="K68" s="32" t="s">
        <v>363</v>
      </c>
      <c r="L68" s="73"/>
      <c r="M68" s="73"/>
      <c r="N68" s="205" t="s">
        <v>388</v>
      </c>
      <c r="O68" s="205" t="s">
        <v>389</v>
      </c>
      <c r="P68" s="207" t="s">
        <v>258</v>
      </c>
      <c r="Q68" s="207" t="str">
        <f>BRD_EPIC2[[#This Row],[system type]]&amp;BRD_EPIC2[[#This Row],[system type2]]</f>
        <v>Front-End &amp; Back-End &amp; QA &amp; PM &amp; DM &amp; UI</v>
      </c>
      <c r="R68" s="203" t="s">
        <v>2239</v>
      </c>
      <c r="S68" s="208"/>
      <c r="T68" s="203" t="s">
        <v>259</v>
      </c>
      <c r="U68" s="203">
        <v>10</v>
      </c>
      <c r="V68" s="203">
        <f>$U68*DE_Cost!$B$1*8</f>
        <v>96</v>
      </c>
      <c r="W68" s="204">
        <f>$U68*DE_Cost!$B$1</f>
        <v>12</v>
      </c>
      <c r="X68" s="204"/>
      <c r="Y68" s="204"/>
      <c r="Z68" s="204">
        <f t="shared" si="1"/>
        <v>6</v>
      </c>
      <c r="AA68" s="203" t="s">
        <v>42</v>
      </c>
      <c r="AB68" s="203"/>
      <c r="AC68" s="203"/>
      <c r="AD68" s="204">
        <f t="shared" si="2"/>
        <v>60</v>
      </c>
    </row>
    <row r="69" spans="1:30" ht="408" customHeight="1">
      <c r="A69" s="55" t="s">
        <v>140</v>
      </c>
      <c r="B69" s="51" t="s">
        <v>141</v>
      </c>
      <c r="C69" s="12" t="s">
        <v>390</v>
      </c>
      <c r="D69" s="12" t="s">
        <v>391</v>
      </c>
      <c r="E69" s="12" t="s">
        <v>392</v>
      </c>
      <c r="F69" s="12" t="s">
        <v>393</v>
      </c>
      <c r="G69" s="32" t="s">
        <v>394</v>
      </c>
      <c r="H69" s="19" t="s">
        <v>395</v>
      </c>
      <c r="I69" s="12" t="s">
        <v>396</v>
      </c>
      <c r="J69" s="19" t="s">
        <v>397</v>
      </c>
      <c r="K69" s="32" t="s">
        <v>398</v>
      </c>
      <c r="L69" s="73"/>
      <c r="M69" s="73" t="s">
        <v>399</v>
      </c>
      <c r="N69" s="205" t="s">
        <v>400</v>
      </c>
      <c r="O69" s="205" t="s">
        <v>401</v>
      </c>
      <c r="P69" s="203" t="s">
        <v>164</v>
      </c>
      <c r="Q69" s="203" t="str">
        <f>BRD_EPIC2[[#This Row],[system type]]&amp;BRD_EPIC2[[#This Row],[system type2]]</f>
        <v>Android &amp; Back-End &amp; QA &amp; PM &amp; DM &amp; UI</v>
      </c>
      <c r="R69" s="203" t="s">
        <v>2239</v>
      </c>
      <c r="S69" s="203"/>
      <c r="T69" s="203"/>
      <c r="U69" s="203">
        <v>30</v>
      </c>
      <c r="V69" s="203">
        <f>$U69*DE_Cost!$B$1*8</f>
        <v>288</v>
      </c>
      <c r="W69" s="204">
        <f>$U69*DE_Cost!$B$1</f>
        <v>36</v>
      </c>
      <c r="X69" s="204"/>
      <c r="Y69" s="204"/>
      <c r="Z69" s="204">
        <f t="shared" si="1"/>
        <v>6</v>
      </c>
      <c r="AA69" s="203" t="s">
        <v>42</v>
      </c>
      <c r="AB69" s="203"/>
      <c r="AC69" s="203"/>
      <c r="AD69" s="204">
        <f t="shared" si="2"/>
        <v>180</v>
      </c>
    </row>
    <row r="70" spans="1:30" ht="409.6">
      <c r="A70" s="55" t="s">
        <v>140</v>
      </c>
      <c r="B70" s="51" t="s">
        <v>141</v>
      </c>
      <c r="C70" s="12" t="s">
        <v>390</v>
      </c>
      <c r="D70" s="12" t="s">
        <v>402</v>
      </c>
      <c r="E70" s="12" t="s">
        <v>403</v>
      </c>
      <c r="F70" s="12" t="s">
        <v>404</v>
      </c>
      <c r="G70" s="32" t="s">
        <v>394</v>
      </c>
      <c r="H70" s="19" t="s">
        <v>405</v>
      </c>
      <c r="I70" s="12" t="s">
        <v>406</v>
      </c>
      <c r="J70" s="19" t="s">
        <v>407</v>
      </c>
      <c r="K70" s="32"/>
      <c r="L70" s="73"/>
      <c r="M70" s="73"/>
      <c r="N70" s="205" t="s">
        <v>408</v>
      </c>
      <c r="O70" s="205" t="s">
        <v>409</v>
      </c>
      <c r="P70" s="203" t="s">
        <v>258</v>
      </c>
      <c r="Q70" s="203" t="str">
        <f>BRD_EPIC2[[#This Row],[system type]]&amp;BRD_EPIC2[[#This Row],[system type2]]</f>
        <v>Front-End &amp; Back-End &amp; QA &amp; PM &amp; DM &amp; UI</v>
      </c>
      <c r="R70" s="203" t="s">
        <v>2239</v>
      </c>
      <c r="S70" s="203"/>
      <c r="T70" s="203"/>
      <c r="U70" s="203">
        <v>10</v>
      </c>
      <c r="V70" s="203">
        <f>$U70*DE_Cost!$B$1*8</f>
        <v>96</v>
      </c>
      <c r="W70" s="204">
        <f>$U70*DE_Cost!$B$1</f>
        <v>12</v>
      </c>
      <c r="X70" s="204"/>
      <c r="Y70" s="204"/>
      <c r="Z70" s="204">
        <f t="shared" si="1"/>
        <v>6</v>
      </c>
      <c r="AA70" s="203" t="s">
        <v>42</v>
      </c>
      <c r="AB70" s="203"/>
      <c r="AC70" s="203"/>
      <c r="AD70" s="204">
        <f t="shared" si="2"/>
        <v>60</v>
      </c>
    </row>
    <row r="71" spans="1:30" ht="72">
      <c r="A71" s="55" t="s">
        <v>140</v>
      </c>
      <c r="B71" s="51" t="s">
        <v>141</v>
      </c>
      <c r="C71" s="12" t="s">
        <v>390</v>
      </c>
      <c r="D71" s="33" t="s">
        <v>410</v>
      </c>
      <c r="E71" s="33" t="s">
        <v>411</v>
      </c>
      <c r="F71" s="33" t="s">
        <v>412</v>
      </c>
      <c r="G71" s="32"/>
      <c r="H71" s="19" t="s">
        <v>413</v>
      </c>
      <c r="I71" s="33" t="s">
        <v>414</v>
      </c>
      <c r="J71" s="19"/>
      <c r="K71" s="32"/>
      <c r="L71" s="73"/>
      <c r="M71" s="73"/>
      <c r="N71" s="205" t="s">
        <v>415</v>
      </c>
      <c r="O71" s="205" t="s">
        <v>416</v>
      </c>
      <c r="P71" s="203" t="s">
        <v>258</v>
      </c>
      <c r="Q71" s="203" t="str">
        <f>BRD_EPIC2[[#This Row],[system type]]&amp;BRD_EPIC2[[#This Row],[system type2]]</f>
        <v>Front-End &amp; Back-End &amp; QA &amp; PM &amp; DM &amp; UI</v>
      </c>
      <c r="R71" s="203" t="s">
        <v>2239</v>
      </c>
      <c r="S71" s="203"/>
      <c r="T71" s="203"/>
      <c r="U71" s="203">
        <v>3</v>
      </c>
      <c r="V71" s="203">
        <f>$U71*DE_Cost!$B$1*8</f>
        <v>28.799999999999997</v>
      </c>
      <c r="W71" s="204">
        <f>$U71*DE_Cost!$B$1</f>
        <v>3.5999999999999996</v>
      </c>
      <c r="X71" s="204"/>
      <c r="Y71" s="204"/>
      <c r="Z71" s="204">
        <f t="shared" si="1"/>
        <v>6</v>
      </c>
      <c r="AA71" s="203" t="s">
        <v>42</v>
      </c>
      <c r="AB71" s="203"/>
      <c r="AC71" s="203"/>
      <c r="AD71" s="204">
        <f t="shared" si="2"/>
        <v>18</v>
      </c>
    </row>
    <row r="72" spans="1:30" ht="108">
      <c r="A72" s="55" t="s">
        <v>140</v>
      </c>
      <c r="B72" s="51" t="s">
        <v>141</v>
      </c>
      <c r="C72" s="12" t="s">
        <v>390</v>
      </c>
      <c r="D72" s="12" t="s">
        <v>417</v>
      </c>
      <c r="E72" s="12" t="s">
        <v>418</v>
      </c>
      <c r="F72" s="12" t="s">
        <v>419</v>
      </c>
      <c r="G72" s="32"/>
      <c r="H72" s="19" t="s">
        <v>420</v>
      </c>
      <c r="I72" s="12" t="s">
        <v>421</v>
      </c>
      <c r="J72" s="19"/>
      <c r="K72" s="32"/>
      <c r="L72" s="73"/>
      <c r="M72" s="73"/>
      <c r="N72" s="205" t="s">
        <v>422</v>
      </c>
      <c r="O72" s="205" t="s">
        <v>416</v>
      </c>
      <c r="P72" s="203" t="s">
        <v>164</v>
      </c>
      <c r="Q72" s="203" t="str">
        <f>BRD_EPIC2[[#This Row],[system type]]&amp;BRD_EPIC2[[#This Row],[system type2]]</f>
        <v>Android &amp; Back-End &amp; QA &amp; PM &amp; DM &amp; UI</v>
      </c>
      <c r="R72" s="203" t="s">
        <v>2239</v>
      </c>
      <c r="S72" s="203"/>
      <c r="T72" s="203"/>
      <c r="U72" s="203">
        <v>5</v>
      </c>
      <c r="V72" s="203">
        <f>$U72*DE_Cost!$B$1*8</f>
        <v>48</v>
      </c>
      <c r="W72" s="204">
        <f>$U72*DE_Cost!$B$1</f>
        <v>6</v>
      </c>
      <c r="X72" s="204"/>
      <c r="Y72" s="204"/>
      <c r="Z72" s="204">
        <f t="shared" si="1"/>
        <v>6</v>
      </c>
      <c r="AA72" s="203" t="s">
        <v>42</v>
      </c>
      <c r="AB72" s="203"/>
      <c r="AC72" s="203"/>
      <c r="AD72" s="204">
        <f t="shared" si="2"/>
        <v>30</v>
      </c>
    </row>
    <row r="73" spans="1:30" ht="90">
      <c r="A73" s="55" t="s">
        <v>140</v>
      </c>
      <c r="B73" s="51" t="s">
        <v>141</v>
      </c>
      <c r="C73" s="12" t="s">
        <v>390</v>
      </c>
      <c r="D73" s="12" t="s">
        <v>423</v>
      </c>
      <c r="E73" s="12" t="s">
        <v>424</v>
      </c>
      <c r="F73" s="12" t="s">
        <v>425</v>
      </c>
      <c r="G73" s="32"/>
      <c r="H73" s="19" t="s">
        <v>426</v>
      </c>
      <c r="I73" s="12" t="s">
        <v>427</v>
      </c>
      <c r="J73" s="19"/>
      <c r="K73" s="32"/>
      <c r="L73" s="73"/>
      <c r="M73" s="73"/>
      <c r="N73" s="205" t="s">
        <v>428</v>
      </c>
      <c r="O73" s="205" t="s">
        <v>427</v>
      </c>
      <c r="P73" s="203" t="s">
        <v>164</v>
      </c>
      <c r="Q73" s="203" t="str">
        <f>BRD_EPIC2[[#This Row],[system type]]&amp;BRD_EPIC2[[#This Row],[system type2]]</f>
        <v>Android &amp; Back-End &amp; QA &amp; PM &amp; DM &amp; UI</v>
      </c>
      <c r="R73" s="203" t="s">
        <v>2239</v>
      </c>
      <c r="S73" s="203"/>
      <c r="T73" s="203"/>
      <c r="U73" s="203">
        <v>3</v>
      </c>
      <c r="V73" s="203">
        <f>$U73*DE_Cost!$B$1*8</f>
        <v>28.799999999999997</v>
      </c>
      <c r="W73" s="204">
        <f>$U73*DE_Cost!$B$1</f>
        <v>3.5999999999999996</v>
      </c>
      <c r="X73" s="204"/>
      <c r="Y73" s="204"/>
      <c r="Z73" s="204">
        <f t="shared" si="1"/>
        <v>6</v>
      </c>
      <c r="AA73" s="203" t="s">
        <v>42</v>
      </c>
      <c r="AB73" s="203"/>
      <c r="AC73" s="203"/>
      <c r="AD73" s="204">
        <f t="shared" si="2"/>
        <v>18</v>
      </c>
    </row>
    <row r="74" spans="1:30" ht="108">
      <c r="A74" s="55" t="s">
        <v>140</v>
      </c>
      <c r="B74" s="51" t="s">
        <v>141</v>
      </c>
      <c r="C74" s="12" t="s">
        <v>390</v>
      </c>
      <c r="D74" s="12" t="s">
        <v>429</v>
      </c>
      <c r="E74" s="12" t="s">
        <v>430</v>
      </c>
      <c r="F74" s="12" t="s">
        <v>431</v>
      </c>
      <c r="G74" s="32"/>
      <c r="H74" s="19" t="s">
        <v>432</v>
      </c>
      <c r="I74" s="12" t="s">
        <v>433</v>
      </c>
      <c r="J74" s="19"/>
      <c r="K74" s="32"/>
      <c r="L74" s="73"/>
      <c r="M74" s="73"/>
      <c r="N74" s="205" t="s">
        <v>434</v>
      </c>
      <c r="O74" s="205" t="s">
        <v>435</v>
      </c>
      <c r="P74" s="203" t="s">
        <v>164</v>
      </c>
      <c r="Q74" s="203" t="str">
        <f>BRD_EPIC2[[#This Row],[system type]]&amp;BRD_EPIC2[[#This Row],[system type2]]</f>
        <v>Android &amp; Back-End &amp; QA &amp; PM &amp; DM &amp; UI</v>
      </c>
      <c r="R74" s="203" t="s">
        <v>2239</v>
      </c>
      <c r="S74" s="203"/>
      <c r="T74" s="203"/>
      <c r="U74" s="203">
        <v>3</v>
      </c>
      <c r="V74" s="203">
        <f>$U74*DE_Cost!$B$1*8</f>
        <v>28.799999999999997</v>
      </c>
      <c r="W74" s="204">
        <f>$U74*DE_Cost!$B$1</f>
        <v>3.5999999999999996</v>
      </c>
      <c r="X74" s="204"/>
      <c r="Y74" s="204"/>
      <c r="Z74" s="204">
        <f t="shared" si="1"/>
        <v>6</v>
      </c>
      <c r="AA74" s="203" t="s">
        <v>42</v>
      </c>
      <c r="AB74" s="203"/>
      <c r="AC74" s="203"/>
      <c r="AD74" s="204">
        <f t="shared" si="2"/>
        <v>18</v>
      </c>
    </row>
    <row r="75" spans="1:30" ht="90">
      <c r="A75" s="55" t="s">
        <v>140</v>
      </c>
      <c r="B75" s="51" t="s">
        <v>141</v>
      </c>
      <c r="C75" s="12" t="s">
        <v>390</v>
      </c>
      <c r="D75" s="33" t="s">
        <v>436</v>
      </c>
      <c r="E75" s="33" t="s">
        <v>437</v>
      </c>
      <c r="F75" s="33"/>
      <c r="G75" s="32"/>
      <c r="H75" s="19" t="s">
        <v>438</v>
      </c>
      <c r="I75" s="33"/>
      <c r="J75" s="19"/>
      <c r="K75" s="32"/>
      <c r="L75" s="73"/>
      <c r="M75" s="73"/>
      <c r="N75" s="205" t="s">
        <v>439</v>
      </c>
      <c r="O75" s="205" t="s">
        <v>440</v>
      </c>
      <c r="P75" s="203" t="s">
        <v>164</v>
      </c>
      <c r="Q75" s="203" t="str">
        <f>BRD_EPIC2[[#This Row],[system type]]&amp;BRD_EPIC2[[#This Row],[system type2]]</f>
        <v>Android &amp; Back-End &amp; QA &amp; PM &amp; DM &amp; UI</v>
      </c>
      <c r="R75" s="203" t="s">
        <v>2239</v>
      </c>
      <c r="S75" s="203"/>
      <c r="T75" s="203"/>
      <c r="U75" s="203">
        <v>2</v>
      </c>
      <c r="V75" s="203">
        <f>$U75*DE_Cost!$B$1*8</f>
        <v>19.2</v>
      </c>
      <c r="W75" s="204">
        <f>$U75*DE_Cost!$B$1</f>
        <v>2.4</v>
      </c>
      <c r="X75" s="204"/>
      <c r="Y75" s="204"/>
      <c r="Z75" s="204">
        <f t="shared" si="1"/>
        <v>6</v>
      </c>
      <c r="AA75" s="203" t="s">
        <v>42</v>
      </c>
      <c r="AB75" s="203"/>
      <c r="AC75" s="203"/>
      <c r="AD75" s="204">
        <f t="shared" si="2"/>
        <v>12</v>
      </c>
    </row>
    <row r="76" spans="1:30" ht="72">
      <c r="A76" s="55" t="s">
        <v>140</v>
      </c>
      <c r="B76" s="51" t="s">
        <v>141</v>
      </c>
      <c r="C76" s="12" t="s">
        <v>441</v>
      </c>
      <c r="D76" s="12" t="s">
        <v>442</v>
      </c>
      <c r="E76" s="12" t="s">
        <v>443</v>
      </c>
      <c r="F76" s="12" t="s">
        <v>444</v>
      </c>
      <c r="G76" s="32"/>
      <c r="H76" s="19" t="s">
        <v>445</v>
      </c>
      <c r="I76" s="12" t="s">
        <v>446</v>
      </c>
      <c r="J76" s="19"/>
      <c r="K76" s="32"/>
      <c r="L76" s="73"/>
      <c r="M76" s="73"/>
      <c r="N76" s="205" t="s">
        <v>447</v>
      </c>
      <c r="O76" s="205" t="s">
        <v>448</v>
      </c>
      <c r="P76" s="203" t="s">
        <v>258</v>
      </c>
      <c r="Q76" s="203" t="str">
        <f>BRD_EPIC2[[#This Row],[system type]]&amp;BRD_EPIC2[[#This Row],[system type2]]</f>
        <v>Front-End &amp; Back-End &amp; QA &amp; PM &amp; DM &amp; UI</v>
      </c>
      <c r="R76" s="203" t="s">
        <v>2239</v>
      </c>
      <c r="S76" s="203"/>
      <c r="T76" s="203"/>
      <c r="U76" s="203">
        <v>2</v>
      </c>
      <c r="V76" s="203">
        <f>$U76*DE_Cost!$B$1*8</f>
        <v>19.2</v>
      </c>
      <c r="W76" s="204">
        <f>$U76*DE_Cost!$B$1</f>
        <v>2.4</v>
      </c>
      <c r="X76" s="204"/>
      <c r="Y76" s="204"/>
      <c r="Z76" s="204">
        <f t="shared" si="1"/>
        <v>6</v>
      </c>
      <c r="AA76" s="203" t="s">
        <v>42</v>
      </c>
      <c r="AB76" s="203"/>
      <c r="AC76" s="203"/>
      <c r="AD76" s="204">
        <f t="shared" si="2"/>
        <v>12</v>
      </c>
    </row>
    <row r="77" spans="1:30" ht="108">
      <c r="A77" s="55" t="s">
        <v>140</v>
      </c>
      <c r="B77" s="51" t="s">
        <v>141</v>
      </c>
      <c r="C77" s="12" t="s">
        <v>441</v>
      </c>
      <c r="D77" s="12" t="s">
        <v>449</v>
      </c>
      <c r="E77" s="12" t="s">
        <v>450</v>
      </c>
      <c r="F77" s="12" t="s">
        <v>451</v>
      </c>
      <c r="G77" s="32"/>
      <c r="H77" s="19" t="s">
        <v>452</v>
      </c>
      <c r="I77" s="12" t="s">
        <v>453</v>
      </c>
      <c r="J77" s="19"/>
      <c r="K77" s="32"/>
      <c r="L77" s="73"/>
      <c r="M77" s="73"/>
      <c r="N77" s="205" t="s">
        <v>454</v>
      </c>
      <c r="O77" s="205" t="s">
        <v>455</v>
      </c>
      <c r="P77" s="203" t="s">
        <v>455</v>
      </c>
      <c r="Q77" s="203" t="str">
        <f>BRD_EPIC2[[#This Row],[system type]]&amp;BRD_EPIC2[[#This Row],[system type2]]</f>
        <v>Android &amp; QA &amp; PM &amp; DM &amp; UI</v>
      </c>
      <c r="R77" s="203" t="s">
        <v>2239</v>
      </c>
      <c r="S77" s="212" t="s">
        <v>456</v>
      </c>
      <c r="T77" s="203"/>
      <c r="U77" s="203">
        <v>10</v>
      </c>
      <c r="V77" s="203">
        <f>$U77*DE_Cost!$B$1*8</f>
        <v>96</v>
      </c>
      <c r="W77" s="204">
        <f>$U77*DE_Cost!$B$1</f>
        <v>12</v>
      </c>
      <c r="X77" s="204"/>
      <c r="Y77" s="204"/>
      <c r="Z77" s="204">
        <f t="shared" si="1"/>
        <v>5</v>
      </c>
      <c r="AA77" s="203" t="s">
        <v>42</v>
      </c>
      <c r="AB77" s="203"/>
      <c r="AC77" s="203">
        <v>1103</v>
      </c>
      <c r="AD77" s="204">
        <f t="shared" si="2"/>
        <v>50</v>
      </c>
    </row>
    <row r="78" spans="1:30" ht="108">
      <c r="A78" s="55" t="s">
        <v>140</v>
      </c>
      <c r="B78" s="51" t="s">
        <v>141</v>
      </c>
      <c r="C78" s="12" t="s">
        <v>441</v>
      </c>
      <c r="D78" s="12" t="s">
        <v>457</v>
      </c>
      <c r="E78" s="12" t="s">
        <v>458</v>
      </c>
      <c r="F78" s="12" t="s">
        <v>459</v>
      </c>
      <c r="G78" s="32"/>
      <c r="H78" s="19" t="s">
        <v>460</v>
      </c>
      <c r="I78" s="12" t="s">
        <v>461</v>
      </c>
      <c r="J78" s="19"/>
      <c r="K78" s="32"/>
      <c r="L78" s="73"/>
      <c r="M78" s="73"/>
      <c r="N78" s="205" t="s">
        <v>462</v>
      </c>
      <c r="O78" s="205" t="s">
        <v>463</v>
      </c>
      <c r="P78" s="203" t="s">
        <v>321</v>
      </c>
      <c r="Q78" s="203" t="str">
        <f>BRD_EPIC2[[#This Row],[system type]]&amp;BRD_EPIC2[[#This Row],[system type2]]</f>
        <v>Android &amp; Front-End &amp; Back-End &amp; QA &amp; PM &amp; DM &amp; UI</v>
      </c>
      <c r="R78" s="203" t="s">
        <v>2239</v>
      </c>
      <c r="S78" s="203"/>
      <c r="T78" s="203"/>
      <c r="U78" s="203">
        <v>2</v>
      </c>
      <c r="V78" s="203">
        <f>$U78*DE_Cost!$B$1*8</f>
        <v>19.2</v>
      </c>
      <c r="W78" s="204">
        <f>$U78*DE_Cost!$B$1</f>
        <v>2.4</v>
      </c>
      <c r="X78" s="204"/>
      <c r="Y78" s="204"/>
      <c r="Z78" s="204">
        <f t="shared" si="1"/>
        <v>7</v>
      </c>
      <c r="AA78" s="203" t="s">
        <v>42</v>
      </c>
      <c r="AB78" s="203"/>
      <c r="AC78" s="203"/>
      <c r="AD78" s="204">
        <f t="shared" si="2"/>
        <v>14</v>
      </c>
    </row>
    <row r="79" spans="1:30" ht="54">
      <c r="A79" s="55" t="s">
        <v>140</v>
      </c>
      <c r="B79" s="51" t="s">
        <v>141</v>
      </c>
      <c r="C79" s="12" t="s">
        <v>441</v>
      </c>
      <c r="D79" s="12" t="s">
        <v>464</v>
      </c>
      <c r="E79" s="12" t="s">
        <v>465</v>
      </c>
      <c r="F79" s="12" t="s">
        <v>466</v>
      </c>
      <c r="G79" s="32"/>
      <c r="H79" s="19" t="s">
        <v>467</v>
      </c>
      <c r="I79" s="12" t="s">
        <v>468</v>
      </c>
      <c r="J79" s="19"/>
      <c r="K79" s="32"/>
      <c r="L79" s="73"/>
      <c r="M79" s="73"/>
      <c r="N79" s="205" t="s">
        <v>469</v>
      </c>
      <c r="O79" s="205" t="s">
        <v>463</v>
      </c>
      <c r="P79" s="203" t="s">
        <v>321</v>
      </c>
      <c r="Q79" s="203" t="str">
        <f>BRD_EPIC2[[#This Row],[system type]]&amp;BRD_EPIC2[[#This Row],[system type2]]</f>
        <v>Android &amp; Front-End &amp; Back-End &amp; QA &amp; PM &amp; DM &amp; UI</v>
      </c>
      <c r="R79" s="203" t="s">
        <v>2239</v>
      </c>
      <c r="S79" s="203"/>
      <c r="T79" s="203"/>
      <c r="U79" s="203">
        <v>2</v>
      </c>
      <c r="V79" s="203">
        <f>$U79*DE_Cost!$B$1*8</f>
        <v>19.2</v>
      </c>
      <c r="W79" s="204">
        <f>$U79*DE_Cost!$B$1</f>
        <v>2.4</v>
      </c>
      <c r="X79" s="204"/>
      <c r="Y79" s="204"/>
      <c r="Z79" s="204">
        <f t="shared" si="1"/>
        <v>7</v>
      </c>
      <c r="AA79" s="203" t="s">
        <v>42</v>
      </c>
      <c r="AB79" s="203"/>
      <c r="AC79" s="203"/>
      <c r="AD79" s="204">
        <f t="shared" si="2"/>
        <v>14</v>
      </c>
    </row>
    <row r="80" spans="1:30" ht="40" customHeight="1">
      <c r="A80" s="55" t="s">
        <v>140</v>
      </c>
      <c r="B80" s="51" t="s">
        <v>141</v>
      </c>
      <c r="C80" s="12" t="s">
        <v>441</v>
      </c>
      <c r="D80" s="12" t="s">
        <v>470</v>
      </c>
      <c r="E80" s="12" t="s">
        <v>471</v>
      </c>
      <c r="F80" s="12" t="s">
        <v>472</v>
      </c>
      <c r="G80" s="32"/>
      <c r="H80" s="19" t="s">
        <v>473</v>
      </c>
      <c r="I80" s="12" t="s">
        <v>474</v>
      </c>
      <c r="J80" s="19"/>
      <c r="K80" s="32"/>
      <c r="L80" s="73"/>
      <c r="M80" s="73"/>
      <c r="N80" s="205" t="s">
        <v>475</v>
      </c>
      <c r="O80" s="205" t="s">
        <v>463</v>
      </c>
      <c r="P80" s="203" t="s">
        <v>321</v>
      </c>
      <c r="Q80" s="203" t="str">
        <f>BRD_EPIC2[[#This Row],[system type]]&amp;BRD_EPIC2[[#This Row],[system type2]]</f>
        <v>Android &amp; Front-End &amp; Back-End &amp; QA &amp; PM &amp; DM &amp; UI</v>
      </c>
      <c r="R80" s="203" t="s">
        <v>2239</v>
      </c>
      <c r="S80" s="203"/>
      <c r="T80" s="203"/>
      <c r="U80" s="203">
        <v>2</v>
      </c>
      <c r="V80" s="203">
        <f>$U80*DE_Cost!$B$1*8</f>
        <v>19.2</v>
      </c>
      <c r="W80" s="204">
        <f>$U80*DE_Cost!$B$1</f>
        <v>2.4</v>
      </c>
      <c r="X80" s="204"/>
      <c r="Y80" s="204"/>
      <c r="Z80" s="204">
        <f t="shared" si="1"/>
        <v>7</v>
      </c>
      <c r="AA80" s="203" t="s">
        <v>42</v>
      </c>
      <c r="AB80" s="203"/>
      <c r="AC80" s="203"/>
      <c r="AD80" s="204">
        <f t="shared" si="2"/>
        <v>14</v>
      </c>
    </row>
    <row r="81" spans="1:78" ht="40" customHeight="1">
      <c r="A81" s="55" t="s">
        <v>140</v>
      </c>
      <c r="B81" s="51" t="s">
        <v>141</v>
      </c>
      <c r="C81" s="12" t="s">
        <v>441</v>
      </c>
      <c r="D81" s="12" t="s">
        <v>476</v>
      </c>
      <c r="E81" s="12" t="s">
        <v>477</v>
      </c>
      <c r="F81" s="12" t="s">
        <v>478</v>
      </c>
      <c r="G81" s="32"/>
      <c r="H81" s="19" t="s">
        <v>479</v>
      </c>
      <c r="I81" s="12" t="s">
        <v>480</v>
      </c>
      <c r="J81" s="19"/>
      <c r="K81" s="32"/>
      <c r="L81" s="73"/>
      <c r="M81" s="73"/>
      <c r="N81" s="205" t="s">
        <v>481</v>
      </c>
      <c r="O81" s="205" t="s">
        <v>482</v>
      </c>
      <c r="P81" s="203" t="s">
        <v>164</v>
      </c>
      <c r="Q81" s="203" t="str">
        <f>BRD_EPIC2[[#This Row],[system type]]&amp;BRD_EPIC2[[#This Row],[system type2]]</f>
        <v>Android &amp; Back-End &amp; QA &amp; PM &amp; DM &amp; UI</v>
      </c>
      <c r="R81" s="203" t="s">
        <v>2239</v>
      </c>
      <c r="S81" s="203"/>
      <c r="T81" s="203"/>
      <c r="U81" s="203">
        <v>10</v>
      </c>
      <c r="V81" s="203">
        <f>$U81*DE_Cost!$B$1*8</f>
        <v>96</v>
      </c>
      <c r="W81" s="204">
        <f>$U81*DE_Cost!$B$1</f>
        <v>12</v>
      </c>
      <c r="X81" s="204"/>
      <c r="Y81" s="204"/>
      <c r="Z81" s="204">
        <f t="shared" si="1"/>
        <v>6</v>
      </c>
      <c r="AA81" s="203" t="s">
        <v>42</v>
      </c>
      <c r="AB81" s="203"/>
      <c r="AC81" s="203"/>
      <c r="AD81" s="204">
        <f t="shared" si="2"/>
        <v>60</v>
      </c>
    </row>
    <row r="82" spans="1:78" ht="43" customHeight="1">
      <c r="A82" s="55" t="s">
        <v>140</v>
      </c>
      <c r="B82" s="51" t="s">
        <v>141</v>
      </c>
      <c r="C82" s="12" t="s">
        <v>441</v>
      </c>
      <c r="D82" s="12" t="s">
        <v>483</v>
      </c>
      <c r="E82" s="12" t="s">
        <v>484</v>
      </c>
      <c r="F82" s="12" t="s">
        <v>485</v>
      </c>
      <c r="G82" s="32"/>
      <c r="H82" s="19" t="s">
        <v>486</v>
      </c>
      <c r="I82" s="12" t="s">
        <v>487</v>
      </c>
      <c r="J82" s="19"/>
      <c r="K82" s="32"/>
      <c r="L82" s="73"/>
      <c r="M82" s="73"/>
      <c r="N82" s="205" t="s">
        <v>488</v>
      </c>
      <c r="O82" s="205" t="s">
        <v>489</v>
      </c>
      <c r="P82" s="203" t="s">
        <v>455</v>
      </c>
      <c r="Q82" s="203" t="str">
        <f>BRD_EPIC2[[#This Row],[system type]]&amp;BRD_EPIC2[[#This Row],[system type2]]</f>
        <v>Android &amp; QA &amp; PM &amp; DM &amp; UI</v>
      </c>
      <c r="R82" s="203" t="s">
        <v>2239</v>
      </c>
      <c r="S82" s="203"/>
      <c r="T82" s="203"/>
      <c r="U82" s="203">
        <v>2</v>
      </c>
      <c r="V82" s="203">
        <f>$U82*DE_Cost!$B$1*8</f>
        <v>19.2</v>
      </c>
      <c r="W82" s="204">
        <f>$U82*DE_Cost!$B$1</f>
        <v>2.4</v>
      </c>
      <c r="X82" s="204"/>
      <c r="Y82" s="204"/>
      <c r="Z82" s="204">
        <f t="shared" si="1"/>
        <v>5</v>
      </c>
      <c r="AA82" s="203" t="s">
        <v>42</v>
      </c>
      <c r="AB82" s="203"/>
      <c r="AC82" s="203"/>
      <c r="AD82" s="204">
        <f t="shared" si="2"/>
        <v>10</v>
      </c>
    </row>
    <row r="83" spans="1:78" ht="72">
      <c r="A83" s="55" t="s">
        <v>140</v>
      </c>
      <c r="B83" s="51" t="s">
        <v>141</v>
      </c>
      <c r="C83" s="12" t="s">
        <v>441</v>
      </c>
      <c r="D83" s="12" t="s">
        <v>490</v>
      </c>
      <c r="E83" s="12" t="s">
        <v>491</v>
      </c>
      <c r="F83" s="12"/>
      <c r="G83" s="32"/>
      <c r="H83" s="19" t="s">
        <v>492</v>
      </c>
      <c r="I83" s="12"/>
      <c r="J83" s="19"/>
      <c r="K83" s="32"/>
      <c r="L83" s="73"/>
      <c r="M83" s="73"/>
      <c r="N83" s="205" t="s">
        <v>493</v>
      </c>
      <c r="O83" s="205" t="s">
        <v>494</v>
      </c>
      <c r="P83" s="203" t="s">
        <v>455</v>
      </c>
      <c r="Q83" s="203" t="str">
        <f>BRD_EPIC2[[#This Row],[system type]]&amp;BRD_EPIC2[[#This Row],[system type2]]</f>
        <v>Android &amp; QA &amp; PM &amp; DM &amp; UI</v>
      </c>
      <c r="R83" s="203" t="s">
        <v>2239</v>
      </c>
      <c r="S83" s="203"/>
      <c r="T83" s="203"/>
      <c r="U83" s="203">
        <v>2</v>
      </c>
      <c r="V83" s="203">
        <f>$U83*DE_Cost!$B$1*8</f>
        <v>19.2</v>
      </c>
      <c r="W83" s="204">
        <f>$U83*DE_Cost!$B$1</f>
        <v>2.4</v>
      </c>
      <c r="X83" s="204"/>
      <c r="Y83" s="204"/>
      <c r="Z83" s="204">
        <f t="shared" si="1"/>
        <v>5</v>
      </c>
      <c r="AA83" s="203" t="s">
        <v>42</v>
      </c>
      <c r="AB83" s="203"/>
      <c r="AC83" s="203"/>
      <c r="AD83" s="204">
        <f t="shared" si="2"/>
        <v>10</v>
      </c>
    </row>
    <row r="84" spans="1:78" ht="270">
      <c r="A84" s="55" t="s">
        <v>140</v>
      </c>
      <c r="B84" s="51" t="s">
        <v>141</v>
      </c>
      <c r="C84" s="12" t="s">
        <v>441</v>
      </c>
      <c r="D84" s="12" t="s">
        <v>495</v>
      </c>
      <c r="E84" s="12" t="s">
        <v>496</v>
      </c>
      <c r="F84" s="12" t="s">
        <v>497</v>
      </c>
      <c r="G84" s="32" t="s">
        <v>239</v>
      </c>
      <c r="H84" s="19" t="s">
        <v>498</v>
      </c>
      <c r="I84" s="12" t="s">
        <v>499</v>
      </c>
      <c r="J84" s="19" t="s">
        <v>500</v>
      </c>
      <c r="K84" s="32"/>
      <c r="L84" s="73"/>
      <c r="M84" s="73"/>
      <c r="N84" s="205" t="s">
        <v>501</v>
      </c>
      <c r="O84" s="205"/>
      <c r="P84" s="203" t="s">
        <v>164</v>
      </c>
      <c r="Q84" s="203" t="str">
        <f>BRD_EPIC2[[#This Row],[system type]]&amp;BRD_EPIC2[[#This Row],[system type2]]</f>
        <v>Android &amp; Back-End &amp; QA &amp; PM &amp; DM &amp; UI</v>
      </c>
      <c r="R84" s="203" t="s">
        <v>2239</v>
      </c>
      <c r="S84" s="203"/>
      <c r="T84" s="203"/>
      <c r="U84" s="203">
        <v>10</v>
      </c>
      <c r="V84" s="203">
        <f>$U84*DE_Cost!$B$1*8</f>
        <v>96</v>
      </c>
      <c r="W84" s="204">
        <f>$U84*DE_Cost!$B$1</f>
        <v>12</v>
      </c>
      <c r="X84" s="204"/>
      <c r="Y84" s="204"/>
      <c r="Z84" s="204">
        <f t="shared" si="1"/>
        <v>6</v>
      </c>
      <c r="AA84" s="203" t="s">
        <v>42</v>
      </c>
      <c r="AB84" s="203"/>
      <c r="AC84" s="203"/>
      <c r="AD84" s="204">
        <f t="shared" si="2"/>
        <v>60</v>
      </c>
    </row>
    <row r="85" spans="1:78" s="211" customFormat="1" ht="90">
      <c r="A85" s="55" t="s">
        <v>140</v>
      </c>
      <c r="B85" s="51" t="s">
        <v>141</v>
      </c>
      <c r="C85" s="12" t="s">
        <v>441</v>
      </c>
      <c r="D85" s="12" t="s">
        <v>502</v>
      </c>
      <c r="E85" s="12" t="s">
        <v>503</v>
      </c>
      <c r="F85" s="12" t="s">
        <v>504</v>
      </c>
      <c r="G85" s="32"/>
      <c r="H85" s="19" t="s">
        <v>505</v>
      </c>
      <c r="I85" s="12" t="s">
        <v>506</v>
      </c>
      <c r="J85" s="210"/>
      <c r="K85" s="32"/>
      <c r="L85" s="73"/>
      <c r="M85" s="73"/>
      <c r="N85" s="204" t="s">
        <v>507</v>
      </c>
      <c r="O85" s="204" t="s">
        <v>508</v>
      </c>
      <c r="P85" s="204" t="s">
        <v>164</v>
      </c>
      <c r="Q85" s="204" t="str">
        <f>BRD_EPIC2[[#This Row],[system type]]&amp;BRD_EPIC2[[#This Row],[system type2]]</f>
        <v>Android &amp; Back-End &amp; QA &amp; PM &amp; DM &amp; UI</v>
      </c>
      <c r="R85" s="203" t="s">
        <v>2239</v>
      </c>
      <c r="S85" s="204"/>
      <c r="T85" s="204"/>
      <c r="U85" s="204">
        <v>2</v>
      </c>
      <c r="V85" s="204">
        <f>$U85*DE_Cost!$B$1*8</f>
        <v>19.2</v>
      </c>
      <c r="W85" s="204">
        <f>$U85*DE_Cost!$B$1</f>
        <v>2.4</v>
      </c>
      <c r="X85" s="204"/>
      <c r="Y85" s="204"/>
      <c r="Z85" s="204">
        <f t="shared" si="1"/>
        <v>6</v>
      </c>
      <c r="AA85" s="203" t="s">
        <v>42</v>
      </c>
      <c r="AB85" s="203"/>
      <c r="AC85" s="203"/>
      <c r="AD85" s="204">
        <f t="shared" si="2"/>
        <v>12</v>
      </c>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ht="108">
      <c r="A86" s="55" t="s">
        <v>140</v>
      </c>
      <c r="B86" s="51" t="s">
        <v>141</v>
      </c>
      <c r="C86" s="12" t="s">
        <v>441</v>
      </c>
      <c r="D86" s="12" t="s">
        <v>509</v>
      </c>
      <c r="E86" s="12" t="s">
        <v>510</v>
      </c>
      <c r="F86" s="12" t="s">
        <v>511</v>
      </c>
      <c r="G86" s="32"/>
      <c r="H86" s="19" t="s">
        <v>512</v>
      </c>
      <c r="I86" s="12" t="s">
        <v>513</v>
      </c>
      <c r="J86" s="19"/>
      <c r="K86" s="32"/>
      <c r="L86" s="73"/>
      <c r="M86" s="73"/>
      <c r="N86" s="205" t="s">
        <v>514</v>
      </c>
      <c r="O86" s="205" t="s">
        <v>515</v>
      </c>
      <c r="P86" s="203" t="s">
        <v>164</v>
      </c>
      <c r="Q86" s="203" t="str">
        <f>BRD_EPIC2[[#This Row],[system type]]&amp;BRD_EPIC2[[#This Row],[system type2]]</f>
        <v>Android &amp; Back-End &amp; QA &amp; PM &amp; DM &amp; UI</v>
      </c>
      <c r="R86" s="203" t="s">
        <v>2239</v>
      </c>
      <c r="S86" s="239" t="s">
        <v>516</v>
      </c>
      <c r="T86" s="203" t="s">
        <v>517</v>
      </c>
      <c r="U86" s="203">
        <v>30</v>
      </c>
      <c r="V86" s="203">
        <f>$U86*DE_Cost!$B$1*8</f>
        <v>288</v>
      </c>
      <c r="W86" s="204">
        <f>$U86*DE_Cost!$B$1</f>
        <v>36</v>
      </c>
      <c r="X86" s="204"/>
      <c r="Y86" s="204"/>
      <c r="Z86" s="204">
        <f t="shared" si="1"/>
        <v>6</v>
      </c>
      <c r="AA86" s="203" t="s">
        <v>42</v>
      </c>
      <c r="AB86" s="203"/>
      <c r="AC86" s="203"/>
      <c r="AD86" s="204">
        <f t="shared" si="2"/>
        <v>180</v>
      </c>
    </row>
    <row r="87" spans="1:78" ht="126">
      <c r="A87" s="55" t="s">
        <v>140</v>
      </c>
      <c r="B87" s="51" t="s">
        <v>141</v>
      </c>
      <c r="C87" s="12" t="s">
        <v>441</v>
      </c>
      <c r="D87" s="12" t="s">
        <v>518</v>
      </c>
      <c r="E87" s="12" t="s">
        <v>519</v>
      </c>
      <c r="F87" s="12" t="s">
        <v>520</v>
      </c>
      <c r="G87" s="32"/>
      <c r="H87" s="19" t="s">
        <v>521</v>
      </c>
      <c r="I87" s="12" t="s">
        <v>522</v>
      </c>
      <c r="J87" s="19"/>
      <c r="K87" s="32"/>
      <c r="L87" s="73"/>
      <c r="M87" s="73"/>
      <c r="N87" s="205" t="s">
        <v>523</v>
      </c>
      <c r="O87" s="205" t="s">
        <v>524</v>
      </c>
      <c r="P87" s="203" t="s">
        <v>164</v>
      </c>
      <c r="Q87" s="203" t="str">
        <f>BRD_EPIC2[[#This Row],[system type]]&amp;BRD_EPIC2[[#This Row],[system type2]]</f>
        <v>Android &amp; Back-End &amp; QA &amp; PM &amp; DM &amp; UI</v>
      </c>
      <c r="R87" s="203" t="s">
        <v>2239</v>
      </c>
      <c r="S87" s="203"/>
      <c r="T87" s="203"/>
      <c r="U87" s="203">
        <v>10</v>
      </c>
      <c r="V87" s="203">
        <f>$U87*DE_Cost!$B$1*8</f>
        <v>96</v>
      </c>
      <c r="W87" s="204">
        <f>$U87*DE_Cost!$B$1</f>
        <v>12</v>
      </c>
      <c r="X87" s="204"/>
      <c r="Y87" s="204"/>
      <c r="Z87" s="204">
        <f t="shared" si="1"/>
        <v>6</v>
      </c>
      <c r="AA87" s="203" t="s">
        <v>42</v>
      </c>
      <c r="AB87" s="203"/>
      <c r="AC87" s="203"/>
      <c r="AD87" s="204">
        <f t="shared" si="2"/>
        <v>60</v>
      </c>
    </row>
    <row r="88" spans="1:78" ht="72">
      <c r="A88" s="55" t="s">
        <v>140</v>
      </c>
      <c r="B88" s="51" t="s">
        <v>141</v>
      </c>
      <c r="C88" s="12" t="s">
        <v>441</v>
      </c>
      <c r="D88" s="12" t="s">
        <v>525</v>
      </c>
      <c r="E88" s="12" t="s">
        <v>526</v>
      </c>
      <c r="F88" s="12" t="s">
        <v>527</v>
      </c>
      <c r="G88" s="32"/>
      <c r="H88" s="19" t="s">
        <v>528</v>
      </c>
      <c r="I88" s="12" t="s">
        <v>529</v>
      </c>
      <c r="J88" s="19"/>
      <c r="K88" s="32"/>
      <c r="L88" s="73"/>
      <c r="M88" s="73"/>
      <c r="N88" s="205" t="s">
        <v>530</v>
      </c>
      <c r="O88" s="206"/>
      <c r="P88" s="203" t="s">
        <v>164</v>
      </c>
      <c r="Q88" s="203" t="str">
        <f>BRD_EPIC2[[#This Row],[system type]]&amp;BRD_EPIC2[[#This Row],[system type2]]</f>
        <v>Android &amp; Back-End &amp; QA &amp; PM &amp; DM &amp; UI</v>
      </c>
      <c r="R88" s="203" t="s">
        <v>2239</v>
      </c>
      <c r="S88" s="203"/>
      <c r="T88" s="203"/>
      <c r="U88" s="203">
        <v>3</v>
      </c>
      <c r="V88" s="203">
        <f>$U88*DE_Cost!$B$1*8</f>
        <v>28.799999999999997</v>
      </c>
      <c r="W88" s="204">
        <f>$U88*DE_Cost!$B$1</f>
        <v>3.5999999999999996</v>
      </c>
      <c r="X88" s="204"/>
      <c r="Y88" s="204"/>
      <c r="Z88" s="204">
        <f t="shared" si="1"/>
        <v>6</v>
      </c>
      <c r="AA88" s="203" t="s">
        <v>42</v>
      </c>
      <c r="AB88" s="203"/>
      <c r="AC88" s="203"/>
      <c r="AD88" s="204">
        <f t="shared" si="2"/>
        <v>18</v>
      </c>
    </row>
    <row r="89" spans="1:78" ht="90">
      <c r="A89" s="55" t="s">
        <v>140</v>
      </c>
      <c r="B89" s="51" t="s">
        <v>141</v>
      </c>
      <c r="C89" s="12" t="s">
        <v>441</v>
      </c>
      <c r="D89" s="33" t="s">
        <v>531</v>
      </c>
      <c r="E89" s="33" t="s">
        <v>532</v>
      </c>
      <c r="F89" s="33" t="s">
        <v>533</v>
      </c>
      <c r="G89" s="32"/>
      <c r="H89" s="19" t="s">
        <v>534</v>
      </c>
      <c r="I89" s="33" t="s">
        <v>535</v>
      </c>
      <c r="J89" s="19"/>
      <c r="K89" s="32"/>
      <c r="L89" s="73"/>
      <c r="M89" s="73"/>
      <c r="N89" s="205" t="s">
        <v>536</v>
      </c>
      <c r="O89" s="205" t="s">
        <v>537</v>
      </c>
      <c r="P89" s="203" t="s">
        <v>164</v>
      </c>
      <c r="Q89" s="203" t="str">
        <f>BRD_EPIC2[[#This Row],[system type]]&amp;BRD_EPIC2[[#This Row],[system type2]]</f>
        <v>Android &amp; Back-End &amp; QA &amp; PM &amp; DM &amp; UI</v>
      </c>
      <c r="R89" s="203" t="s">
        <v>2239</v>
      </c>
      <c r="S89" s="203"/>
      <c r="T89" s="203"/>
      <c r="U89" s="203">
        <v>2</v>
      </c>
      <c r="V89" s="203">
        <f>$U89*DE_Cost!$B$1*8</f>
        <v>19.2</v>
      </c>
      <c r="W89" s="204">
        <f>$U89*DE_Cost!$B$1</f>
        <v>2.4</v>
      </c>
      <c r="X89" s="204"/>
      <c r="Y89" s="204"/>
      <c r="Z89" s="204">
        <f t="shared" si="1"/>
        <v>6</v>
      </c>
      <c r="AA89" s="203" t="s">
        <v>42</v>
      </c>
      <c r="AB89" s="203"/>
      <c r="AC89" s="203"/>
      <c r="AD89" s="204">
        <f t="shared" si="2"/>
        <v>12</v>
      </c>
    </row>
    <row r="90" spans="1:78" ht="90">
      <c r="A90" s="55" t="s">
        <v>140</v>
      </c>
      <c r="B90" s="51" t="s">
        <v>141</v>
      </c>
      <c r="C90" s="12" t="s">
        <v>441</v>
      </c>
      <c r="D90" s="12" t="s">
        <v>538</v>
      </c>
      <c r="E90" s="12" t="s">
        <v>539</v>
      </c>
      <c r="F90" s="12" t="s">
        <v>540</v>
      </c>
      <c r="G90" s="32"/>
      <c r="H90" s="19" t="s">
        <v>541</v>
      </c>
      <c r="I90" s="12" t="s">
        <v>542</v>
      </c>
      <c r="J90" s="19"/>
      <c r="K90" s="32"/>
      <c r="L90" s="73"/>
      <c r="M90" s="73"/>
      <c r="N90" s="205" t="s">
        <v>543</v>
      </c>
      <c r="O90" s="205" t="s">
        <v>544</v>
      </c>
      <c r="P90" s="203" t="s">
        <v>455</v>
      </c>
      <c r="Q90" s="203" t="str">
        <f>BRD_EPIC2[[#This Row],[system type]]&amp;BRD_EPIC2[[#This Row],[system type2]]</f>
        <v>Android &amp; QA &amp; PM &amp; DM &amp; UI</v>
      </c>
      <c r="R90" s="203" t="s">
        <v>2239</v>
      </c>
      <c r="S90" s="203"/>
      <c r="T90" s="203"/>
      <c r="U90" s="203">
        <v>10</v>
      </c>
      <c r="V90" s="203">
        <f>$U90*DE_Cost!$B$1*8</f>
        <v>96</v>
      </c>
      <c r="W90" s="204">
        <f>$U90*DE_Cost!$B$1</f>
        <v>12</v>
      </c>
      <c r="X90" s="204"/>
      <c r="Y90" s="204"/>
      <c r="Z90" s="204">
        <f t="shared" si="1"/>
        <v>5</v>
      </c>
      <c r="AA90" s="203" t="s">
        <v>150</v>
      </c>
      <c r="AB90" s="203" t="s">
        <v>545</v>
      </c>
      <c r="AC90" s="203"/>
      <c r="AD90" s="204">
        <f t="shared" si="2"/>
        <v>50</v>
      </c>
    </row>
    <row r="91" spans="1:78" ht="72">
      <c r="A91" s="55" t="s">
        <v>140</v>
      </c>
      <c r="B91" s="51" t="s">
        <v>141</v>
      </c>
      <c r="C91" s="12" t="s">
        <v>441</v>
      </c>
      <c r="D91" s="12" t="s">
        <v>546</v>
      </c>
      <c r="E91" s="12" t="s">
        <v>547</v>
      </c>
      <c r="F91" s="12" t="s">
        <v>548</v>
      </c>
      <c r="G91" s="32"/>
      <c r="H91" s="19" t="s">
        <v>549</v>
      </c>
      <c r="I91" s="12" t="s">
        <v>550</v>
      </c>
      <c r="J91" s="19"/>
      <c r="K91" s="32"/>
      <c r="L91" s="73"/>
      <c r="M91" s="73"/>
      <c r="N91" s="205" t="s">
        <v>551</v>
      </c>
      <c r="O91" s="205" t="s">
        <v>552</v>
      </c>
      <c r="P91" s="203" t="s">
        <v>164</v>
      </c>
      <c r="Q91" s="203" t="str">
        <f>BRD_EPIC2[[#This Row],[system type]]&amp;BRD_EPIC2[[#This Row],[system type2]]</f>
        <v>Android &amp; Back-End &amp; QA &amp; PM &amp; DM &amp; UI</v>
      </c>
      <c r="R91" s="203" t="s">
        <v>2239</v>
      </c>
      <c r="S91" s="203"/>
      <c r="T91" s="203"/>
      <c r="U91" s="203">
        <v>5</v>
      </c>
      <c r="V91" s="203">
        <f>$U91*DE_Cost!$B$1*8</f>
        <v>48</v>
      </c>
      <c r="W91" s="204">
        <f>$U91*DE_Cost!$B$1</f>
        <v>6</v>
      </c>
      <c r="X91" s="204"/>
      <c r="Y91" s="204"/>
      <c r="Z91" s="204">
        <f t="shared" si="1"/>
        <v>6</v>
      </c>
      <c r="AA91" s="203" t="s">
        <v>42</v>
      </c>
      <c r="AB91" s="203"/>
      <c r="AC91" s="203"/>
      <c r="AD91" s="204">
        <f t="shared" si="2"/>
        <v>30</v>
      </c>
    </row>
    <row r="92" spans="1:78" ht="72">
      <c r="A92" s="55" t="s">
        <v>140</v>
      </c>
      <c r="B92" s="51" t="s">
        <v>553</v>
      </c>
      <c r="C92" s="12" t="s">
        <v>441</v>
      </c>
      <c r="D92" s="33" t="s">
        <v>554</v>
      </c>
      <c r="E92" s="33" t="s">
        <v>555</v>
      </c>
      <c r="F92" s="33" t="s">
        <v>556</v>
      </c>
      <c r="G92" s="32"/>
      <c r="H92" s="19" t="s">
        <v>557</v>
      </c>
      <c r="I92" s="33" t="s">
        <v>558</v>
      </c>
      <c r="J92" s="19"/>
      <c r="K92" s="32"/>
      <c r="L92" s="73"/>
      <c r="M92" s="73"/>
      <c r="N92" s="205" t="s">
        <v>559</v>
      </c>
      <c r="O92" s="205" t="s">
        <v>560</v>
      </c>
      <c r="P92" s="203" t="s">
        <v>164</v>
      </c>
      <c r="Q92" s="203" t="str">
        <f>BRD_EPIC2[[#This Row],[system type]]&amp;BRD_EPIC2[[#This Row],[system type2]]</f>
        <v>Android &amp; Back-End &amp; QA &amp; PM &amp; DM &amp; UI</v>
      </c>
      <c r="R92" s="203" t="s">
        <v>2239</v>
      </c>
      <c r="S92" s="203"/>
      <c r="T92" s="203"/>
      <c r="U92" s="203">
        <v>4</v>
      </c>
      <c r="V92" s="203">
        <f>$U92*DE_Cost!$B$1*8</f>
        <v>38.4</v>
      </c>
      <c r="W92" s="204">
        <f>$U92*DE_Cost!$B$1</f>
        <v>4.8</v>
      </c>
      <c r="X92" s="204"/>
      <c r="Y92" s="204"/>
      <c r="Z92" s="204">
        <f t="shared" si="1"/>
        <v>6</v>
      </c>
      <c r="AA92" s="203" t="s">
        <v>42</v>
      </c>
      <c r="AB92" s="203"/>
      <c r="AC92" s="203"/>
      <c r="AD92" s="204">
        <f t="shared" si="2"/>
        <v>24</v>
      </c>
    </row>
    <row r="93" spans="1:78" ht="90">
      <c r="A93" s="55" t="s">
        <v>140</v>
      </c>
      <c r="B93" s="51" t="s">
        <v>141</v>
      </c>
      <c r="C93" s="12" t="s">
        <v>441</v>
      </c>
      <c r="D93" s="12" t="s">
        <v>561</v>
      </c>
      <c r="E93" s="12" t="s">
        <v>562</v>
      </c>
      <c r="F93" s="12" t="s">
        <v>563</v>
      </c>
      <c r="G93" s="32"/>
      <c r="H93" s="19" t="s">
        <v>564</v>
      </c>
      <c r="I93" s="12" t="s">
        <v>565</v>
      </c>
      <c r="J93" s="19"/>
      <c r="K93" s="32"/>
      <c r="L93" s="73"/>
      <c r="M93" s="73"/>
      <c r="N93" s="205" t="s">
        <v>566</v>
      </c>
      <c r="O93" s="205" t="s">
        <v>567</v>
      </c>
      <c r="P93" s="203" t="s">
        <v>258</v>
      </c>
      <c r="Q93" s="203" t="str">
        <f>BRD_EPIC2[[#This Row],[system type]]&amp;BRD_EPIC2[[#This Row],[system type2]]</f>
        <v>Front-End &amp; Back-End &amp; QA &amp; PM &amp; DM &amp; UI</v>
      </c>
      <c r="R93" s="203" t="s">
        <v>2239</v>
      </c>
      <c r="S93" s="203"/>
      <c r="T93" s="203"/>
      <c r="U93" s="203">
        <v>5</v>
      </c>
      <c r="V93" s="203">
        <f>$U93*DE_Cost!$B$1*8</f>
        <v>48</v>
      </c>
      <c r="W93" s="204">
        <f>$U93*DE_Cost!$B$1</f>
        <v>6</v>
      </c>
      <c r="X93" s="204"/>
      <c r="Y93" s="204"/>
      <c r="Z93" s="204">
        <f t="shared" si="1"/>
        <v>6</v>
      </c>
      <c r="AA93" s="203" t="s">
        <v>42</v>
      </c>
      <c r="AB93" s="203"/>
      <c r="AC93" s="203"/>
      <c r="AD93" s="204">
        <f t="shared" si="2"/>
        <v>30</v>
      </c>
    </row>
    <row r="94" spans="1:78" ht="126">
      <c r="A94" s="55" t="s">
        <v>140</v>
      </c>
      <c r="B94" s="51" t="s">
        <v>141</v>
      </c>
      <c r="C94" s="12" t="s">
        <v>568</v>
      </c>
      <c r="D94" s="12" t="s">
        <v>569</v>
      </c>
      <c r="E94" s="12" t="s">
        <v>570</v>
      </c>
      <c r="F94" s="12" t="s">
        <v>571</v>
      </c>
      <c r="G94" s="32"/>
      <c r="H94" s="19" t="s">
        <v>572</v>
      </c>
      <c r="I94" s="12" t="s">
        <v>573</v>
      </c>
      <c r="J94" s="19"/>
      <c r="K94" s="32"/>
      <c r="L94" s="73"/>
      <c r="M94" s="73"/>
      <c r="N94" s="205" t="s">
        <v>574</v>
      </c>
      <c r="O94" s="205" t="s">
        <v>575</v>
      </c>
      <c r="P94" s="203" t="s">
        <v>258</v>
      </c>
      <c r="Q94" s="203" t="str">
        <f>BRD_EPIC2[[#This Row],[system type]]&amp;BRD_EPIC2[[#This Row],[system type2]]</f>
        <v>Front-End &amp; Back-End &amp; QA &amp; PM &amp; DM &amp; UI</v>
      </c>
      <c r="R94" s="203" t="s">
        <v>2239</v>
      </c>
      <c r="S94" s="203"/>
      <c r="T94" s="203"/>
      <c r="U94" s="203">
        <v>13</v>
      </c>
      <c r="V94" s="203">
        <f>$U94*DE_Cost!$B$1*8</f>
        <v>124.8</v>
      </c>
      <c r="W94" s="204">
        <f>$U94*DE_Cost!$B$1</f>
        <v>15.6</v>
      </c>
      <c r="X94" s="204"/>
      <c r="Y94" s="204"/>
      <c r="Z94" s="204">
        <f t="shared" si="1"/>
        <v>6</v>
      </c>
      <c r="AA94" s="203" t="s">
        <v>42</v>
      </c>
      <c r="AB94" s="203"/>
      <c r="AC94" s="203"/>
      <c r="AD94" s="204">
        <f t="shared" si="2"/>
        <v>78</v>
      </c>
    </row>
    <row r="95" spans="1:78" ht="252">
      <c r="A95" s="55" t="s">
        <v>140</v>
      </c>
      <c r="B95" s="51" t="s">
        <v>141</v>
      </c>
      <c r="C95" s="12" t="s">
        <v>576</v>
      </c>
      <c r="D95" s="12" t="s">
        <v>577</v>
      </c>
      <c r="E95" s="12" t="s">
        <v>578</v>
      </c>
      <c r="F95" s="12" t="s">
        <v>579</v>
      </c>
      <c r="G95" s="32"/>
      <c r="H95" s="19" t="s">
        <v>580</v>
      </c>
      <c r="I95" s="12" t="s">
        <v>581</v>
      </c>
      <c r="J95" s="19"/>
      <c r="K95" s="32"/>
      <c r="L95" s="73"/>
      <c r="M95" s="73"/>
      <c r="N95" s="205" t="s">
        <v>582</v>
      </c>
      <c r="O95" s="205" t="s">
        <v>583</v>
      </c>
      <c r="P95" s="203" t="s">
        <v>384</v>
      </c>
      <c r="Q95" s="203" t="str">
        <f>BRD_EPIC2[[#This Row],[system type]]&amp;BRD_EPIC2[[#This Row],[system type2]]</f>
        <v>Back-End&amp; QA &amp; PM &amp; DM</v>
      </c>
      <c r="R95" s="203" t="s">
        <v>2243</v>
      </c>
      <c r="S95" s="203"/>
      <c r="T95" s="203"/>
      <c r="U95" s="203">
        <v>3</v>
      </c>
      <c r="V95" s="203">
        <f>$U95*DE_Cost!$B$1*8</f>
        <v>28.799999999999997</v>
      </c>
      <c r="W95" s="204">
        <f>$U95*DE_Cost!$B$1</f>
        <v>3.5999999999999996</v>
      </c>
      <c r="X95" s="204"/>
      <c r="Y95" s="204"/>
      <c r="Z95" s="204">
        <f t="shared" si="1"/>
        <v>4</v>
      </c>
      <c r="AA95" s="203" t="s">
        <v>42</v>
      </c>
      <c r="AB95" s="203"/>
      <c r="AC95" s="203"/>
      <c r="AD95" s="204">
        <f t="shared" si="2"/>
        <v>12</v>
      </c>
    </row>
    <row r="96" spans="1:78" ht="108">
      <c r="A96" s="55" t="s">
        <v>140</v>
      </c>
      <c r="B96" s="51" t="s">
        <v>141</v>
      </c>
      <c r="C96" s="12" t="s">
        <v>576</v>
      </c>
      <c r="D96" s="12" t="s">
        <v>584</v>
      </c>
      <c r="E96" s="12" t="s">
        <v>585</v>
      </c>
      <c r="F96" s="12" t="s">
        <v>586</v>
      </c>
      <c r="G96" s="32"/>
      <c r="H96" s="19" t="s">
        <v>587</v>
      </c>
      <c r="I96" s="12" t="s">
        <v>588</v>
      </c>
      <c r="J96" s="19"/>
      <c r="K96" s="32"/>
      <c r="L96" s="73"/>
      <c r="M96" s="73"/>
      <c r="N96" s="205" t="s">
        <v>589</v>
      </c>
      <c r="O96" s="205" t="s">
        <v>590</v>
      </c>
      <c r="P96" s="203" t="s">
        <v>321</v>
      </c>
      <c r="Q96" s="203" t="str">
        <f>BRD_EPIC2[[#This Row],[system type]]&amp;BRD_EPIC2[[#This Row],[system type2]]</f>
        <v>Android &amp; Front-End &amp; Back-End &amp; QA &amp; PM &amp; DM &amp; UI</v>
      </c>
      <c r="R96" s="203" t="s">
        <v>2239</v>
      </c>
      <c r="S96" s="203"/>
      <c r="T96" s="203"/>
      <c r="U96" s="203">
        <v>30</v>
      </c>
      <c r="V96" s="203">
        <f>$U96*DE_Cost!$B$1*8</f>
        <v>288</v>
      </c>
      <c r="W96" s="204">
        <f>$U96*DE_Cost!$B$1</f>
        <v>36</v>
      </c>
      <c r="X96" s="204"/>
      <c r="Y96" s="204"/>
      <c r="Z96" s="204">
        <f t="shared" si="1"/>
        <v>7</v>
      </c>
      <c r="AA96" s="203" t="s">
        <v>42</v>
      </c>
      <c r="AB96" s="203"/>
      <c r="AC96" s="203"/>
      <c r="AD96" s="204">
        <f t="shared" si="2"/>
        <v>210</v>
      </c>
    </row>
    <row r="97" spans="1:78" ht="90">
      <c r="A97" s="55" t="s">
        <v>140</v>
      </c>
      <c r="B97" s="51" t="s">
        <v>141</v>
      </c>
      <c r="C97" s="12" t="s">
        <v>576</v>
      </c>
      <c r="D97" s="33" t="s">
        <v>591</v>
      </c>
      <c r="E97" s="33" t="s">
        <v>592</v>
      </c>
      <c r="F97" s="33" t="s">
        <v>593</v>
      </c>
      <c r="G97" s="32"/>
      <c r="H97" s="19" t="s">
        <v>594</v>
      </c>
      <c r="I97" s="33" t="s">
        <v>595</v>
      </c>
      <c r="J97" s="19"/>
      <c r="K97" s="32"/>
      <c r="L97" s="73"/>
      <c r="M97" s="73"/>
      <c r="N97" s="205" t="s">
        <v>596</v>
      </c>
      <c r="O97" s="205" t="s">
        <v>597</v>
      </c>
      <c r="P97" s="203" t="s">
        <v>321</v>
      </c>
      <c r="Q97" s="203" t="str">
        <f>BRD_EPIC2[[#This Row],[system type]]&amp;BRD_EPIC2[[#This Row],[system type2]]</f>
        <v>Android &amp; Front-End &amp; Back-End &amp; QA &amp; PM &amp; DM &amp; UI</v>
      </c>
      <c r="R97" s="203" t="s">
        <v>2239</v>
      </c>
      <c r="S97" s="203"/>
      <c r="T97" s="203"/>
      <c r="U97" s="203">
        <v>30</v>
      </c>
      <c r="V97" s="203">
        <f>$U97*DE_Cost!$B$1*8</f>
        <v>288</v>
      </c>
      <c r="W97" s="204">
        <f>$U97*DE_Cost!$B$1</f>
        <v>36</v>
      </c>
      <c r="X97" s="204"/>
      <c r="Y97" s="204"/>
      <c r="Z97" s="204">
        <f t="shared" si="1"/>
        <v>7</v>
      </c>
      <c r="AA97" s="203" t="s">
        <v>42</v>
      </c>
      <c r="AB97" s="203"/>
      <c r="AC97" s="203"/>
      <c r="AD97" s="204">
        <f t="shared" si="2"/>
        <v>210</v>
      </c>
    </row>
    <row r="98" spans="1:78" s="222" customFormat="1" ht="90">
      <c r="A98" s="213" t="s">
        <v>140</v>
      </c>
      <c r="B98" s="214" t="s">
        <v>141</v>
      </c>
      <c r="C98" s="215" t="s">
        <v>576</v>
      </c>
      <c r="D98" s="216" t="s">
        <v>598</v>
      </c>
      <c r="E98" s="216" t="s">
        <v>599</v>
      </c>
      <c r="F98" s="216" t="s">
        <v>600</v>
      </c>
      <c r="G98" s="95"/>
      <c r="H98" s="217" t="s">
        <v>601</v>
      </c>
      <c r="I98" s="216" t="s">
        <v>602</v>
      </c>
      <c r="J98" s="217"/>
      <c r="K98" s="95"/>
      <c r="L98" s="218"/>
      <c r="M98" s="218"/>
      <c r="N98" s="219" t="s">
        <v>603</v>
      </c>
      <c r="O98" s="219" t="s">
        <v>604</v>
      </c>
      <c r="P98" s="220" t="s">
        <v>321</v>
      </c>
      <c r="Q98" s="220" t="str">
        <f>BRD_EPIC2[[#This Row],[system type]]&amp;BRD_EPIC2[[#This Row],[system type2]]</f>
        <v>Android &amp; Front-End &amp; Back-End &amp; QA &amp; PM &amp; DM &amp; UI</v>
      </c>
      <c r="R98" s="203" t="s">
        <v>2239</v>
      </c>
      <c r="S98" s="220"/>
      <c r="T98" s="220"/>
      <c r="U98" s="220">
        <v>5</v>
      </c>
      <c r="V98" s="220">
        <f>$U98*DE_Cost!$B$1*8</f>
        <v>48</v>
      </c>
      <c r="W98" s="221">
        <f>$U98*DE_Cost!$B$1</f>
        <v>6</v>
      </c>
      <c r="X98" s="204"/>
      <c r="Y98" s="204"/>
      <c r="Z98" s="204">
        <f t="shared" si="1"/>
        <v>7</v>
      </c>
      <c r="AA98" s="220" t="s">
        <v>42</v>
      </c>
      <c r="AB98" s="203"/>
      <c r="AC98" s="203"/>
      <c r="AD98" s="204">
        <f t="shared" si="2"/>
        <v>35</v>
      </c>
    </row>
    <row r="99" spans="1:78" ht="108">
      <c r="A99" s="55" t="s">
        <v>140</v>
      </c>
      <c r="B99" s="51" t="s">
        <v>141</v>
      </c>
      <c r="C99" s="12" t="s">
        <v>576</v>
      </c>
      <c r="D99" s="33" t="s">
        <v>605</v>
      </c>
      <c r="E99" s="33" t="s">
        <v>606</v>
      </c>
      <c r="F99" s="33" t="s">
        <v>607</v>
      </c>
      <c r="G99" s="32"/>
      <c r="H99" s="19" t="s">
        <v>608</v>
      </c>
      <c r="I99" s="33" t="s">
        <v>609</v>
      </c>
      <c r="J99" s="19"/>
      <c r="K99" s="32"/>
      <c r="L99" s="73"/>
      <c r="M99" s="73"/>
      <c r="N99" s="205" t="s">
        <v>610</v>
      </c>
      <c r="O99" s="205" t="s">
        <v>611</v>
      </c>
      <c r="P99" s="203" t="s">
        <v>258</v>
      </c>
      <c r="Q99" s="203" t="str">
        <f>BRD_EPIC2[[#This Row],[system type]]&amp;BRD_EPIC2[[#This Row],[system type2]]</f>
        <v>Front-End &amp; Back-End &amp; QA &amp; PM &amp; DM &amp; UI</v>
      </c>
      <c r="R99" s="203" t="s">
        <v>2239</v>
      </c>
      <c r="S99" s="203"/>
      <c r="T99" s="203" t="s">
        <v>612</v>
      </c>
      <c r="U99" s="203">
        <v>5</v>
      </c>
      <c r="V99" s="203">
        <f>$U99*DE_Cost!$B$1*8</f>
        <v>48</v>
      </c>
      <c r="W99" s="204">
        <f>$U99*DE_Cost!$B$1</f>
        <v>6</v>
      </c>
      <c r="X99" s="204"/>
      <c r="Y99" s="204"/>
      <c r="Z99" s="204">
        <f t="shared" si="1"/>
        <v>6</v>
      </c>
      <c r="AA99" s="203" t="s">
        <v>150</v>
      </c>
      <c r="AB99" s="203" t="s">
        <v>613</v>
      </c>
      <c r="AC99" s="203"/>
      <c r="AD99" s="204">
        <f t="shared" si="2"/>
        <v>30</v>
      </c>
    </row>
    <row r="100" spans="1:78" ht="108">
      <c r="A100" s="55" t="s">
        <v>140</v>
      </c>
      <c r="B100" s="51" t="s">
        <v>141</v>
      </c>
      <c r="C100" s="12" t="s">
        <v>576</v>
      </c>
      <c r="D100" s="33" t="s">
        <v>614</v>
      </c>
      <c r="E100" s="33" t="s">
        <v>615</v>
      </c>
      <c r="F100" s="33" t="s">
        <v>616</v>
      </c>
      <c r="G100" s="32"/>
      <c r="H100" s="19" t="s">
        <v>617</v>
      </c>
      <c r="I100" s="33" t="s">
        <v>618</v>
      </c>
      <c r="J100" s="19"/>
      <c r="K100" s="32"/>
      <c r="L100" s="73"/>
      <c r="M100" s="73"/>
      <c r="N100" s="205" t="s">
        <v>619</v>
      </c>
      <c r="O100" s="205" t="s">
        <v>620</v>
      </c>
      <c r="P100" s="203" t="s">
        <v>164</v>
      </c>
      <c r="Q100" s="203" t="str">
        <f>BRD_EPIC2[[#This Row],[system type]]&amp;BRD_EPIC2[[#This Row],[system type2]]</f>
        <v>Android &amp; Back-End &amp; QA &amp; PM &amp; DM &amp; UI</v>
      </c>
      <c r="R100" s="203" t="s">
        <v>2239</v>
      </c>
      <c r="S100" s="203"/>
      <c r="T100" s="203"/>
      <c r="U100" s="203">
        <v>25</v>
      </c>
      <c r="V100" s="203">
        <f>$U100*DE_Cost!$B$1*8</f>
        <v>240</v>
      </c>
      <c r="W100" s="204">
        <f>$U100*DE_Cost!$B$1</f>
        <v>30</v>
      </c>
      <c r="X100" s="204"/>
      <c r="Y100" s="204"/>
      <c r="Z100" s="204">
        <f t="shared" ref="Z100:Z163" si="3">LEN(Q100) - LEN(SUBSTITUTE(Q100, "&amp;", "")) + 1</f>
        <v>6</v>
      </c>
      <c r="AA100" s="203" t="s">
        <v>150</v>
      </c>
      <c r="AB100" s="203" t="s">
        <v>621</v>
      </c>
      <c r="AC100" s="203"/>
      <c r="AD100" s="204">
        <f t="shared" si="2"/>
        <v>150</v>
      </c>
    </row>
    <row r="101" spans="1:78" ht="108">
      <c r="A101" s="55" t="s">
        <v>140</v>
      </c>
      <c r="B101" s="51" t="s">
        <v>141</v>
      </c>
      <c r="C101" s="12" t="s">
        <v>576</v>
      </c>
      <c r="D101" s="12" t="s">
        <v>622</v>
      </c>
      <c r="E101" s="12" t="s">
        <v>623</v>
      </c>
      <c r="F101" s="12" t="s">
        <v>624</v>
      </c>
      <c r="G101" s="32"/>
      <c r="H101" s="19" t="s">
        <v>625</v>
      </c>
      <c r="I101" s="12" t="s">
        <v>626</v>
      </c>
      <c r="J101" s="19"/>
      <c r="K101" s="32"/>
      <c r="L101" s="73"/>
      <c r="M101" s="73"/>
      <c r="N101" s="205" t="s">
        <v>627</v>
      </c>
      <c r="O101" s="205" t="s">
        <v>628</v>
      </c>
      <c r="P101" s="203" t="s">
        <v>258</v>
      </c>
      <c r="Q101" s="203" t="str">
        <f>BRD_EPIC2[[#This Row],[system type]]&amp;BRD_EPIC2[[#This Row],[system type2]]</f>
        <v>Front-End &amp; Back-End &amp; QA &amp; PM &amp; DM &amp; UI</v>
      </c>
      <c r="R101" s="203" t="s">
        <v>2239</v>
      </c>
      <c r="S101" s="203"/>
      <c r="T101" s="203"/>
      <c r="U101" s="203">
        <v>5</v>
      </c>
      <c r="V101" s="203">
        <f>$U101*DE_Cost!$B$1*8</f>
        <v>48</v>
      </c>
      <c r="W101" s="204">
        <f>$U101*DE_Cost!$B$1</f>
        <v>6</v>
      </c>
      <c r="X101" s="204"/>
      <c r="Y101" s="204"/>
      <c r="Z101" s="204">
        <f t="shared" si="3"/>
        <v>6</v>
      </c>
      <c r="AA101" s="203" t="s">
        <v>150</v>
      </c>
      <c r="AB101" s="203" t="s">
        <v>629</v>
      </c>
      <c r="AC101" s="203"/>
      <c r="AD101" s="204">
        <f t="shared" si="2"/>
        <v>30</v>
      </c>
    </row>
    <row r="102" spans="1:78" ht="126">
      <c r="A102" s="55" t="s">
        <v>140</v>
      </c>
      <c r="B102" s="51" t="s">
        <v>141</v>
      </c>
      <c r="C102" s="12" t="s">
        <v>576</v>
      </c>
      <c r="D102" s="12" t="s">
        <v>630</v>
      </c>
      <c r="E102" s="12" t="s">
        <v>631</v>
      </c>
      <c r="F102" s="12" t="s">
        <v>632</v>
      </c>
      <c r="G102" s="32"/>
      <c r="H102" s="19" t="s">
        <v>633</v>
      </c>
      <c r="I102" s="12" t="s">
        <v>634</v>
      </c>
      <c r="J102" s="19"/>
      <c r="K102" s="32"/>
      <c r="L102" s="73"/>
      <c r="M102" s="73"/>
      <c r="N102" s="205" t="s">
        <v>635</v>
      </c>
      <c r="O102" s="205" t="s">
        <v>636</v>
      </c>
      <c r="P102" s="203" t="s">
        <v>164</v>
      </c>
      <c r="Q102" s="203" t="str">
        <f>BRD_EPIC2[[#This Row],[system type]]&amp;BRD_EPIC2[[#This Row],[system type2]]</f>
        <v>Android &amp; Back-End &amp; QA &amp; PM &amp; DM &amp; UI</v>
      </c>
      <c r="R102" s="203" t="s">
        <v>2239</v>
      </c>
      <c r="S102" s="203"/>
      <c r="T102" s="203"/>
      <c r="U102" s="203">
        <v>8</v>
      </c>
      <c r="V102" s="203">
        <f>$U102*DE_Cost!$B$1*8</f>
        <v>76.8</v>
      </c>
      <c r="W102" s="204">
        <f>$U102*DE_Cost!$B$1</f>
        <v>9.6</v>
      </c>
      <c r="X102" s="204"/>
      <c r="Y102" s="204"/>
      <c r="Z102" s="204">
        <f t="shared" si="3"/>
        <v>6</v>
      </c>
      <c r="AA102" s="203" t="s">
        <v>42</v>
      </c>
      <c r="AB102" s="203"/>
      <c r="AC102" s="203"/>
      <c r="AD102" s="204">
        <f t="shared" si="2"/>
        <v>48</v>
      </c>
    </row>
    <row r="103" spans="1:78" ht="126">
      <c r="A103" s="55" t="s">
        <v>140</v>
      </c>
      <c r="B103" s="51" t="s">
        <v>141</v>
      </c>
      <c r="C103" s="12" t="s">
        <v>576</v>
      </c>
      <c r="D103" s="12" t="s">
        <v>637</v>
      </c>
      <c r="E103" s="12" t="s">
        <v>638</v>
      </c>
      <c r="F103" s="12" t="s">
        <v>639</v>
      </c>
      <c r="G103" s="32"/>
      <c r="H103" s="19" t="s">
        <v>640</v>
      </c>
      <c r="I103" s="12" t="s">
        <v>641</v>
      </c>
      <c r="J103" s="19"/>
      <c r="K103" s="32"/>
      <c r="L103" s="73"/>
      <c r="M103" s="73"/>
      <c r="N103" s="205" t="s">
        <v>642</v>
      </c>
      <c r="O103" s="205" t="s">
        <v>643</v>
      </c>
      <c r="P103" s="203" t="s">
        <v>164</v>
      </c>
      <c r="Q103" s="203" t="str">
        <f>BRD_EPIC2[[#This Row],[system type]]&amp;BRD_EPIC2[[#This Row],[system type2]]</f>
        <v>Android &amp; Back-End &amp; QA &amp; PM &amp; DM &amp; UI</v>
      </c>
      <c r="R103" s="203" t="s">
        <v>2239</v>
      </c>
      <c r="S103" s="203"/>
      <c r="T103" s="203"/>
      <c r="U103" s="203">
        <v>2</v>
      </c>
      <c r="V103" s="203">
        <f>$U103*DE_Cost!$B$1*8</f>
        <v>19.2</v>
      </c>
      <c r="W103" s="204">
        <f>$U103*DE_Cost!$B$1</f>
        <v>2.4</v>
      </c>
      <c r="X103" s="204"/>
      <c r="Y103" s="204"/>
      <c r="Z103" s="204">
        <f t="shared" si="3"/>
        <v>6</v>
      </c>
      <c r="AA103" s="203" t="s">
        <v>150</v>
      </c>
      <c r="AB103" s="203" t="s">
        <v>644</v>
      </c>
      <c r="AC103" s="203"/>
      <c r="AD103" s="204">
        <f t="shared" si="2"/>
        <v>12</v>
      </c>
    </row>
    <row r="104" spans="1:78" ht="72">
      <c r="A104" s="55" t="s">
        <v>140</v>
      </c>
      <c r="B104" s="51" t="s">
        <v>141</v>
      </c>
      <c r="C104" s="12" t="s">
        <v>576</v>
      </c>
      <c r="D104" s="33" t="s">
        <v>645</v>
      </c>
      <c r="E104" s="33" t="s">
        <v>646</v>
      </c>
      <c r="F104" s="33" t="s">
        <v>647</v>
      </c>
      <c r="G104" s="32"/>
      <c r="H104" s="19" t="s">
        <v>648</v>
      </c>
      <c r="I104" s="33" t="s">
        <v>649</v>
      </c>
      <c r="J104" s="19"/>
      <c r="K104" s="32"/>
      <c r="L104" s="73"/>
      <c r="M104" s="73"/>
      <c r="N104" s="205" t="s">
        <v>650</v>
      </c>
      <c r="O104" s="205"/>
      <c r="P104" s="203" t="s">
        <v>164</v>
      </c>
      <c r="Q104" s="203" t="str">
        <f>BRD_EPIC2[[#This Row],[system type]]&amp;BRD_EPIC2[[#This Row],[system type2]]</f>
        <v>Android &amp; Back-End &amp; QA &amp; PM &amp; DM &amp; UI</v>
      </c>
      <c r="R104" s="203" t="s">
        <v>2239</v>
      </c>
      <c r="S104" s="203"/>
      <c r="T104" s="203"/>
      <c r="U104" s="203">
        <v>3</v>
      </c>
      <c r="V104" s="203">
        <f>$U104*DE_Cost!$B$1*8</f>
        <v>28.799999999999997</v>
      </c>
      <c r="W104" s="204">
        <f>$U104*DE_Cost!$B$1</f>
        <v>3.5999999999999996</v>
      </c>
      <c r="X104" s="204"/>
      <c r="Y104" s="204"/>
      <c r="Z104" s="204">
        <f t="shared" si="3"/>
        <v>6</v>
      </c>
      <c r="AA104" s="203" t="s">
        <v>42</v>
      </c>
      <c r="AB104" s="203"/>
      <c r="AC104" s="203"/>
      <c r="AD104" s="204">
        <f t="shared" si="2"/>
        <v>18</v>
      </c>
    </row>
    <row r="105" spans="1:78" ht="66" customHeight="1">
      <c r="A105" s="55" t="s">
        <v>140</v>
      </c>
      <c r="B105" s="51" t="s">
        <v>141</v>
      </c>
      <c r="C105" s="12" t="s">
        <v>576</v>
      </c>
      <c r="D105" s="12" t="s">
        <v>651</v>
      </c>
      <c r="E105" s="12" t="s">
        <v>652</v>
      </c>
      <c r="F105" s="12" t="s">
        <v>653</v>
      </c>
      <c r="G105" s="32"/>
      <c r="H105" s="19" t="s">
        <v>654</v>
      </c>
      <c r="I105" s="12" t="s">
        <v>655</v>
      </c>
      <c r="J105" s="19"/>
      <c r="K105" s="32"/>
      <c r="L105" s="73"/>
      <c r="M105" s="73"/>
      <c r="N105" s="205" t="s">
        <v>656</v>
      </c>
      <c r="O105" s="205" t="s">
        <v>657</v>
      </c>
      <c r="P105" s="203" t="s">
        <v>321</v>
      </c>
      <c r="Q105" s="203" t="str">
        <f>BRD_EPIC2[[#This Row],[system type]]&amp;BRD_EPIC2[[#This Row],[system type2]]</f>
        <v>Android &amp; Front-End &amp; Back-End &amp; QA &amp; PM &amp; DM &amp; UI</v>
      </c>
      <c r="R105" s="203" t="s">
        <v>2239</v>
      </c>
      <c r="S105" s="203"/>
      <c r="T105" s="203"/>
      <c r="U105" s="203">
        <v>3</v>
      </c>
      <c r="V105" s="203">
        <f>$U105*DE_Cost!$B$1*8</f>
        <v>28.799999999999997</v>
      </c>
      <c r="W105" s="204">
        <f>$U105*DE_Cost!$B$1</f>
        <v>3.5999999999999996</v>
      </c>
      <c r="X105" s="204"/>
      <c r="Y105" s="204"/>
      <c r="Z105" s="204">
        <f t="shared" si="3"/>
        <v>7</v>
      </c>
      <c r="AA105" s="203" t="s">
        <v>42</v>
      </c>
      <c r="AB105" s="203"/>
      <c r="AC105" s="203"/>
      <c r="AD105" s="204">
        <f t="shared" si="2"/>
        <v>21</v>
      </c>
    </row>
    <row r="106" spans="1:78" ht="108">
      <c r="A106" s="55" t="s">
        <v>140</v>
      </c>
      <c r="B106" s="51" t="s">
        <v>141</v>
      </c>
      <c r="C106" s="12" t="s">
        <v>576</v>
      </c>
      <c r="D106" s="12" t="s">
        <v>658</v>
      </c>
      <c r="E106" s="12" t="s">
        <v>659</v>
      </c>
      <c r="F106" s="12" t="s">
        <v>660</v>
      </c>
      <c r="G106" s="32"/>
      <c r="H106" s="19" t="s">
        <v>661</v>
      </c>
      <c r="I106" s="12" t="s">
        <v>662</v>
      </c>
      <c r="J106" s="19"/>
      <c r="K106" s="32"/>
      <c r="L106" s="73"/>
      <c r="M106" s="73"/>
      <c r="N106" s="205" t="s">
        <v>663</v>
      </c>
      <c r="O106" s="205" t="s">
        <v>664</v>
      </c>
      <c r="P106" s="203" t="s">
        <v>321</v>
      </c>
      <c r="Q106" s="203" t="str">
        <f>BRD_EPIC2[[#This Row],[system type]]&amp;BRD_EPIC2[[#This Row],[system type2]]</f>
        <v>Android &amp; Front-End &amp; Back-End &amp; QA &amp; PM &amp; DM &amp; UI</v>
      </c>
      <c r="R106" s="203" t="s">
        <v>2239</v>
      </c>
      <c r="S106" s="203"/>
      <c r="T106" s="203"/>
      <c r="U106" s="203">
        <v>6</v>
      </c>
      <c r="V106" s="203">
        <f>$U106*DE_Cost!$B$1*8</f>
        <v>57.599999999999994</v>
      </c>
      <c r="W106" s="204">
        <f>$U106*DE_Cost!$B$1</f>
        <v>7.1999999999999993</v>
      </c>
      <c r="X106" s="204"/>
      <c r="Y106" s="204"/>
      <c r="Z106" s="204">
        <f t="shared" si="3"/>
        <v>7</v>
      </c>
      <c r="AA106" s="203" t="s">
        <v>42</v>
      </c>
      <c r="AB106" s="203"/>
      <c r="AC106" s="203"/>
      <c r="AD106" s="204">
        <f t="shared" si="2"/>
        <v>42</v>
      </c>
    </row>
    <row r="107" spans="1:78" s="211" customFormat="1" ht="108">
      <c r="A107" s="32" t="s">
        <v>140</v>
      </c>
      <c r="B107" s="32" t="s">
        <v>141</v>
      </c>
      <c r="C107" s="32" t="s">
        <v>576</v>
      </c>
      <c r="D107" s="32" t="s">
        <v>665</v>
      </c>
      <c r="E107" s="32" t="s">
        <v>666</v>
      </c>
      <c r="F107" s="32" t="s">
        <v>667</v>
      </c>
      <c r="G107" s="32"/>
      <c r="H107" s="19" t="s">
        <v>668</v>
      </c>
      <c r="I107" s="19" t="s">
        <v>669</v>
      </c>
      <c r="J107" s="210"/>
      <c r="K107" s="32"/>
      <c r="L107" s="73"/>
      <c r="M107" s="73"/>
      <c r="N107" s="205" t="s">
        <v>670</v>
      </c>
      <c r="O107" s="205" t="s">
        <v>671</v>
      </c>
      <c r="P107" s="205" t="s">
        <v>332</v>
      </c>
      <c r="Q107" s="205" t="str">
        <f>BRD_EPIC2[[#This Row],[system type]]&amp;BRD_EPIC2[[#This Row],[system type2]]</f>
        <v>Android &amp; Front-End &amp; Back-End  &amp; QA &amp; PM &amp; DM &amp; UI</v>
      </c>
      <c r="R107" s="203" t="s">
        <v>2239</v>
      </c>
      <c r="S107" s="205"/>
      <c r="T107" s="203"/>
      <c r="U107" s="203">
        <v>10</v>
      </c>
      <c r="V107" s="203">
        <f>$U107*DE_Cost!$B$1*8</f>
        <v>96</v>
      </c>
      <c r="W107" s="203">
        <f>$U107*DE_Cost!$B$1</f>
        <v>12</v>
      </c>
      <c r="X107" s="204"/>
      <c r="Y107" s="204"/>
      <c r="Z107" s="204">
        <f t="shared" si="3"/>
        <v>7</v>
      </c>
      <c r="AA107" s="203" t="s">
        <v>42</v>
      </c>
      <c r="AB107" s="203"/>
      <c r="AC107" s="203"/>
      <c r="AD107" s="204">
        <f t="shared" si="2"/>
        <v>70</v>
      </c>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ht="144">
      <c r="A108" s="55" t="s">
        <v>140</v>
      </c>
      <c r="B108" s="51" t="s">
        <v>141</v>
      </c>
      <c r="C108" s="12" t="s">
        <v>672</v>
      </c>
      <c r="D108" s="33" t="s">
        <v>673</v>
      </c>
      <c r="E108" s="33" t="s">
        <v>674</v>
      </c>
      <c r="F108" s="33" t="s">
        <v>675</v>
      </c>
      <c r="G108" s="63"/>
      <c r="H108" s="241" t="s">
        <v>676</v>
      </c>
      <c r="I108" s="33" t="s">
        <v>677</v>
      </c>
      <c r="J108" s="19"/>
      <c r="K108" s="32"/>
      <c r="L108" s="73"/>
      <c r="M108" s="73"/>
      <c r="N108" s="205" t="s">
        <v>678</v>
      </c>
      <c r="O108" s="205" t="s">
        <v>679</v>
      </c>
      <c r="P108" s="203" t="s">
        <v>258</v>
      </c>
      <c r="Q108" s="203" t="str">
        <f>BRD_EPIC2[[#This Row],[system type]]&amp;BRD_EPIC2[[#This Row],[system type2]]</f>
        <v>Front-End &amp; Back-End &amp; QA &amp; PM &amp; DM &amp; UI</v>
      </c>
      <c r="R108" s="203" t="s">
        <v>2239</v>
      </c>
      <c r="S108" s="203"/>
      <c r="T108" s="203"/>
      <c r="U108" s="203">
        <v>20</v>
      </c>
      <c r="V108" s="203">
        <f>$U108*DE_Cost!$B$1*8</f>
        <v>192</v>
      </c>
      <c r="W108" s="204">
        <f>$U108*DE_Cost!$B$1</f>
        <v>24</v>
      </c>
      <c r="X108" s="204"/>
      <c r="Y108" s="204"/>
      <c r="Z108" s="204">
        <f t="shared" si="3"/>
        <v>6</v>
      </c>
      <c r="AA108" s="203" t="s">
        <v>42</v>
      </c>
      <c r="AB108" s="203"/>
      <c r="AC108" s="203"/>
      <c r="AD108" s="204">
        <f t="shared" si="2"/>
        <v>120</v>
      </c>
    </row>
    <row r="109" spans="1:78" ht="90">
      <c r="A109" s="55" t="s">
        <v>140</v>
      </c>
      <c r="B109" s="51" t="s">
        <v>141</v>
      </c>
      <c r="C109" s="12" t="s">
        <v>672</v>
      </c>
      <c r="D109" s="12" t="s">
        <v>680</v>
      </c>
      <c r="E109" s="12" t="s">
        <v>681</v>
      </c>
      <c r="F109" s="12" t="s">
        <v>682</v>
      </c>
      <c r="G109" s="63"/>
      <c r="H109" s="19" t="s">
        <v>683</v>
      </c>
      <c r="I109" s="12" t="s">
        <v>684</v>
      </c>
      <c r="J109" s="19"/>
      <c r="K109" s="32"/>
      <c r="L109" s="73"/>
      <c r="M109" s="73"/>
      <c r="N109" s="205" t="s">
        <v>685</v>
      </c>
      <c r="O109" s="205"/>
      <c r="P109" s="203" t="s">
        <v>258</v>
      </c>
      <c r="Q109" s="203" t="str">
        <f>BRD_EPIC2[[#This Row],[system type]]&amp;BRD_EPIC2[[#This Row],[system type2]]</f>
        <v>Front-End &amp; Back-End &amp; QA &amp; PM &amp; DM &amp; UI</v>
      </c>
      <c r="R109" s="203" t="s">
        <v>2239</v>
      </c>
      <c r="S109" s="203"/>
      <c r="T109" s="203"/>
      <c r="U109" s="203">
        <v>10</v>
      </c>
      <c r="V109" s="203">
        <f>$U109*DE_Cost!$B$1*8</f>
        <v>96</v>
      </c>
      <c r="W109" s="204">
        <f>$U109*DE_Cost!$B$1</f>
        <v>12</v>
      </c>
      <c r="X109" s="204"/>
      <c r="Y109" s="204"/>
      <c r="Z109" s="204">
        <f t="shared" si="3"/>
        <v>6</v>
      </c>
      <c r="AA109" s="203" t="s">
        <v>150</v>
      </c>
      <c r="AB109" s="203" t="s">
        <v>686</v>
      </c>
      <c r="AC109" s="203"/>
      <c r="AD109" s="204">
        <f t="shared" si="2"/>
        <v>60</v>
      </c>
    </row>
    <row r="110" spans="1:78" ht="72">
      <c r="A110" s="55" t="s">
        <v>140</v>
      </c>
      <c r="B110" s="51" t="s">
        <v>141</v>
      </c>
      <c r="C110" s="12" t="s">
        <v>687</v>
      </c>
      <c r="D110" s="12" t="s">
        <v>688</v>
      </c>
      <c r="E110" s="12" t="s">
        <v>689</v>
      </c>
      <c r="F110" s="12" t="s">
        <v>690</v>
      </c>
      <c r="G110" s="63"/>
      <c r="H110" s="241" t="s">
        <v>691</v>
      </c>
      <c r="I110" s="12" t="s">
        <v>692</v>
      </c>
      <c r="J110" s="19"/>
      <c r="K110" s="32"/>
      <c r="L110" s="73"/>
      <c r="M110" s="73"/>
      <c r="N110" s="205" t="s">
        <v>693</v>
      </c>
      <c r="O110" s="205" t="s">
        <v>694</v>
      </c>
      <c r="P110" s="203" t="s">
        <v>164</v>
      </c>
      <c r="Q110" s="203" t="str">
        <f>BRD_EPIC2[[#This Row],[system type]]&amp;BRD_EPIC2[[#This Row],[system type2]]</f>
        <v>Android &amp; Back-End &amp; QA &amp; PM &amp; DM &amp; UI</v>
      </c>
      <c r="R110" s="203" t="s">
        <v>2239</v>
      </c>
      <c r="S110" s="203"/>
      <c r="T110" s="203"/>
      <c r="U110" s="203">
        <v>8</v>
      </c>
      <c r="V110" s="203">
        <f>$U110*DE_Cost!$B$1*8</f>
        <v>76.8</v>
      </c>
      <c r="W110" s="204">
        <f>$U110*DE_Cost!$B$1</f>
        <v>9.6</v>
      </c>
      <c r="X110" s="204"/>
      <c r="Y110" s="204"/>
      <c r="Z110" s="204">
        <f t="shared" si="3"/>
        <v>6</v>
      </c>
      <c r="AA110" s="203" t="s">
        <v>42</v>
      </c>
      <c r="AB110" s="203"/>
      <c r="AC110" s="203"/>
      <c r="AD110" s="204">
        <f t="shared" si="2"/>
        <v>48</v>
      </c>
    </row>
    <row r="111" spans="1:78" s="211" customFormat="1" ht="90">
      <c r="A111" s="12" t="s">
        <v>140</v>
      </c>
      <c r="B111" s="12" t="s">
        <v>141</v>
      </c>
      <c r="C111" s="12" t="s">
        <v>687</v>
      </c>
      <c r="D111" s="12" t="s">
        <v>695</v>
      </c>
      <c r="E111" s="12" t="s">
        <v>696</v>
      </c>
      <c r="F111" s="12"/>
      <c r="G111" s="12"/>
      <c r="H111" s="12" t="s">
        <v>697</v>
      </c>
      <c r="I111" s="12"/>
      <c r="J111" s="210"/>
      <c r="K111" s="32"/>
      <c r="L111" s="73"/>
      <c r="M111" s="73"/>
      <c r="N111" s="205" t="s">
        <v>698</v>
      </c>
      <c r="O111" s="205" t="s">
        <v>699</v>
      </c>
      <c r="P111" s="205" t="s">
        <v>321</v>
      </c>
      <c r="Q111" s="205" t="str">
        <f>BRD_EPIC2[[#This Row],[system type]]&amp;BRD_EPIC2[[#This Row],[system type2]]</f>
        <v>Android &amp; Front-End &amp; Back-End &amp; QA &amp; PM &amp; DM &amp; UI</v>
      </c>
      <c r="R111" s="203" t="s">
        <v>2239</v>
      </c>
      <c r="S111" s="205"/>
      <c r="T111" s="203"/>
      <c r="U111" s="203">
        <v>4</v>
      </c>
      <c r="V111" s="205">
        <f>$U111*DE_Cost!$B$1*8</f>
        <v>38.4</v>
      </c>
      <c r="W111" s="205">
        <f>$U111*DE_Cost!$B$1</f>
        <v>4.8</v>
      </c>
      <c r="X111" s="204"/>
      <c r="Y111" s="204"/>
      <c r="Z111" s="204">
        <f t="shared" si="3"/>
        <v>7</v>
      </c>
      <c r="AA111" s="205" t="s">
        <v>42</v>
      </c>
      <c r="AB111" s="203"/>
      <c r="AC111" s="203"/>
      <c r="AD111" s="204">
        <f t="shared" si="2"/>
        <v>28</v>
      </c>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ht="162">
      <c r="A112" s="55" t="s">
        <v>140</v>
      </c>
      <c r="B112" s="51" t="s">
        <v>141</v>
      </c>
      <c r="C112" s="12" t="s">
        <v>687</v>
      </c>
      <c r="D112" s="33" t="s">
        <v>700</v>
      </c>
      <c r="E112" s="33" t="s">
        <v>701</v>
      </c>
      <c r="F112" s="33" t="s">
        <v>702</v>
      </c>
      <c r="G112" s="63"/>
      <c r="H112" s="241" t="s">
        <v>703</v>
      </c>
      <c r="I112" s="33" t="s">
        <v>704</v>
      </c>
      <c r="J112" s="19"/>
      <c r="K112" s="32"/>
      <c r="L112" s="73"/>
      <c r="M112" s="73"/>
      <c r="N112" s="205" t="s">
        <v>705</v>
      </c>
      <c r="O112" s="205" t="s">
        <v>706</v>
      </c>
      <c r="P112" s="203" t="s">
        <v>258</v>
      </c>
      <c r="Q112" s="203" t="str">
        <f>BRD_EPIC2[[#This Row],[system type]]&amp;BRD_EPIC2[[#This Row],[system type2]]</f>
        <v>Front-End &amp; Back-End &amp; QA &amp; PM &amp; DM &amp; UI</v>
      </c>
      <c r="R112" s="203" t="s">
        <v>2239</v>
      </c>
      <c r="S112" s="203"/>
      <c r="T112" s="203"/>
      <c r="U112" s="203">
        <v>12</v>
      </c>
      <c r="V112" s="203">
        <f>$U112*DE_Cost!$B$1*8</f>
        <v>115.19999999999999</v>
      </c>
      <c r="W112" s="204">
        <f>$U112*DE_Cost!$B$1</f>
        <v>14.399999999999999</v>
      </c>
      <c r="X112" s="204"/>
      <c r="Y112" s="204"/>
      <c r="Z112" s="204">
        <f t="shared" si="3"/>
        <v>6</v>
      </c>
      <c r="AA112" s="203" t="s">
        <v>42</v>
      </c>
      <c r="AB112" s="203"/>
      <c r="AC112" s="203"/>
      <c r="AD112" s="204">
        <f t="shared" si="2"/>
        <v>72</v>
      </c>
    </row>
    <row r="113" spans="1:78" ht="108">
      <c r="A113" s="55" t="s">
        <v>140</v>
      </c>
      <c r="B113" s="51" t="s">
        <v>141</v>
      </c>
      <c r="C113" s="12" t="s">
        <v>687</v>
      </c>
      <c r="D113" s="12" t="s">
        <v>707</v>
      </c>
      <c r="E113" s="12" t="s">
        <v>708</v>
      </c>
      <c r="F113" s="12" t="s">
        <v>709</v>
      </c>
      <c r="G113" s="63"/>
      <c r="H113" s="241" t="s">
        <v>710</v>
      </c>
      <c r="I113" s="12" t="s">
        <v>711</v>
      </c>
      <c r="J113" s="19"/>
      <c r="K113" s="32"/>
      <c r="L113" s="73"/>
      <c r="M113" s="73"/>
      <c r="N113" s="205" t="s">
        <v>712</v>
      </c>
      <c r="O113" s="205" t="s">
        <v>713</v>
      </c>
      <c r="P113" s="203" t="s">
        <v>258</v>
      </c>
      <c r="Q113" s="203" t="str">
        <f>BRD_EPIC2[[#This Row],[system type]]&amp;BRD_EPIC2[[#This Row],[system type2]]</f>
        <v>Front-End &amp; Back-End &amp; QA &amp; PM &amp; DM &amp; UI</v>
      </c>
      <c r="R113" s="203" t="s">
        <v>2239</v>
      </c>
      <c r="S113" s="203"/>
      <c r="T113" s="203"/>
      <c r="U113" s="203">
        <v>10</v>
      </c>
      <c r="V113" s="203">
        <f>$U113*DE_Cost!$B$1*8</f>
        <v>96</v>
      </c>
      <c r="W113" s="204">
        <f>$U113*DE_Cost!$B$1</f>
        <v>12</v>
      </c>
      <c r="X113" s="204"/>
      <c r="Y113" s="204"/>
      <c r="Z113" s="204">
        <f t="shared" si="3"/>
        <v>6</v>
      </c>
      <c r="AA113" s="203" t="s">
        <v>42</v>
      </c>
      <c r="AB113" s="203"/>
      <c r="AC113" s="203"/>
      <c r="AD113" s="204">
        <f t="shared" si="2"/>
        <v>60</v>
      </c>
    </row>
    <row r="114" spans="1:78" ht="72">
      <c r="A114" s="55" t="s">
        <v>140</v>
      </c>
      <c r="B114" s="51" t="s">
        <v>141</v>
      </c>
      <c r="C114" s="12" t="s">
        <v>687</v>
      </c>
      <c r="D114" s="12" t="s">
        <v>714</v>
      </c>
      <c r="E114" s="12" t="s">
        <v>715</v>
      </c>
      <c r="F114" s="12" t="s">
        <v>716</v>
      </c>
      <c r="G114" s="63"/>
      <c r="H114" s="241" t="s">
        <v>717</v>
      </c>
      <c r="I114" s="12" t="s">
        <v>718</v>
      </c>
      <c r="J114" s="19"/>
      <c r="K114" s="32"/>
      <c r="L114" s="73"/>
      <c r="M114" s="73"/>
      <c r="N114" s="205" t="s">
        <v>719</v>
      </c>
      <c r="O114" s="205" t="s">
        <v>720</v>
      </c>
      <c r="P114" s="203" t="s">
        <v>164</v>
      </c>
      <c r="Q114" s="203" t="str">
        <f>BRD_EPIC2[[#This Row],[system type]]&amp;BRD_EPIC2[[#This Row],[system type2]]</f>
        <v>Android &amp; Back-End &amp; QA &amp; PM &amp; DM &amp; UI</v>
      </c>
      <c r="R114" s="203" t="s">
        <v>2239</v>
      </c>
      <c r="S114" s="203"/>
      <c r="T114" s="203"/>
      <c r="U114" s="203">
        <v>6</v>
      </c>
      <c r="V114" s="203">
        <f>$U114*DE_Cost!$B$1*8</f>
        <v>57.599999999999994</v>
      </c>
      <c r="W114" s="204">
        <f>$U114*DE_Cost!$B$1</f>
        <v>7.1999999999999993</v>
      </c>
      <c r="X114" s="204"/>
      <c r="Y114" s="204"/>
      <c r="Z114" s="204">
        <f t="shared" si="3"/>
        <v>6</v>
      </c>
      <c r="AA114" s="203" t="s">
        <v>42</v>
      </c>
      <c r="AB114" s="203"/>
      <c r="AC114" s="203"/>
      <c r="AD114" s="204">
        <f t="shared" si="2"/>
        <v>36</v>
      </c>
    </row>
    <row r="115" spans="1:78" ht="90">
      <c r="A115" s="55" t="s">
        <v>140</v>
      </c>
      <c r="B115" s="51" t="s">
        <v>141</v>
      </c>
      <c r="C115" s="12" t="s">
        <v>687</v>
      </c>
      <c r="D115" s="12" t="s">
        <v>721</v>
      </c>
      <c r="E115" s="12" t="s">
        <v>722</v>
      </c>
      <c r="F115" s="12"/>
      <c r="G115" s="63"/>
      <c r="H115" s="241" t="s">
        <v>723</v>
      </c>
      <c r="I115" s="12"/>
      <c r="J115" s="19"/>
      <c r="K115" s="32"/>
      <c r="L115" s="73"/>
      <c r="M115" s="73"/>
      <c r="N115" s="205" t="s">
        <v>724</v>
      </c>
      <c r="O115" s="205" t="s">
        <v>725</v>
      </c>
      <c r="P115" s="203" t="s">
        <v>321</v>
      </c>
      <c r="Q115" s="203" t="str">
        <f>BRD_EPIC2[[#This Row],[system type]]&amp;BRD_EPIC2[[#This Row],[system type2]]</f>
        <v>Android &amp; Front-End &amp; Back-End &amp; QA &amp; PM &amp; DM &amp; UI</v>
      </c>
      <c r="R115" s="203" t="s">
        <v>2239</v>
      </c>
      <c r="S115" s="203"/>
      <c r="T115" s="203"/>
      <c r="U115" s="203">
        <v>2</v>
      </c>
      <c r="V115" s="203">
        <f>$U115*DE_Cost!$B$1*8</f>
        <v>19.2</v>
      </c>
      <c r="W115" s="204">
        <f>$U115*DE_Cost!$B$1</f>
        <v>2.4</v>
      </c>
      <c r="X115" s="204"/>
      <c r="Y115" s="204"/>
      <c r="Z115" s="204">
        <f t="shared" si="3"/>
        <v>7</v>
      </c>
      <c r="AA115" s="203" t="s">
        <v>42</v>
      </c>
      <c r="AB115" s="203"/>
      <c r="AC115" s="203"/>
      <c r="AD115" s="204">
        <f t="shared" si="2"/>
        <v>14</v>
      </c>
    </row>
    <row r="116" spans="1:78" s="211" customFormat="1" ht="90">
      <c r="A116" s="12" t="s">
        <v>140</v>
      </c>
      <c r="B116" s="12" t="s">
        <v>141</v>
      </c>
      <c r="C116" s="12" t="s">
        <v>687</v>
      </c>
      <c r="D116" s="12" t="s">
        <v>726</v>
      </c>
      <c r="E116" s="12" t="s">
        <v>727</v>
      </c>
      <c r="F116" s="12" t="s">
        <v>728</v>
      </c>
      <c r="G116" s="12"/>
      <c r="H116" s="12" t="s">
        <v>729</v>
      </c>
      <c r="I116" s="12" t="s">
        <v>730</v>
      </c>
      <c r="J116" s="210"/>
      <c r="K116" s="32"/>
      <c r="L116" s="73"/>
      <c r="M116" s="73"/>
      <c r="N116" s="205" t="s">
        <v>731</v>
      </c>
      <c r="O116" s="205" t="s">
        <v>732</v>
      </c>
      <c r="P116" s="205" t="s">
        <v>321</v>
      </c>
      <c r="Q116" s="205" t="str">
        <f>BRD_EPIC2[[#This Row],[system type]]&amp;BRD_EPIC2[[#This Row],[system type2]]</f>
        <v>Android &amp; Front-End &amp; Back-End &amp; QA &amp; PM &amp; DM &amp; UI</v>
      </c>
      <c r="R116" s="203" t="s">
        <v>2239</v>
      </c>
      <c r="S116" s="205"/>
      <c r="T116" s="203"/>
      <c r="U116" s="203">
        <v>10</v>
      </c>
      <c r="V116" s="205">
        <f>$U116*DE_Cost!$B$1*8</f>
        <v>96</v>
      </c>
      <c r="W116" s="205">
        <f>$U116*DE_Cost!$B$1</f>
        <v>12</v>
      </c>
      <c r="X116" s="204"/>
      <c r="Y116" s="204"/>
      <c r="Z116" s="204">
        <f t="shared" si="3"/>
        <v>7</v>
      </c>
      <c r="AA116" s="205" t="s">
        <v>42</v>
      </c>
      <c r="AB116" s="203"/>
      <c r="AC116" s="203"/>
      <c r="AD116" s="204">
        <f t="shared" si="2"/>
        <v>70</v>
      </c>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ht="90">
      <c r="A117" s="55" t="s">
        <v>140</v>
      </c>
      <c r="B117" s="51" t="s">
        <v>141</v>
      </c>
      <c r="C117" s="12" t="s">
        <v>687</v>
      </c>
      <c r="D117" s="12" t="s">
        <v>733</v>
      </c>
      <c r="E117" s="12" t="s">
        <v>734</v>
      </c>
      <c r="F117" s="12" t="s">
        <v>735</v>
      </c>
      <c r="G117" s="32"/>
      <c r="H117" s="19" t="s">
        <v>736</v>
      </c>
      <c r="I117" s="12" t="s">
        <v>737</v>
      </c>
      <c r="J117" s="19"/>
      <c r="K117" s="32"/>
      <c r="L117" s="73"/>
      <c r="M117" s="73"/>
      <c r="N117" s="205" t="s">
        <v>738</v>
      </c>
      <c r="O117" s="205" t="s">
        <v>739</v>
      </c>
      <c r="P117" s="203" t="s">
        <v>164</v>
      </c>
      <c r="Q117" s="203" t="str">
        <f>BRD_EPIC2[[#This Row],[system type]]&amp;BRD_EPIC2[[#This Row],[system type2]]</f>
        <v>Android &amp; Back-End &amp; QA &amp; PM &amp; DM &amp; UI</v>
      </c>
      <c r="R117" s="203" t="s">
        <v>2239</v>
      </c>
      <c r="S117" s="203"/>
      <c r="T117" s="203"/>
      <c r="U117" s="203">
        <v>4</v>
      </c>
      <c r="V117" s="203">
        <f>$U117*DE_Cost!$B$1*8</f>
        <v>38.4</v>
      </c>
      <c r="W117" s="204">
        <f>$U117*DE_Cost!$B$1</f>
        <v>4.8</v>
      </c>
      <c r="X117" s="204"/>
      <c r="Y117" s="204"/>
      <c r="Z117" s="204">
        <f t="shared" si="3"/>
        <v>6</v>
      </c>
      <c r="AA117" s="203" t="s">
        <v>42</v>
      </c>
      <c r="AB117" s="203"/>
      <c r="AC117" s="203"/>
      <c r="AD117" s="204">
        <f t="shared" si="2"/>
        <v>24</v>
      </c>
    </row>
    <row r="118" spans="1:78" s="211" customFormat="1" ht="90">
      <c r="A118" s="55" t="s">
        <v>140</v>
      </c>
      <c r="B118" s="51" t="s">
        <v>141</v>
      </c>
      <c r="C118" s="12" t="s">
        <v>687</v>
      </c>
      <c r="D118" s="12" t="s">
        <v>740</v>
      </c>
      <c r="E118" s="12" t="s">
        <v>741</v>
      </c>
      <c r="F118" s="12" t="s">
        <v>735</v>
      </c>
      <c r="G118" s="32"/>
      <c r="H118" s="19" t="s">
        <v>742</v>
      </c>
      <c r="I118" s="12" t="s">
        <v>737</v>
      </c>
      <c r="J118" s="210"/>
      <c r="K118" s="32"/>
      <c r="L118" s="73"/>
      <c r="M118" s="73"/>
      <c r="N118" s="212" t="s">
        <v>743</v>
      </c>
      <c r="O118" s="203" t="s">
        <v>739</v>
      </c>
      <c r="P118" s="203" t="s">
        <v>164</v>
      </c>
      <c r="Q118" s="203" t="str">
        <f>BRD_EPIC2[[#This Row],[system type]]&amp;BRD_EPIC2[[#This Row],[system type2]]</f>
        <v>Android &amp; Back-End &amp; QA &amp; PM &amp; DM &amp; UI</v>
      </c>
      <c r="R118" s="203" t="s">
        <v>2239</v>
      </c>
      <c r="S118" s="203"/>
      <c r="T118" s="203"/>
      <c r="U118" s="203">
        <v>4</v>
      </c>
      <c r="V118" s="203">
        <f>$U118*DE_Cost!$B$1*8</f>
        <v>38.4</v>
      </c>
      <c r="W118" s="203">
        <f>$U118*DE_Cost!$B$1</f>
        <v>4.8</v>
      </c>
      <c r="X118" s="204"/>
      <c r="Y118" s="204"/>
      <c r="Z118" s="204">
        <f t="shared" si="3"/>
        <v>6</v>
      </c>
      <c r="AA118" s="203" t="s">
        <v>42</v>
      </c>
      <c r="AB118" s="203"/>
      <c r="AC118" s="203"/>
      <c r="AD118" s="204">
        <f t="shared" si="2"/>
        <v>24</v>
      </c>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ht="90">
      <c r="A119" s="55" t="s">
        <v>140</v>
      </c>
      <c r="B119" s="51" t="s">
        <v>141</v>
      </c>
      <c r="C119" s="12" t="s">
        <v>744</v>
      </c>
      <c r="D119" s="12" t="s">
        <v>745</v>
      </c>
      <c r="E119" s="12" t="s">
        <v>746</v>
      </c>
      <c r="F119" s="12" t="s">
        <v>747</v>
      </c>
      <c r="G119" s="32"/>
      <c r="H119" s="19" t="s">
        <v>748</v>
      </c>
      <c r="I119" s="12" t="s">
        <v>749</v>
      </c>
      <c r="J119" s="19"/>
      <c r="K119" s="32"/>
      <c r="L119" s="73"/>
      <c r="M119" s="73"/>
      <c r="N119" s="205" t="s">
        <v>750</v>
      </c>
      <c r="O119" s="205" t="s">
        <v>751</v>
      </c>
      <c r="P119" s="203" t="s">
        <v>321</v>
      </c>
      <c r="Q119" s="203" t="str">
        <f>BRD_EPIC2[[#This Row],[system type]]&amp;BRD_EPIC2[[#This Row],[system type2]]</f>
        <v>Android &amp; Front-End &amp; Back-End &amp; QA &amp; PM &amp; DM &amp; UI</v>
      </c>
      <c r="R119" s="203" t="s">
        <v>2239</v>
      </c>
      <c r="S119" s="203"/>
      <c r="T119" s="203" t="s">
        <v>752</v>
      </c>
      <c r="U119" s="203">
        <v>5</v>
      </c>
      <c r="V119" s="203">
        <f>$U119*DE_Cost!$B$1*8</f>
        <v>48</v>
      </c>
      <c r="W119" s="204">
        <f>$U119*DE_Cost!$B$1</f>
        <v>6</v>
      </c>
      <c r="X119" s="204"/>
      <c r="Y119" s="204"/>
      <c r="Z119" s="204">
        <f t="shared" si="3"/>
        <v>7</v>
      </c>
      <c r="AA119" s="203" t="s">
        <v>150</v>
      </c>
      <c r="AB119" s="203" t="s">
        <v>753</v>
      </c>
      <c r="AC119" s="203"/>
      <c r="AD119" s="204">
        <f t="shared" si="2"/>
        <v>35</v>
      </c>
    </row>
    <row r="120" spans="1:78" ht="72">
      <c r="A120" s="55" t="s">
        <v>140</v>
      </c>
      <c r="B120" s="51" t="s">
        <v>141</v>
      </c>
      <c r="C120" s="12" t="s">
        <v>744</v>
      </c>
      <c r="D120" s="12" t="s">
        <v>754</v>
      </c>
      <c r="E120" s="12" t="s">
        <v>755</v>
      </c>
      <c r="F120" s="12" t="s">
        <v>756</v>
      </c>
      <c r="G120" s="32"/>
      <c r="H120" s="19" t="s">
        <v>757</v>
      </c>
      <c r="I120" s="12" t="s">
        <v>758</v>
      </c>
      <c r="J120" s="19"/>
      <c r="K120" s="32"/>
      <c r="L120" s="73"/>
      <c r="M120" s="73"/>
      <c r="N120" s="205"/>
      <c r="O120" s="205" t="s">
        <v>759</v>
      </c>
      <c r="P120" s="203" t="s">
        <v>321</v>
      </c>
      <c r="Q120" s="203" t="str">
        <f>BRD_EPIC2[[#This Row],[system type]]&amp;BRD_EPIC2[[#This Row],[system type2]]</f>
        <v>Android &amp; Front-End &amp; Back-End &amp; QA &amp; PM &amp; DM &amp; UI</v>
      </c>
      <c r="R120" s="203" t="s">
        <v>2239</v>
      </c>
      <c r="S120" s="203"/>
      <c r="T120" s="203"/>
      <c r="U120" s="203">
        <v>4</v>
      </c>
      <c r="V120" s="203">
        <f>$U120*DE_Cost!$B$1*8</f>
        <v>38.4</v>
      </c>
      <c r="W120" s="204">
        <f>$U120*DE_Cost!$B$1</f>
        <v>4.8</v>
      </c>
      <c r="X120" s="204"/>
      <c r="Y120" s="204"/>
      <c r="Z120" s="204">
        <f t="shared" si="3"/>
        <v>7</v>
      </c>
      <c r="AA120" s="203" t="s">
        <v>42</v>
      </c>
      <c r="AB120" s="203"/>
      <c r="AC120" s="203"/>
      <c r="AD120" s="204">
        <f t="shared" si="2"/>
        <v>28</v>
      </c>
    </row>
    <row r="121" spans="1:78" ht="90">
      <c r="A121" s="55" t="s">
        <v>140</v>
      </c>
      <c r="B121" s="51" t="s">
        <v>141</v>
      </c>
      <c r="C121" s="12" t="s">
        <v>744</v>
      </c>
      <c r="D121" s="12" t="s">
        <v>760</v>
      </c>
      <c r="E121" s="12" t="s">
        <v>761</v>
      </c>
      <c r="F121" s="12" t="s">
        <v>762</v>
      </c>
      <c r="G121" s="32"/>
      <c r="H121" s="19" t="s">
        <v>763</v>
      </c>
      <c r="I121" s="12" t="s">
        <v>764</v>
      </c>
      <c r="J121" s="19"/>
      <c r="K121" s="32"/>
      <c r="L121" s="73"/>
      <c r="M121" s="73"/>
      <c r="N121" s="205" t="s">
        <v>765</v>
      </c>
      <c r="O121" s="205" t="s">
        <v>766</v>
      </c>
      <c r="P121" s="203" t="s">
        <v>258</v>
      </c>
      <c r="Q121" s="203" t="str">
        <f>BRD_EPIC2[[#This Row],[system type]]&amp;BRD_EPIC2[[#This Row],[system type2]]</f>
        <v>Front-End &amp; Back-End &amp; QA &amp; PM &amp; DM &amp; UI</v>
      </c>
      <c r="R121" s="203" t="s">
        <v>2239</v>
      </c>
      <c r="S121" s="203" t="s">
        <v>767</v>
      </c>
      <c r="T121" s="203"/>
      <c r="U121" s="203">
        <v>15</v>
      </c>
      <c r="V121" s="203">
        <f>$U121*DE_Cost!$B$1*8</f>
        <v>144</v>
      </c>
      <c r="W121" s="204">
        <f>$U121*DE_Cost!$B$1</f>
        <v>18</v>
      </c>
      <c r="X121" s="204"/>
      <c r="Y121" s="204"/>
      <c r="Z121" s="204">
        <f t="shared" si="3"/>
        <v>6</v>
      </c>
      <c r="AA121" s="203" t="s">
        <v>42</v>
      </c>
      <c r="AB121" s="203"/>
      <c r="AC121" s="203"/>
      <c r="AD121" s="204">
        <f t="shared" si="2"/>
        <v>90</v>
      </c>
    </row>
    <row r="122" spans="1:78" ht="90">
      <c r="A122" s="55" t="s">
        <v>140</v>
      </c>
      <c r="B122" s="51" t="s">
        <v>141</v>
      </c>
      <c r="C122" s="12" t="s">
        <v>744</v>
      </c>
      <c r="D122" s="33" t="s">
        <v>768</v>
      </c>
      <c r="E122" s="33" t="s">
        <v>769</v>
      </c>
      <c r="F122" s="33" t="s">
        <v>770</v>
      </c>
      <c r="G122" s="32"/>
      <c r="H122" s="19" t="s">
        <v>771</v>
      </c>
      <c r="I122" s="33" t="s">
        <v>772</v>
      </c>
      <c r="J122" s="19"/>
      <c r="K122" s="32"/>
      <c r="L122" s="73"/>
      <c r="M122" s="73"/>
      <c r="N122" s="205"/>
      <c r="O122" s="205" t="s">
        <v>773</v>
      </c>
      <c r="P122" s="203" t="s">
        <v>258</v>
      </c>
      <c r="Q122" s="203" t="str">
        <f>BRD_EPIC2[[#This Row],[system type]]&amp;BRD_EPIC2[[#This Row],[system type2]]</f>
        <v>Front-End &amp; Back-End &amp; QA &amp; PM &amp; DM &amp; UI</v>
      </c>
      <c r="R122" s="203" t="s">
        <v>2239</v>
      </c>
      <c r="S122" s="203" t="s">
        <v>774</v>
      </c>
      <c r="T122" s="203"/>
      <c r="U122" s="203">
        <v>15</v>
      </c>
      <c r="V122" s="203">
        <f>$U122*DE_Cost!$B$1*8</f>
        <v>144</v>
      </c>
      <c r="W122" s="204">
        <f>$U122*DE_Cost!$B$1</f>
        <v>18</v>
      </c>
      <c r="X122" s="204"/>
      <c r="Y122" s="204"/>
      <c r="Z122" s="204">
        <f t="shared" si="3"/>
        <v>6</v>
      </c>
      <c r="AA122" s="203" t="s">
        <v>42</v>
      </c>
      <c r="AB122" s="203"/>
      <c r="AC122" s="203"/>
      <c r="AD122" s="204">
        <f t="shared" si="2"/>
        <v>90</v>
      </c>
    </row>
    <row r="123" spans="1:78" ht="108">
      <c r="A123" s="55" t="s">
        <v>140</v>
      </c>
      <c r="B123" s="51" t="s">
        <v>141</v>
      </c>
      <c r="C123" s="12" t="s">
        <v>744</v>
      </c>
      <c r="D123" s="12" t="s">
        <v>775</v>
      </c>
      <c r="E123" s="12" t="s">
        <v>776</v>
      </c>
      <c r="F123" s="12" t="s">
        <v>777</v>
      </c>
      <c r="G123" s="32"/>
      <c r="H123" s="19" t="s">
        <v>778</v>
      </c>
      <c r="I123" s="12" t="s">
        <v>779</v>
      </c>
      <c r="J123" s="19"/>
      <c r="K123" s="32"/>
      <c r="L123" s="73"/>
      <c r="M123" s="73"/>
      <c r="N123" s="205" t="s">
        <v>780</v>
      </c>
      <c r="O123" s="205" t="s">
        <v>781</v>
      </c>
      <c r="P123" s="203" t="s">
        <v>321</v>
      </c>
      <c r="Q123" s="203" t="str">
        <f>BRD_EPIC2[[#This Row],[system type]]&amp;BRD_EPIC2[[#This Row],[system type2]]</f>
        <v>Android &amp; Front-End &amp; Back-End &amp; QA &amp; PM &amp; DM &amp; UI</v>
      </c>
      <c r="R123" s="203" t="s">
        <v>2239</v>
      </c>
      <c r="S123" s="203"/>
      <c r="T123" s="203"/>
      <c r="U123" s="203">
        <v>30</v>
      </c>
      <c r="V123" s="203">
        <f>$U123*DE_Cost!$B$1*8</f>
        <v>288</v>
      </c>
      <c r="W123" s="204">
        <f>$U123*DE_Cost!$B$1</f>
        <v>36</v>
      </c>
      <c r="X123" s="204"/>
      <c r="Y123" s="204"/>
      <c r="Z123" s="204">
        <f t="shared" si="3"/>
        <v>7</v>
      </c>
      <c r="AA123" s="203" t="s">
        <v>150</v>
      </c>
      <c r="AB123" s="203" t="s">
        <v>782</v>
      </c>
      <c r="AC123" s="203"/>
      <c r="AD123" s="204">
        <f t="shared" si="2"/>
        <v>210</v>
      </c>
    </row>
    <row r="124" spans="1:78" ht="102" customHeight="1">
      <c r="A124" s="55" t="s">
        <v>140</v>
      </c>
      <c r="B124" s="51" t="s">
        <v>141</v>
      </c>
      <c r="C124" s="12" t="s">
        <v>744</v>
      </c>
      <c r="D124" s="12" t="s">
        <v>783</v>
      </c>
      <c r="E124" s="12" t="s">
        <v>784</v>
      </c>
      <c r="F124" s="12" t="s">
        <v>785</v>
      </c>
      <c r="G124" s="32"/>
      <c r="H124" s="19" t="s">
        <v>786</v>
      </c>
      <c r="I124" s="12" t="s">
        <v>787</v>
      </c>
      <c r="J124" s="19"/>
      <c r="K124" s="32"/>
      <c r="L124" s="73"/>
      <c r="M124" s="73"/>
      <c r="N124" s="205" t="s">
        <v>788</v>
      </c>
      <c r="O124" s="205" t="s">
        <v>789</v>
      </c>
      <c r="P124" s="203" t="s">
        <v>258</v>
      </c>
      <c r="Q124" s="203" t="str">
        <f>BRD_EPIC2[[#This Row],[system type]]&amp;BRD_EPIC2[[#This Row],[system type2]]</f>
        <v>Front-End &amp; Back-End &amp; QA &amp; PM &amp; DM &amp; UI</v>
      </c>
      <c r="R124" s="203" t="s">
        <v>2239</v>
      </c>
      <c r="S124" s="203"/>
      <c r="T124" s="203"/>
      <c r="U124" s="203">
        <v>15</v>
      </c>
      <c r="V124" s="203">
        <f>$U124*DE_Cost!$B$1*8</f>
        <v>144</v>
      </c>
      <c r="W124" s="204">
        <f>$U124*DE_Cost!$B$1</f>
        <v>18</v>
      </c>
      <c r="X124" s="204"/>
      <c r="Y124" s="204"/>
      <c r="Z124" s="204">
        <f t="shared" si="3"/>
        <v>6</v>
      </c>
      <c r="AA124" s="203" t="s">
        <v>42</v>
      </c>
      <c r="AB124" s="203"/>
      <c r="AC124" s="203"/>
      <c r="AD124" s="204">
        <f t="shared" ref="AD124:AD187" si="4">U124 * Z124</f>
        <v>90</v>
      </c>
    </row>
    <row r="125" spans="1:78" ht="159" customHeight="1">
      <c r="A125" s="55" t="s">
        <v>140</v>
      </c>
      <c r="B125" s="51" t="s">
        <v>141</v>
      </c>
      <c r="C125" s="12" t="s">
        <v>744</v>
      </c>
      <c r="D125" s="12" t="s">
        <v>790</v>
      </c>
      <c r="E125" s="12" t="s">
        <v>791</v>
      </c>
      <c r="F125" s="12" t="s">
        <v>792</v>
      </c>
      <c r="G125" s="32"/>
      <c r="H125" s="19" t="s">
        <v>793</v>
      </c>
      <c r="I125" s="12" t="s">
        <v>794</v>
      </c>
      <c r="J125" s="19"/>
      <c r="K125" s="32"/>
      <c r="L125" s="73"/>
      <c r="M125" s="73"/>
      <c r="N125" s="205" t="s">
        <v>795</v>
      </c>
      <c r="O125" s="205" t="s">
        <v>796</v>
      </c>
      <c r="P125" s="203" t="s">
        <v>258</v>
      </c>
      <c r="Q125" s="203" t="str">
        <f>BRD_EPIC2[[#This Row],[system type]]&amp;BRD_EPIC2[[#This Row],[system type2]]</f>
        <v>Front-End &amp; Back-End &amp; QA &amp; PM &amp; DM &amp; UI</v>
      </c>
      <c r="R125" s="203" t="s">
        <v>2239</v>
      </c>
      <c r="S125" s="203"/>
      <c r="T125" s="203"/>
      <c r="U125" s="203">
        <v>20</v>
      </c>
      <c r="V125" s="203">
        <f>$U125*DE_Cost!$B$1*8</f>
        <v>192</v>
      </c>
      <c r="W125" s="204">
        <f>$U125*DE_Cost!$B$1</f>
        <v>24</v>
      </c>
      <c r="X125" s="204"/>
      <c r="Y125" s="204"/>
      <c r="Z125" s="204">
        <f t="shared" si="3"/>
        <v>6</v>
      </c>
      <c r="AA125" s="203" t="s">
        <v>42</v>
      </c>
      <c r="AB125" s="203"/>
      <c r="AC125" s="203"/>
      <c r="AD125" s="204">
        <f t="shared" si="4"/>
        <v>120</v>
      </c>
    </row>
    <row r="126" spans="1:78" ht="72">
      <c r="A126" s="55" t="s">
        <v>140</v>
      </c>
      <c r="B126" s="51" t="s">
        <v>141</v>
      </c>
      <c r="C126" s="12" t="s">
        <v>744</v>
      </c>
      <c r="D126" s="33" t="s">
        <v>797</v>
      </c>
      <c r="E126" s="33" t="s">
        <v>798</v>
      </c>
      <c r="F126" s="33" t="s">
        <v>799</v>
      </c>
      <c r="G126" s="32"/>
      <c r="H126" s="19" t="s">
        <v>800</v>
      </c>
      <c r="I126" s="33" t="s">
        <v>801</v>
      </c>
      <c r="J126" s="19"/>
      <c r="K126" s="32"/>
      <c r="L126" s="73"/>
      <c r="M126" s="73"/>
      <c r="N126" s="205" t="s">
        <v>802</v>
      </c>
      <c r="O126" s="205" t="s">
        <v>803</v>
      </c>
      <c r="P126" s="203" t="s">
        <v>164</v>
      </c>
      <c r="Q126" s="203" t="str">
        <f>BRD_EPIC2[[#This Row],[system type]]&amp;BRD_EPIC2[[#This Row],[system type2]]</f>
        <v>Android &amp; Back-End &amp; QA &amp; PM &amp; DM &amp; UI</v>
      </c>
      <c r="R126" s="203" t="s">
        <v>2239</v>
      </c>
      <c r="S126" s="203"/>
      <c r="T126" s="203"/>
      <c r="U126" s="203">
        <v>4</v>
      </c>
      <c r="V126" s="203">
        <f>$U126*DE_Cost!$B$1*8</f>
        <v>38.4</v>
      </c>
      <c r="W126" s="204">
        <f>$U126*DE_Cost!$B$1</f>
        <v>4.8</v>
      </c>
      <c r="X126" s="204"/>
      <c r="Y126" s="204"/>
      <c r="Z126" s="204">
        <f t="shared" si="3"/>
        <v>6</v>
      </c>
      <c r="AA126" s="203" t="s">
        <v>42</v>
      </c>
      <c r="AB126" s="203"/>
      <c r="AC126" s="203"/>
      <c r="AD126" s="204">
        <f t="shared" si="4"/>
        <v>24</v>
      </c>
    </row>
    <row r="127" spans="1:78" ht="72">
      <c r="A127" s="55" t="s">
        <v>140</v>
      </c>
      <c r="B127" s="51" t="s">
        <v>141</v>
      </c>
      <c r="C127" s="12" t="s">
        <v>744</v>
      </c>
      <c r="D127" s="12" t="s">
        <v>804</v>
      </c>
      <c r="E127" s="12" t="s">
        <v>805</v>
      </c>
      <c r="F127" s="12" t="s">
        <v>806</v>
      </c>
      <c r="G127" s="32"/>
      <c r="H127" s="19" t="s">
        <v>807</v>
      </c>
      <c r="I127" s="12" t="s">
        <v>808</v>
      </c>
      <c r="J127" s="19"/>
      <c r="K127" s="32"/>
      <c r="L127" s="73"/>
      <c r="M127" s="73"/>
      <c r="N127" s="205" t="s">
        <v>809</v>
      </c>
      <c r="O127" s="205" t="s">
        <v>810</v>
      </c>
      <c r="P127" s="203" t="s">
        <v>164</v>
      </c>
      <c r="Q127" s="203" t="str">
        <f>BRD_EPIC2[[#This Row],[system type]]&amp;BRD_EPIC2[[#This Row],[system type2]]</f>
        <v>Android &amp; Back-End &amp; QA &amp; PM &amp; DM &amp; UI</v>
      </c>
      <c r="R127" s="203" t="s">
        <v>2239</v>
      </c>
      <c r="S127" s="203" t="s">
        <v>811</v>
      </c>
      <c r="T127" s="203"/>
      <c r="U127" s="203">
        <v>10</v>
      </c>
      <c r="V127" s="203">
        <f>$U127*DE_Cost!$B$1*8</f>
        <v>96</v>
      </c>
      <c r="W127" s="204">
        <f>$U127*DE_Cost!$B$1</f>
        <v>12</v>
      </c>
      <c r="X127" s="204"/>
      <c r="Y127" s="204"/>
      <c r="Z127" s="204">
        <f t="shared" si="3"/>
        <v>6</v>
      </c>
      <c r="AA127" s="203" t="s">
        <v>42</v>
      </c>
      <c r="AB127" s="203"/>
      <c r="AC127" s="203"/>
      <c r="AD127" s="204">
        <f t="shared" si="4"/>
        <v>60</v>
      </c>
    </row>
    <row r="128" spans="1:78" ht="72">
      <c r="A128" s="55" t="s">
        <v>140</v>
      </c>
      <c r="B128" s="51" t="s">
        <v>141</v>
      </c>
      <c r="C128" s="12" t="s">
        <v>744</v>
      </c>
      <c r="D128" s="12" t="s">
        <v>812</v>
      </c>
      <c r="E128" s="12" t="s">
        <v>813</v>
      </c>
      <c r="F128" s="215" t="s">
        <v>814</v>
      </c>
      <c r="G128" s="32"/>
      <c r="H128" s="19" t="s">
        <v>815</v>
      </c>
      <c r="I128" s="215" t="s">
        <v>816</v>
      </c>
      <c r="J128" s="19"/>
      <c r="K128" s="32"/>
      <c r="L128" s="73"/>
      <c r="M128" s="73"/>
      <c r="N128" s="205" t="s">
        <v>817</v>
      </c>
      <c r="O128" s="205" t="s">
        <v>818</v>
      </c>
      <c r="P128" s="203" t="s">
        <v>258</v>
      </c>
      <c r="Q128" s="203" t="str">
        <f>BRD_EPIC2[[#This Row],[system type]]&amp;BRD_EPIC2[[#This Row],[system type2]]</f>
        <v>Front-End &amp; Back-End &amp; QA &amp; PM &amp; DM &amp; UI</v>
      </c>
      <c r="R128" s="203" t="s">
        <v>2239</v>
      </c>
      <c r="S128" s="203"/>
      <c r="T128" s="203"/>
      <c r="U128" s="203">
        <v>10</v>
      </c>
      <c r="V128" s="203">
        <f>$U128*DE_Cost!$B$1*8</f>
        <v>96</v>
      </c>
      <c r="W128" s="204">
        <f>$U128*DE_Cost!$B$1</f>
        <v>12</v>
      </c>
      <c r="X128" s="204"/>
      <c r="Y128" s="204"/>
      <c r="Z128" s="204">
        <f t="shared" si="3"/>
        <v>6</v>
      </c>
      <c r="AA128" s="203" t="s">
        <v>150</v>
      </c>
      <c r="AB128" s="203" t="s">
        <v>819</v>
      </c>
      <c r="AC128" s="203">
        <v>1103</v>
      </c>
      <c r="AD128" s="204">
        <f t="shared" si="4"/>
        <v>60</v>
      </c>
    </row>
    <row r="129" spans="1:30" ht="72">
      <c r="A129" s="55" t="s">
        <v>140</v>
      </c>
      <c r="B129" s="51" t="s">
        <v>141</v>
      </c>
      <c r="C129" s="12" t="s">
        <v>744</v>
      </c>
      <c r="D129" s="33" t="s">
        <v>820</v>
      </c>
      <c r="E129" s="33" t="s">
        <v>821</v>
      </c>
      <c r="F129" s="33" t="s">
        <v>822</v>
      </c>
      <c r="G129" s="32"/>
      <c r="H129" s="19" t="s">
        <v>823</v>
      </c>
      <c r="I129" s="33" t="s">
        <v>824</v>
      </c>
      <c r="J129" s="19"/>
      <c r="K129" s="32"/>
      <c r="L129" s="73"/>
      <c r="M129" s="73"/>
      <c r="N129" s="205" t="s">
        <v>825</v>
      </c>
      <c r="O129" s="205" t="s">
        <v>826</v>
      </c>
      <c r="P129" s="203" t="s">
        <v>164</v>
      </c>
      <c r="Q129" s="203" t="str">
        <f>BRD_EPIC2[[#This Row],[system type]]&amp;BRD_EPIC2[[#This Row],[system type2]]</f>
        <v>Android &amp; Back-End &amp; QA &amp; PM &amp; DM &amp; UI</v>
      </c>
      <c r="R129" s="203" t="s">
        <v>2239</v>
      </c>
      <c r="S129" s="203"/>
      <c r="T129" s="203"/>
      <c r="U129" s="203">
        <v>9</v>
      </c>
      <c r="V129" s="203">
        <f>$U129*DE_Cost!$B$1*8</f>
        <v>86.399999999999991</v>
      </c>
      <c r="W129" s="204">
        <f>$U129*DE_Cost!$B$1</f>
        <v>10.799999999999999</v>
      </c>
      <c r="X129" s="204"/>
      <c r="Y129" s="204"/>
      <c r="Z129" s="204">
        <f t="shared" si="3"/>
        <v>6</v>
      </c>
      <c r="AA129" s="203" t="s">
        <v>42</v>
      </c>
      <c r="AB129" s="203"/>
      <c r="AC129" s="203"/>
      <c r="AD129" s="204">
        <f t="shared" si="4"/>
        <v>54</v>
      </c>
    </row>
    <row r="130" spans="1:30" ht="72">
      <c r="A130" s="55" t="s">
        <v>140</v>
      </c>
      <c r="B130" s="51" t="s">
        <v>141</v>
      </c>
      <c r="C130" s="12" t="s">
        <v>744</v>
      </c>
      <c r="D130" s="12" t="s">
        <v>827</v>
      </c>
      <c r="E130" s="12" t="s">
        <v>828</v>
      </c>
      <c r="F130" s="12"/>
      <c r="G130" s="32"/>
      <c r="H130" s="19" t="s">
        <v>829</v>
      </c>
      <c r="I130" s="12"/>
      <c r="J130" s="19"/>
      <c r="K130" s="32"/>
      <c r="L130" s="73"/>
      <c r="M130" s="73"/>
      <c r="N130" s="205" t="s">
        <v>830</v>
      </c>
      <c r="O130" s="205" t="s">
        <v>831</v>
      </c>
      <c r="P130" s="203" t="s">
        <v>455</v>
      </c>
      <c r="Q130" s="203" t="str">
        <f>BRD_EPIC2[[#This Row],[system type]]&amp;BRD_EPIC2[[#This Row],[system type2]]</f>
        <v>Android &amp; QA &amp; PM &amp; DM &amp; UI</v>
      </c>
      <c r="R130" s="203" t="s">
        <v>2239</v>
      </c>
      <c r="S130" s="203" t="s">
        <v>832</v>
      </c>
      <c r="T130" s="203"/>
      <c r="U130" s="203">
        <v>15</v>
      </c>
      <c r="V130" s="203">
        <f>$U130*DE_Cost!$B$1*8</f>
        <v>144</v>
      </c>
      <c r="W130" s="204">
        <f>$U130*DE_Cost!$B$1</f>
        <v>18</v>
      </c>
      <c r="X130" s="204"/>
      <c r="Y130" s="204"/>
      <c r="Z130" s="204">
        <f t="shared" si="3"/>
        <v>5</v>
      </c>
      <c r="AA130" s="203" t="s">
        <v>42</v>
      </c>
      <c r="AB130" s="203"/>
      <c r="AC130" s="203">
        <v>1103</v>
      </c>
      <c r="AD130" s="204">
        <f t="shared" si="4"/>
        <v>75</v>
      </c>
    </row>
    <row r="131" spans="1:30" ht="72">
      <c r="A131" s="55" t="s">
        <v>140</v>
      </c>
      <c r="B131" s="51" t="s">
        <v>141</v>
      </c>
      <c r="C131" s="12" t="s">
        <v>744</v>
      </c>
      <c r="D131" s="12" t="s">
        <v>833</v>
      </c>
      <c r="E131" s="12" t="s">
        <v>834</v>
      </c>
      <c r="F131" s="12"/>
      <c r="G131" s="32"/>
      <c r="H131" s="19" t="s">
        <v>835</v>
      </c>
      <c r="I131" s="12"/>
      <c r="J131" s="19"/>
      <c r="K131" s="32"/>
      <c r="L131" s="73"/>
      <c r="M131" s="73"/>
      <c r="N131" s="205" t="s">
        <v>830</v>
      </c>
      <c r="O131" s="205" t="s">
        <v>836</v>
      </c>
      <c r="P131" s="203" t="s">
        <v>455</v>
      </c>
      <c r="Q131" s="203" t="str">
        <f>BRD_EPIC2[[#This Row],[system type]]&amp;BRD_EPIC2[[#This Row],[system type2]]</f>
        <v>Android &amp; QA &amp; PM &amp; DM &amp; UI</v>
      </c>
      <c r="R131" s="203" t="s">
        <v>2239</v>
      </c>
      <c r="S131" s="203" t="s">
        <v>832</v>
      </c>
      <c r="T131" s="203"/>
      <c r="U131" s="203">
        <v>15</v>
      </c>
      <c r="V131" s="203">
        <f>$U131*DE_Cost!$B$1*8</f>
        <v>144</v>
      </c>
      <c r="W131" s="204">
        <f>$U131*DE_Cost!$B$1</f>
        <v>18</v>
      </c>
      <c r="X131" s="204"/>
      <c r="Y131" s="204"/>
      <c r="Z131" s="204">
        <f t="shared" si="3"/>
        <v>5</v>
      </c>
      <c r="AA131" s="203" t="s">
        <v>42</v>
      </c>
      <c r="AB131" s="203"/>
      <c r="AC131" s="203">
        <v>1103</v>
      </c>
      <c r="AD131" s="204">
        <f t="shared" si="4"/>
        <v>75</v>
      </c>
    </row>
    <row r="132" spans="1:30" ht="72">
      <c r="A132" s="55" t="s">
        <v>140</v>
      </c>
      <c r="B132" s="51" t="s">
        <v>141</v>
      </c>
      <c r="C132" s="12" t="s">
        <v>744</v>
      </c>
      <c r="D132" s="33" t="s">
        <v>837</v>
      </c>
      <c r="E132" s="33" t="s">
        <v>838</v>
      </c>
      <c r="F132" s="33"/>
      <c r="G132" s="32"/>
      <c r="H132" s="19" t="s">
        <v>839</v>
      </c>
      <c r="I132" s="33"/>
      <c r="J132" s="19"/>
      <c r="K132" s="32"/>
      <c r="L132" s="73"/>
      <c r="M132" s="73"/>
      <c r="N132" s="205" t="s">
        <v>830</v>
      </c>
      <c r="O132" s="205"/>
      <c r="P132" s="203" t="s">
        <v>455</v>
      </c>
      <c r="Q132" s="203" t="str">
        <f>BRD_EPIC2[[#This Row],[system type]]&amp;BRD_EPIC2[[#This Row],[system type2]]</f>
        <v>Android &amp; QA &amp; PM &amp; DM &amp; UI</v>
      </c>
      <c r="R132" s="203" t="s">
        <v>2239</v>
      </c>
      <c r="S132" s="203" t="s">
        <v>832</v>
      </c>
      <c r="T132" s="203"/>
      <c r="U132" s="203">
        <v>15</v>
      </c>
      <c r="V132" s="203">
        <f>$U132*DE_Cost!$B$1*8</f>
        <v>144</v>
      </c>
      <c r="W132" s="204">
        <f>$U132*DE_Cost!$B$1</f>
        <v>18</v>
      </c>
      <c r="X132" s="204"/>
      <c r="Y132" s="204"/>
      <c r="Z132" s="204">
        <f t="shared" si="3"/>
        <v>5</v>
      </c>
      <c r="AA132" s="203" t="s">
        <v>42</v>
      </c>
      <c r="AB132" s="203"/>
      <c r="AC132" s="203">
        <v>1103</v>
      </c>
      <c r="AD132" s="204">
        <f t="shared" si="4"/>
        <v>75</v>
      </c>
    </row>
    <row r="133" spans="1:30" ht="90">
      <c r="A133" s="55" t="s">
        <v>140</v>
      </c>
      <c r="B133" s="51" t="s">
        <v>141</v>
      </c>
      <c r="C133" s="33" t="s">
        <v>744</v>
      </c>
      <c r="D133" s="33" t="s">
        <v>840</v>
      </c>
      <c r="E133" s="33" t="s">
        <v>841</v>
      </c>
      <c r="F133" s="33" t="s">
        <v>842</v>
      </c>
      <c r="G133" s="32"/>
      <c r="H133" s="19" t="s">
        <v>843</v>
      </c>
      <c r="I133" s="33" t="s">
        <v>844</v>
      </c>
      <c r="J133" s="19"/>
      <c r="K133" s="32"/>
      <c r="L133" s="73"/>
      <c r="M133" s="73"/>
      <c r="N133" s="205" t="s">
        <v>845</v>
      </c>
      <c r="O133" s="205" t="s">
        <v>846</v>
      </c>
      <c r="P133" s="203" t="s">
        <v>321</v>
      </c>
      <c r="Q133" s="203" t="str">
        <f>BRD_EPIC2[[#This Row],[system type]]&amp;BRD_EPIC2[[#This Row],[system type2]]</f>
        <v>Android &amp; Front-End &amp; Back-End &amp; QA &amp; PM &amp; DM &amp; UI</v>
      </c>
      <c r="R133" s="203" t="s">
        <v>2239</v>
      </c>
      <c r="S133" s="203"/>
      <c r="T133" s="203"/>
      <c r="U133" s="203">
        <v>21</v>
      </c>
      <c r="V133" s="203">
        <f>$U133*DE_Cost!$B$1*8</f>
        <v>201.6</v>
      </c>
      <c r="W133" s="204">
        <f>$U133*DE_Cost!$B$1</f>
        <v>25.2</v>
      </c>
      <c r="X133" s="204"/>
      <c r="Y133" s="204"/>
      <c r="Z133" s="204">
        <f t="shared" si="3"/>
        <v>7</v>
      </c>
      <c r="AA133" s="203" t="s">
        <v>150</v>
      </c>
      <c r="AB133" s="203" t="s">
        <v>847</v>
      </c>
      <c r="AC133" s="203"/>
      <c r="AD133" s="204">
        <f t="shared" si="4"/>
        <v>147</v>
      </c>
    </row>
    <row r="134" spans="1:30" ht="84" customHeight="1">
      <c r="A134" s="55" t="s">
        <v>140</v>
      </c>
      <c r="B134" s="51" t="s">
        <v>141</v>
      </c>
      <c r="C134" s="12" t="s">
        <v>744</v>
      </c>
      <c r="D134" s="12" t="s">
        <v>848</v>
      </c>
      <c r="E134" s="12" t="s">
        <v>849</v>
      </c>
      <c r="F134" s="12" t="s">
        <v>850</v>
      </c>
      <c r="G134" s="32"/>
      <c r="H134" s="19" t="s">
        <v>851</v>
      </c>
      <c r="I134" s="12" t="s">
        <v>852</v>
      </c>
      <c r="J134" s="19"/>
      <c r="K134" s="32"/>
      <c r="L134" s="73"/>
      <c r="M134" s="73"/>
      <c r="N134" s="205" t="s">
        <v>853</v>
      </c>
      <c r="O134" s="205" t="s">
        <v>854</v>
      </c>
      <c r="P134" s="203" t="s">
        <v>321</v>
      </c>
      <c r="Q134" s="203" t="str">
        <f>BRD_EPIC2[[#This Row],[system type]]&amp;BRD_EPIC2[[#This Row],[system type2]]</f>
        <v>Android &amp; Front-End &amp; Back-End &amp; QA &amp; PM &amp; DM &amp; UI</v>
      </c>
      <c r="R134" s="203" t="s">
        <v>2239</v>
      </c>
      <c r="S134" s="203"/>
      <c r="T134" s="203"/>
      <c r="U134" s="203">
        <v>20</v>
      </c>
      <c r="V134" s="203">
        <f>$U134*DE_Cost!$B$1*8</f>
        <v>192</v>
      </c>
      <c r="W134" s="204">
        <f>$U134*DE_Cost!$B$1</f>
        <v>24</v>
      </c>
      <c r="X134" s="204"/>
      <c r="Y134" s="204"/>
      <c r="Z134" s="204">
        <f t="shared" si="3"/>
        <v>7</v>
      </c>
      <c r="AA134" s="203" t="s">
        <v>150</v>
      </c>
      <c r="AB134" s="203" t="s">
        <v>847</v>
      </c>
      <c r="AC134" s="203"/>
      <c r="AD134" s="204">
        <f t="shared" si="4"/>
        <v>140</v>
      </c>
    </row>
    <row r="135" spans="1:30" ht="106" customHeight="1">
      <c r="A135" s="55" t="s">
        <v>140</v>
      </c>
      <c r="B135" s="51" t="s">
        <v>141</v>
      </c>
      <c r="C135" s="12" t="s">
        <v>744</v>
      </c>
      <c r="D135" s="33" t="s">
        <v>855</v>
      </c>
      <c r="E135" s="33" t="s">
        <v>856</v>
      </c>
      <c r="F135" s="33" t="s">
        <v>857</v>
      </c>
      <c r="G135" s="32"/>
      <c r="H135" s="19" t="s">
        <v>858</v>
      </c>
      <c r="I135" s="33" t="s">
        <v>859</v>
      </c>
      <c r="J135" s="19"/>
      <c r="K135" s="32"/>
      <c r="L135" s="73"/>
      <c r="M135" s="73"/>
      <c r="N135" s="205"/>
      <c r="O135" s="205" t="s">
        <v>860</v>
      </c>
      <c r="P135" s="203" t="s">
        <v>321</v>
      </c>
      <c r="Q135" s="203" t="str">
        <f>BRD_EPIC2[[#This Row],[system type]]&amp;BRD_EPIC2[[#This Row],[system type2]]</f>
        <v>Android &amp; Front-End &amp; Back-End &amp; QA &amp; PM &amp; DM &amp; UI</v>
      </c>
      <c r="R135" s="203" t="s">
        <v>2239</v>
      </c>
      <c r="S135" s="203"/>
      <c r="T135" s="203"/>
      <c r="U135" s="203">
        <v>20</v>
      </c>
      <c r="V135" s="203">
        <f>$U135*DE_Cost!$B$1*8</f>
        <v>192</v>
      </c>
      <c r="W135" s="204">
        <f>$U135*DE_Cost!$B$1</f>
        <v>24</v>
      </c>
      <c r="X135" s="204"/>
      <c r="Y135" s="204"/>
      <c r="Z135" s="204">
        <f t="shared" si="3"/>
        <v>7</v>
      </c>
      <c r="AA135" s="203" t="s">
        <v>150</v>
      </c>
      <c r="AB135" s="203" t="s">
        <v>847</v>
      </c>
      <c r="AC135" s="203"/>
      <c r="AD135" s="204">
        <f t="shared" si="4"/>
        <v>140</v>
      </c>
    </row>
    <row r="136" spans="1:30" ht="88" customHeight="1">
      <c r="A136" s="55" t="s">
        <v>140</v>
      </c>
      <c r="B136" s="51" t="s">
        <v>141</v>
      </c>
      <c r="C136" s="12" t="s">
        <v>861</v>
      </c>
      <c r="D136" s="12" t="s">
        <v>862</v>
      </c>
      <c r="E136" s="12" t="s">
        <v>863</v>
      </c>
      <c r="F136" s="12" t="s">
        <v>864</v>
      </c>
      <c r="G136" s="32" t="s">
        <v>865</v>
      </c>
      <c r="H136" s="19" t="s">
        <v>866</v>
      </c>
      <c r="I136" s="12" t="s">
        <v>867</v>
      </c>
      <c r="J136" s="19" t="s">
        <v>868</v>
      </c>
      <c r="K136" s="32" t="s">
        <v>869</v>
      </c>
      <c r="L136" s="73" t="s">
        <v>870</v>
      </c>
      <c r="M136" s="73" t="s">
        <v>871</v>
      </c>
      <c r="N136" s="205" t="s">
        <v>872</v>
      </c>
      <c r="O136" s="205" t="s">
        <v>873</v>
      </c>
      <c r="P136" s="203" t="s">
        <v>874</v>
      </c>
      <c r="Q136" s="203" t="str">
        <f>BRD_EPIC2[[#This Row],[system type]]&amp;BRD_EPIC2[[#This Row],[system type2]]</f>
        <v xml:space="preserve"> Back-End&amp; QA &amp; PM &amp; DM</v>
      </c>
      <c r="R136" s="203" t="s">
        <v>2243</v>
      </c>
      <c r="S136" s="203"/>
      <c r="T136" s="203"/>
      <c r="U136" s="203">
        <v>20</v>
      </c>
      <c r="V136" s="203">
        <f>$U136*DE_Cost!$B$1*8</f>
        <v>192</v>
      </c>
      <c r="W136" s="204">
        <f>$U136*DE_Cost!$B$1</f>
        <v>24</v>
      </c>
      <c r="X136" s="204"/>
      <c r="Y136" s="204"/>
      <c r="Z136" s="204">
        <f t="shared" si="3"/>
        <v>4</v>
      </c>
      <c r="AA136" s="203" t="s">
        <v>150</v>
      </c>
      <c r="AB136" s="203" t="s">
        <v>875</v>
      </c>
      <c r="AC136" s="203"/>
      <c r="AD136" s="204">
        <f t="shared" si="4"/>
        <v>80</v>
      </c>
    </row>
    <row r="137" spans="1:30" ht="90">
      <c r="A137" s="56" t="s">
        <v>140</v>
      </c>
      <c r="B137" s="50" t="s">
        <v>141</v>
      </c>
      <c r="C137" s="33" t="s">
        <v>861</v>
      </c>
      <c r="D137" s="33" t="s">
        <v>876</v>
      </c>
      <c r="E137" s="33" t="s">
        <v>877</v>
      </c>
      <c r="F137" s="33" t="s">
        <v>878</v>
      </c>
      <c r="G137" s="32" t="s">
        <v>394</v>
      </c>
      <c r="H137" s="19" t="s">
        <v>879</v>
      </c>
      <c r="I137" s="33" t="s">
        <v>880</v>
      </c>
      <c r="J137" s="19" t="s">
        <v>282</v>
      </c>
      <c r="K137" s="32"/>
      <c r="L137" s="73"/>
      <c r="M137" s="73"/>
      <c r="N137" s="205" t="s">
        <v>881</v>
      </c>
      <c r="O137" s="209" t="s">
        <v>882</v>
      </c>
      <c r="P137" s="203" t="s">
        <v>258</v>
      </c>
      <c r="Q137" s="203" t="str">
        <f>BRD_EPIC2[[#This Row],[system type]]&amp;BRD_EPIC2[[#This Row],[system type2]]</f>
        <v>Front-End &amp; Back-End &amp; QA &amp; PM &amp; DM &amp; UI</v>
      </c>
      <c r="R137" s="203" t="s">
        <v>2239</v>
      </c>
      <c r="S137" s="203"/>
      <c r="T137" s="203"/>
      <c r="U137" s="203">
        <v>16</v>
      </c>
      <c r="V137" s="203">
        <f>$U137*DE_Cost!$B$1*8</f>
        <v>153.6</v>
      </c>
      <c r="W137" s="204">
        <f>$U137*DE_Cost!$B$1</f>
        <v>19.2</v>
      </c>
      <c r="X137" s="204"/>
      <c r="Y137" s="204"/>
      <c r="Z137" s="204">
        <f t="shared" si="3"/>
        <v>6</v>
      </c>
      <c r="AA137" s="203" t="s">
        <v>42</v>
      </c>
      <c r="AB137" s="203"/>
      <c r="AC137" s="203"/>
      <c r="AD137" s="204">
        <f t="shared" si="4"/>
        <v>96</v>
      </c>
    </row>
    <row r="138" spans="1:30" ht="283" customHeight="1">
      <c r="A138" s="56" t="s">
        <v>140</v>
      </c>
      <c r="B138" s="50" t="s">
        <v>141</v>
      </c>
      <c r="C138" s="33" t="s">
        <v>861</v>
      </c>
      <c r="D138" s="33" t="s">
        <v>883</v>
      </c>
      <c r="E138" s="33" t="s">
        <v>884</v>
      </c>
      <c r="F138" s="33" t="s">
        <v>885</v>
      </c>
      <c r="G138" s="32"/>
      <c r="H138" s="19" t="s">
        <v>886</v>
      </c>
      <c r="I138" s="33" t="s">
        <v>887</v>
      </c>
      <c r="J138" s="19"/>
      <c r="K138" s="32"/>
      <c r="L138" s="73"/>
      <c r="M138" s="73"/>
      <c r="N138" s="205"/>
      <c r="O138" s="205" t="s">
        <v>888</v>
      </c>
      <c r="P138" s="203" t="s">
        <v>258</v>
      </c>
      <c r="Q138" s="203" t="str">
        <f>BRD_EPIC2[[#This Row],[system type]]&amp;BRD_EPIC2[[#This Row],[system type2]]</f>
        <v>Front-End &amp; Back-End &amp; QA &amp; PM &amp; DM &amp; UI</v>
      </c>
      <c r="R138" s="203" t="s">
        <v>2239</v>
      </c>
      <c r="S138" s="203"/>
      <c r="T138" s="203"/>
      <c r="U138" s="203">
        <v>60</v>
      </c>
      <c r="V138" s="203">
        <f>$U138*DE_Cost!$B$1*8</f>
        <v>576</v>
      </c>
      <c r="W138" s="204">
        <f>$U138*DE_Cost!$B$1</f>
        <v>72</v>
      </c>
      <c r="X138" s="204"/>
      <c r="Y138" s="204"/>
      <c r="Z138" s="204">
        <f t="shared" si="3"/>
        <v>6</v>
      </c>
      <c r="AA138" s="203" t="s">
        <v>150</v>
      </c>
      <c r="AB138" s="203" t="s">
        <v>889</v>
      </c>
      <c r="AC138" s="203"/>
      <c r="AD138" s="204">
        <f t="shared" si="4"/>
        <v>360</v>
      </c>
    </row>
    <row r="139" spans="1:30" ht="72">
      <c r="A139" s="56" t="s">
        <v>140</v>
      </c>
      <c r="B139" s="50" t="s">
        <v>141</v>
      </c>
      <c r="C139" s="33" t="s">
        <v>861</v>
      </c>
      <c r="D139" s="33" t="s">
        <v>890</v>
      </c>
      <c r="E139" s="33" t="s">
        <v>891</v>
      </c>
      <c r="F139" s="33" t="s">
        <v>892</v>
      </c>
      <c r="G139" s="32"/>
      <c r="H139" s="19" t="s">
        <v>893</v>
      </c>
      <c r="I139" s="33" t="s">
        <v>894</v>
      </c>
      <c r="J139" s="19"/>
      <c r="K139" s="32"/>
      <c r="L139" s="73"/>
      <c r="M139" s="73"/>
      <c r="N139" s="205" t="s">
        <v>895</v>
      </c>
      <c r="O139" s="205" t="s">
        <v>896</v>
      </c>
      <c r="P139" s="203" t="s">
        <v>258</v>
      </c>
      <c r="Q139" s="203" t="str">
        <f>BRD_EPIC2[[#This Row],[system type]]&amp;BRD_EPIC2[[#This Row],[system type2]]</f>
        <v>Front-End &amp; Back-End &amp; QA &amp; PM &amp; DM &amp; UI</v>
      </c>
      <c r="R139" s="203" t="s">
        <v>2239</v>
      </c>
      <c r="S139" s="203"/>
      <c r="T139" s="203"/>
      <c r="U139" s="203">
        <v>10</v>
      </c>
      <c r="V139" s="203">
        <f>$U139*DE_Cost!$B$1*8</f>
        <v>96</v>
      </c>
      <c r="W139" s="204">
        <f>$U139*DE_Cost!$B$1</f>
        <v>12</v>
      </c>
      <c r="X139" s="204"/>
      <c r="Y139" s="204"/>
      <c r="Z139" s="204">
        <f t="shared" si="3"/>
        <v>6</v>
      </c>
      <c r="AA139" s="203" t="s">
        <v>42</v>
      </c>
      <c r="AB139" s="203"/>
      <c r="AC139" s="203"/>
      <c r="AD139" s="204">
        <f t="shared" si="4"/>
        <v>60</v>
      </c>
    </row>
    <row r="140" spans="1:30" ht="90">
      <c r="A140" s="56" t="s">
        <v>140</v>
      </c>
      <c r="B140" s="50" t="s">
        <v>141</v>
      </c>
      <c r="C140" s="33" t="s">
        <v>861</v>
      </c>
      <c r="D140" s="12" t="s">
        <v>897</v>
      </c>
      <c r="E140" s="12" t="s">
        <v>898</v>
      </c>
      <c r="F140" s="12" t="s">
        <v>878</v>
      </c>
      <c r="G140" s="32"/>
      <c r="H140" s="19" t="s">
        <v>899</v>
      </c>
      <c r="I140" s="12" t="s">
        <v>900</v>
      </c>
      <c r="J140" s="19"/>
      <c r="K140" s="32"/>
      <c r="L140" s="73"/>
      <c r="M140" s="73"/>
      <c r="N140" s="205" t="s">
        <v>901</v>
      </c>
      <c r="O140" s="205" t="s">
        <v>902</v>
      </c>
      <c r="P140" s="203" t="s">
        <v>258</v>
      </c>
      <c r="Q140" s="203" t="str">
        <f>BRD_EPIC2[[#This Row],[system type]]&amp;BRD_EPIC2[[#This Row],[system type2]]</f>
        <v>Front-End &amp; Back-End &amp; QA &amp; PM &amp; DM &amp; UI</v>
      </c>
      <c r="R140" s="203" t="s">
        <v>2239</v>
      </c>
      <c r="S140" s="203"/>
      <c r="T140" s="203"/>
      <c r="U140" s="203">
        <v>16</v>
      </c>
      <c r="V140" s="203">
        <f>$U140*DE_Cost!$B$1*8</f>
        <v>153.6</v>
      </c>
      <c r="W140" s="204">
        <f>$U140*DE_Cost!$B$1</f>
        <v>19.2</v>
      </c>
      <c r="X140" s="204"/>
      <c r="Y140" s="204"/>
      <c r="Z140" s="204">
        <f t="shared" si="3"/>
        <v>6</v>
      </c>
      <c r="AA140" s="203" t="s">
        <v>42</v>
      </c>
      <c r="AB140" s="203"/>
      <c r="AC140" s="203"/>
      <c r="AD140" s="204">
        <f t="shared" si="4"/>
        <v>96</v>
      </c>
    </row>
    <row r="141" spans="1:30" ht="144">
      <c r="A141" s="56" t="s">
        <v>140</v>
      </c>
      <c r="B141" s="50" t="s">
        <v>141</v>
      </c>
      <c r="C141" s="33" t="s">
        <v>903</v>
      </c>
      <c r="D141" s="12" t="s">
        <v>904</v>
      </c>
      <c r="E141" s="12" t="s">
        <v>905</v>
      </c>
      <c r="F141" s="12" t="s">
        <v>906</v>
      </c>
      <c r="G141" s="32"/>
      <c r="H141" s="19" t="s">
        <v>907</v>
      </c>
      <c r="I141" s="12" t="s">
        <v>908</v>
      </c>
      <c r="J141" s="19"/>
      <c r="K141" s="32"/>
      <c r="L141" s="73"/>
      <c r="M141" s="73"/>
      <c r="N141" s="205" t="s">
        <v>909</v>
      </c>
      <c r="O141" s="205" t="s">
        <v>910</v>
      </c>
      <c r="P141" s="203" t="s">
        <v>321</v>
      </c>
      <c r="Q141" s="203" t="str">
        <f>BRD_EPIC2[[#This Row],[system type]]&amp;BRD_EPIC2[[#This Row],[system type2]]</f>
        <v>Android &amp; Front-End &amp; Back-End &amp; QA &amp; PM &amp; DM &amp; UI</v>
      </c>
      <c r="R141" s="203" t="s">
        <v>2239</v>
      </c>
      <c r="S141" s="203"/>
      <c r="T141" s="203"/>
      <c r="U141" s="203">
        <v>13</v>
      </c>
      <c r="V141" s="203">
        <f>$U141*DE_Cost!$B$1*8</f>
        <v>124.8</v>
      </c>
      <c r="W141" s="204">
        <f>$U141*DE_Cost!$B$1</f>
        <v>15.6</v>
      </c>
      <c r="X141" s="204"/>
      <c r="Y141" s="204"/>
      <c r="Z141" s="204">
        <f t="shared" si="3"/>
        <v>7</v>
      </c>
      <c r="AA141" s="203" t="s">
        <v>42</v>
      </c>
      <c r="AB141" s="203"/>
      <c r="AC141" s="203"/>
      <c r="AD141" s="204">
        <f t="shared" si="4"/>
        <v>91</v>
      </c>
    </row>
    <row r="142" spans="1:30" ht="90">
      <c r="A142" s="56" t="s">
        <v>140</v>
      </c>
      <c r="B142" s="50" t="s">
        <v>141</v>
      </c>
      <c r="C142" s="33" t="s">
        <v>903</v>
      </c>
      <c r="D142" s="12" t="s">
        <v>911</v>
      </c>
      <c r="E142" s="12" t="s">
        <v>912</v>
      </c>
      <c r="F142" s="12" t="s">
        <v>913</v>
      </c>
      <c r="G142" s="32"/>
      <c r="H142" s="19" t="s">
        <v>914</v>
      </c>
      <c r="I142" s="12" t="s">
        <v>915</v>
      </c>
      <c r="J142" s="19"/>
      <c r="K142" s="32"/>
      <c r="L142" s="73"/>
      <c r="M142" s="73"/>
      <c r="N142" s="205" t="s">
        <v>916</v>
      </c>
      <c r="O142" s="205" t="s">
        <v>917</v>
      </c>
      <c r="P142" s="203" t="s">
        <v>321</v>
      </c>
      <c r="Q142" s="203" t="str">
        <f>BRD_EPIC2[[#This Row],[system type]]&amp;BRD_EPIC2[[#This Row],[system type2]]</f>
        <v>Android &amp; Front-End &amp; Back-End &amp; QA &amp; PM &amp; DM &amp; UI</v>
      </c>
      <c r="R142" s="203" t="s">
        <v>2239</v>
      </c>
      <c r="S142" s="203"/>
      <c r="T142" s="203"/>
      <c r="U142" s="203">
        <v>10</v>
      </c>
      <c r="V142" s="203">
        <f>$U142*DE_Cost!$B$1*8</f>
        <v>96</v>
      </c>
      <c r="W142" s="204">
        <f>$U142*DE_Cost!$B$1</f>
        <v>12</v>
      </c>
      <c r="X142" s="204"/>
      <c r="Y142" s="204"/>
      <c r="Z142" s="204">
        <f t="shared" si="3"/>
        <v>7</v>
      </c>
      <c r="AA142" s="203" t="s">
        <v>42</v>
      </c>
      <c r="AB142" s="203"/>
      <c r="AC142" s="203"/>
      <c r="AD142" s="204">
        <f t="shared" si="4"/>
        <v>70</v>
      </c>
    </row>
    <row r="143" spans="1:30" ht="90">
      <c r="A143" s="56" t="s">
        <v>140</v>
      </c>
      <c r="B143" s="50" t="s">
        <v>141</v>
      </c>
      <c r="C143" s="33" t="s">
        <v>903</v>
      </c>
      <c r="D143" s="33" t="s">
        <v>918</v>
      </c>
      <c r="E143" s="33" t="s">
        <v>919</v>
      </c>
      <c r="F143" s="33" t="s">
        <v>920</v>
      </c>
      <c r="G143" s="32"/>
      <c r="H143" s="19" t="s">
        <v>921</v>
      </c>
      <c r="I143" s="33" t="s">
        <v>922</v>
      </c>
      <c r="J143" s="19"/>
      <c r="K143" s="32"/>
      <c r="L143" s="73"/>
      <c r="M143" s="73"/>
      <c r="N143" s="205" t="s">
        <v>923</v>
      </c>
      <c r="O143" s="205" t="s">
        <v>924</v>
      </c>
      <c r="P143" s="203" t="s">
        <v>321</v>
      </c>
      <c r="Q143" s="203" t="str">
        <f>BRD_EPIC2[[#This Row],[system type]]&amp;BRD_EPIC2[[#This Row],[system type2]]</f>
        <v>Android &amp; Front-End &amp; Back-End &amp; QA &amp; PM &amp; DM &amp; UI</v>
      </c>
      <c r="R143" s="203" t="s">
        <v>2239</v>
      </c>
      <c r="S143" s="203"/>
      <c r="T143" s="203"/>
      <c r="U143" s="203">
        <v>6</v>
      </c>
      <c r="V143" s="203">
        <f>$U143*DE_Cost!$B$1*8</f>
        <v>57.599999999999994</v>
      </c>
      <c r="W143" s="204">
        <f>$U143*DE_Cost!$B$1</f>
        <v>7.1999999999999993</v>
      </c>
      <c r="X143" s="204"/>
      <c r="Y143" s="204"/>
      <c r="Z143" s="204">
        <f t="shared" si="3"/>
        <v>7</v>
      </c>
      <c r="AA143" s="203" t="s">
        <v>42</v>
      </c>
      <c r="AB143" s="203"/>
      <c r="AC143" s="203"/>
      <c r="AD143" s="204">
        <f t="shared" si="4"/>
        <v>42</v>
      </c>
    </row>
    <row r="144" spans="1:30" ht="72">
      <c r="A144" s="56" t="s">
        <v>140</v>
      </c>
      <c r="B144" s="50" t="s">
        <v>141</v>
      </c>
      <c r="C144" s="33" t="s">
        <v>903</v>
      </c>
      <c r="D144" s="12" t="s">
        <v>925</v>
      </c>
      <c r="E144" s="12" t="s">
        <v>926</v>
      </c>
      <c r="F144" s="12" t="s">
        <v>927</v>
      </c>
      <c r="G144" s="32"/>
      <c r="H144" s="19" t="s">
        <v>928</v>
      </c>
      <c r="I144" s="12" t="s">
        <v>929</v>
      </c>
      <c r="J144" s="19"/>
      <c r="K144" s="32"/>
      <c r="L144" s="73"/>
      <c r="M144" s="73"/>
      <c r="N144" s="205" t="s">
        <v>930</v>
      </c>
      <c r="O144" s="205" t="s">
        <v>931</v>
      </c>
      <c r="P144" s="203" t="s">
        <v>321</v>
      </c>
      <c r="Q144" s="203" t="str">
        <f>BRD_EPIC2[[#This Row],[system type]]&amp;BRD_EPIC2[[#This Row],[system type2]]</f>
        <v>Android &amp; Front-End &amp; Back-End &amp; QA &amp; PM &amp; DM &amp; UI</v>
      </c>
      <c r="R144" s="203" t="s">
        <v>2239</v>
      </c>
      <c r="S144" s="203"/>
      <c r="T144" s="203"/>
      <c r="U144" s="203">
        <v>2</v>
      </c>
      <c r="V144" s="203">
        <f>$U144*DE_Cost!$B$1*8</f>
        <v>19.2</v>
      </c>
      <c r="W144" s="204">
        <f>$U144*DE_Cost!$B$1</f>
        <v>2.4</v>
      </c>
      <c r="X144" s="204"/>
      <c r="Y144" s="204"/>
      <c r="Z144" s="204">
        <f t="shared" si="3"/>
        <v>7</v>
      </c>
      <c r="AA144" s="203" t="s">
        <v>42</v>
      </c>
      <c r="AB144" s="203"/>
      <c r="AC144" s="203"/>
      <c r="AD144" s="204">
        <f t="shared" si="4"/>
        <v>14</v>
      </c>
    </row>
    <row r="145" spans="1:30" ht="90">
      <c r="A145" s="56" t="s">
        <v>140</v>
      </c>
      <c r="B145" s="50" t="s">
        <v>141</v>
      </c>
      <c r="C145" s="33" t="s">
        <v>903</v>
      </c>
      <c r="D145" s="12" t="s">
        <v>932</v>
      </c>
      <c r="E145" s="12" t="s">
        <v>933</v>
      </c>
      <c r="F145" s="12" t="s">
        <v>934</v>
      </c>
      <c r="G145" s="32"/>
      <c r="H145" s="19" t="s">
        <v>935</v>
      </c>
      <c r="I145" s="12" t="s">
        <v>936</v>
      </c>
      <c r="J145" s="19"/>
      <c r="K145" s="32"/>
      <c r="L145" s="73"/>
      <c r="M145" s="73"/>
      <c r="N145" s="205" t="s">
        <v>937</v>
      </c>
      <c r="O145" s="205" t="s">
        <v>938</v>
      </c>
      <c r="P145" s="203" t="s">
        <v>321</v>
      </c>
      <c r="Q145" s="203" t="str">
        <f>BRD_EPIC2[[#This Row],[system type]]&amp;BRD_EPIC2[[#This Row],[system type2]]</f>
        <v>Android &amp; Front-End &amp; Back-End &amp; QA &amp; PM &amp; DM &amp; UI</v>
      </c>
      <c r="R145" s="203" t="s">
        <v>2239</v>
      </c>
      <c r="S145" s="203"/>
      <c r="T145" s="203"/>
      <c r="U145" s="203">
        <v>15</v>
      </c>
      <c r="V145" s="203">
        <f>$U145*DE_Cost!$B$1*8</f>
        <v>144</v>
      </c>
      <c r="W145" s="204">
        <f>$U145*DE_Cost!$B$1</f>
        <v>18</v>
      </c>
      <c r="X145" s="204"/>
      <c r="Y145" s="204"/>
      <c r="Z145" s="204">
        <f t="shared" si="3"/>
        <v>7</v>
      </c>
      <c r="AA145" s="203" t="s">
        <v>42</v>
      </c>
      <c r="AB145" s="203"/>
      <c r="AC145" s="203"/>
      <c r="AD145" s="204">
        <f t="shared" si="4"/>
        <v>105</v>
      </c>
    </row>
    <row r="146" spans="1:30" ht="90">
      <c r="A146" s="56" t="s">
        <v>140</v>
      </c>
      <c r="B146" s="50" t="s">
        <v>141</v>
      </c>
      <c r="C146" s="33" t="s">
        <v>903</v>
      </c>
      <c r="D146" s="12" t="s">
        <v>939</v>
      </c>
      <c r="E146" s="12" t="s">
        <v>940</v>
      </c>
      <c r="F146" s="12" t="s">
        <v>941</v>
      </c>
      <c r="G146" s="32"/>
      <c r="H146" s="19" t="s">
        <v>942</v>
      </c>
      <c r="I146" s="12" t="s">
        <v>943</v>
      </c>
      <c r="J146" s="19"/>
      <c r="K146" s="32"/>
      <c r="L146" s="73"/>
      <c r="M146" s="73"/>
      <c r="N146" s="205" t="s">
        <v>944</v>
      </c>
      <c r="O146" s="205" t="s">
        <v>945</v>
      </c>
      <c r="P146" s="203" t="s">
        <v>321</v>
      </c>
      <c r="Q146" s="203" t="str">
        <f>BRD_EPIC2[[#This Row],[system type]]&amp;BRD_EPIC2[[#This Row],[system type2]]</f>
        <v>Android &amp; Front-End &amp; Back-End &amp; QA &amp; PM &amp; DM &amp; UI</v>
      </c>
      <c r="R146" s="203" t="s">
        <v>2239</v>
      </c>
      <c r="S146" s="203"/>
      <c r="T146" s="203"/>
      <c r="U146" s="203">
        <v>7</v>
      </c>
      <c r="V146" s="203">
        <f>$U146*DE_Cost!$B$1*8</f>
        <v>67.2</v>
      </c>
      <c r="W146" s="204">
        <f>$U146*DE_Cost!$B$1</f>
        <v>8.4</v>
      </c>
      <c r="X146" s="204"/>
      <c r="Y146" s="204"/>
      <c r="Z146" s="204">
        <f t="shared" si="3"/>
        <v>7</v>
      </c>
      <c r="AA146" s="203" t="s">
        <v>42</v>
      </c>
      <c r="AB146" s="203"/>
      <c r="AC146" s="203"/>
      <c r="AD146" s="204">
        <f t="shared" si="4"/>
        <v>49</v>
      </c>
    </row>
    <row r="147" spans="1:30" ht="90">
      <c r="A147" s="56" t="s">
        <v>140</v>
      </c>
      <c r="B147" s="50" t="s">
        <v>141</v>
      </c>
      <c r="C147" s="33" t="s">
        <v>903</v>
      </c>
      <c r="D147" s="33" t="s">
        <v>946</v>
      </c>
      <c r="E147" s="33" t="s">
        <v>947</v>
      </c>
      <c r="F147" s="33" t="s">
        <v>948</v>
      </c>
      <c r="G147" s="32"/>
      <c r="H147" s="19" t="s">
        <v>949</v>
      </c>
      <c r="I147" s="33" t="s">
        <v>950</v>
      </c>
      <c r="J147" s="19"/>
      <c r="K147" s="32"/>
      <c r="L147" s="73"/>
      <c r="M147" s="73"/>
      <c r="N147" s="205" t="s">
        <v>951</v>
      </c>
      <c r="O147" s="205" t="s">
        <v>952</v>
      </c>
      <c r="P147" s="203" t="s">
        <v>321</v>
      </c>
      <c r="Q147" s="203" t="str">
        <f>BRD_EPIC2[[#This Row],[system type]]&amp;BRD_EPIC2[[#This Row],[system type2]]</f>
        <v>Android &amp; Front-End &amp; Back-End &amp; QA &amp; PM &amp; DM &amp; UI</v>
      </c>
      <c r="R147" s="203" t="s">
        <v>2239</v>
      </c>
      <c r="S147" s="203"/>
      <c r="T147" s="203"/>
      <c r="U147" s="203">
        <v>6</v>
      </c>
      <c r="V147" s="203">
        <f>$U147*DE_Cost!$B$1*8</f>
        <v>57.599999999999994</v>
      </c>
      <c r="W147" s="204">
        <f>$U147*DE_Cost!$B$1</f>
        <v>7.1999999999999993</v>
      </c>
      <c r="X147" s="204"/>
      <c r="Y147" s="204"/>
      <c r="Z147" s="204">
        <f t="shared" si="3"/>
        <v>7</v>
      </c>
      <c r="AA147" s="203" t="s">
        <v>42</v>
      </c>
      <c r="AB147" s="203"/>
      <c r="AC147" s="203"/>
      <c r="AD147" s="204">
        <f t="shared" si="4"/>
        <v>42</v>
      </c>
    </row>
    <row r="148" spans="1:30" ht="90">
      <c r="A148" s="56" t="s">
        <v>140</v>
      </c>
      <c r="B148" s="50" t="s">
        <v>141</v>
      </c>
      <c r="C148" s="33" t="s">
        <v>903</v>
      </c>
      <c r="D148" s="33" t="s">
        <v>953</v>
      </c>
      <c r="E148" s="33" t="s">
        <v>954</v>
      </c>
      <c r="F148" s="33" t="s">
        <v>955</v>
      </c>
      <c r="G148" s="32"/>
      <c r="H148" s="19" t="s">
        <v>956</v>
      </c>
      <c r="I148" s="33" t="s">
        <v>957</v>
      </c>
      <c r="J148" s="19"/>
      <c r="K148" s="32"/>
      <c r="L148" s="73"/>
      <c r="M148" s="73"/>
      <c r="N148" s="205" t="s">
        <v>958</v>
      </c>
      <c r="O148" s="205" t="s">
        <v>959</v>
      </c>
      <c r="P148" s="203" t="s">
        <v>321</v>
      </c>
      <c r="Q148" s="203" t="str">
        <f>BRD_EPIC2[[#This Row],[system type]]&amp;BRD_EPIC2[[#This Row],[system type2]]</f>
        <v>Android &amp; Front-End &amp; Back-End &amp; QA &amp; PM &amp; DM &amp; UI</v>
      </c>
      <c r="R148" s="203" t="s">
        <v>2239</v>
      </c>
      <c r="S148" s="203"/>
      <c r="T148" s="203"/>
      <c r="U148" s="203">
        <v>8</v>
      </c>
      <c r="V148" s="203">
        <f>$U148*DE_Cost!$B$1*8</f>
        <v>76.8</v>
      </c>
      <c r="W148" s="204">
        <f>$U148*DE_Cost!$B$1</f>
        <v>9.6</v>
      </c>
      <c r="X148" s="204"/>
      <c r="Y148" s="204"/>
      <c r="Z148" s="204">
        <f t="shared" si="3"/>
        <v>7</v>
      </c>
      <c r="AA148" s="203" t="s">
        <v>150</v>
      </c>
      <c r="AB148" s="203" t="s">
        <v>960</v>
      </c>
      <c r="AC148" s="203"/>
      <c r="AD148" s="204">
        <f t="shared" si="4"/>
        <v>56</v>
      </c>
    </row>
    <row r="149" spans="1:30" ht="90">
      <c r="A149" s="56" t="s">
        <v>140</v>
      </c>
      <c r="B149" s="50" t="s">
        <v>141</v>
      </c>
      <c r="C149" s="12" t="s">
        <v>903</v>
      </c>
      <c r="D149" s="12" t="s">
        <v>961</v>
      </c>
      <c r="E149" s="12" t="s">
        <v>962</v>
      </c>
      <c r="F149" s="12" t="s">
        <v>963</v>
      </c>
      <c r="G149" s="32"/>
      <c r="H149" s="19" t="s">
        <v>964</v>
      </c>
      <c r="I149" s="12" t="s">
        <v>965</v>
      </c>
      <c r="J149" s="19"/>
      <c r="K149" s="32"/>
      <c r="L149" s="73"/>
      <c r="M149" s="73"/>
      <c r="N149" s="205"/>
      <c r="O149" s="205" t="s">
        <v>966</v>
      </c>
      <c r="P149" s="203" t="s">
        <v>258</v>
      </c>
      <c r="Q149" s="203" t="str">
        <f>BRD_EPIC2[[#This Row],[system type]]&amp;BRD_EPIC2[[#This Row],[system type2]]</f>
        <v>Front-End &amp; Back-End &amp; QA &amp; PM &amp; DM &amp; UI</v>
      </c>
      <c r="R149" s="203" t="s">
        <v>2239</v>
      </c>
      <c r="S149" s="203"/>
      <c r="T149" s="203"/>
      <c r="U149" s="203">
        <v>5</v>
      </c>
      <c r="V149" s="203">
        <f>$U149*DE_Cost!$B$1*8</f>
        <v>48</v>
      </c>
      <c r="W149" s="204">
        <f>$U149*DE_Cost!$B$1</f>
        <v>6</v>
      </c>
      <c r="X149" s="204"/>
      <c r="Y149" s="204"/>
      <c r="Z149" s="204">
        <f t="shared" si="3"/>
        <v>6</v>
      </c>
      <c r="AA149" s="203" t="s">
        <v>150</v>
      </c>
      <c r="AB149" s="203" t="s">
        <v>967</v>
      </c>
      <c r="AC149" s="203"/>
      <c r="AD149" s="204">
        <f t="shared" si="4"/>
        <v>30</v>
      </c>
    </row>
    <row r="150" spans="1:30" ht="90">
      <c r="A150" s="56" t="s">
        <v>140</v>
      </c>
      <c r="B150" s="50" t="s">
        <v>141</v>
      </c>
      <c r="C150" s="12" t="s">
        <v>968</v>
      </c>
      <c r="D150" s="12" t="s">
        <v>969</v>
      </c>
      <c r="E150" s="12" t="s">
        <v>970</v>
      </c>
      <c r="F150" s="12" t="s">
        <v>971</v>
      </c>
      <c r="G150" s="32" t="s">
        <v>972</v>
      </c>
      <c r="H150" s="19" t="s">
        <v>973</v>
      </c>
      <c r="I150" s="12" t="s">
        <v>974</v>
      </c>
      <c r="J150" s="19"/>
      <c r="K150" s="32"/>
      <c r="L150" s="73"/>
      <c r="M150" s="73"/>
      <c r="N150" s="205" t="s">
        <v>975</v>
      </c>
      <c r="O150" s="205" t="s">
        <v>976</v>
      </c>
      <c r="P150" s="203" t="s">
        <v>321</v>
      </c>
      <c r="Q150" s="203" t="str">
        <f>BRD_EPIC2[[#This Row],[system type]]&amp;BRD_EPIC2[[#This Row],[system type2]]</f>
        <v>Android &amp; Front-End &amp; Back-End &amp; QA &amp; PM &amp; DM &amp; UI</v>
      </c>
      <c r="R150" s="203" t="s">
        <v>2239</v>
      </c>
      <c r="S150" s="203"/>
      <c r="T150" s="203"/>
      <c r="U150" s="203">
        <v>20</v>
      </c>
      <c r="V150" s="203">
        <f>$U150*DE_Cost!$B$1*8</f>
        <v>192</v>
      </c>
      <c r="W150" s="204">
        <f>$U150*DE_Cost!$B$1</f>
        <v>24</v>
      </c>
      <c r="X150" s="204"/>
      <c r="Y150" s="204"/>
      <c r="Z150" s="204">
        <f t="shared" si="3"/>
        <v>7</v>
      </c>
      <c r="AA150" s="203" t="s">
        <v>150</v>
      </c>
      <c r="AB150" s="203" t="s">
        <v>977</v>
      </c>
      <c r="AC150" s="203"/>
      <c r="AD150" s="204">
        <f t="shared" si="4"/>
        <v>140</v>
      </c>
    </row>
    <row r="151" spans="1:30" ht="60" customHeight="1">
      <c r="A151" s="55" t="s">
        <v>140</v>
      </c>
      <c r="B151" s="51" t="s">
        <v>141</v>
      </c>
      <c r="C151" s="12" t="s">
        <v>968</v>
      </c>
      <c r="D151" s="12" t="s">
        <v>978</v>
      </c>
      <c r="E151" s="12" t="s">
        <v>979</v>
      </c>
      <c r="F151" s="12" t="s">
        <v>980</v>
      </c>
      <c r="G151" s="32"/>
      <c r="H151" s="19" t="s">
        <v>981</v>
      </c>
      <c r="I151" s="12" t="s">
        <v>982</v>
      </c>
      <c r="J151" s="19"/>
      <c r="K151" s="32"/>
      <c r="L151" s="73"/>
      <c r="M151" s="73"/>
      <c r="N151" s="205" t="s">
        <v>983</v>
      </c>
      <c r="O151" s="205" t="s">
        <v>984</v>
      </c>
      <c r="P151" s="203" t="s">
        <v>321</v>
      </c>
      <c r="Q151" s="203" t="str">
        <f>BRD_EPIC2[[#This Row],[system type]]&amp;BRD_EPIC2[[#This Row],[system type2]]</f>
        <v>Android &amp; Front-End &amp; Back-End &amp; QA &amp; PM &amp; DM &amp; UI</v>
      </c>
      <c r="R151" s="203" t="s">
        <v>2239</v>
      </c>
      <c r="S151" s="203"/>
      <c r="T151" s="203"/>
      <c r="U151" s="203">
        <v>20</v>
      </c>
      <c r="V151" s="203">
        <f>$U151*DE_Cost!$B$1*8</f>
        <v>192</v>
      </c>
      <c r="W151" s="204">
        <f>$U151*DE_Cost!$B$1</f>
        <v>24</v>
      </c>
      <c r="X151" s="204"/>
      <c r="Y151" s="204"/>
      <c r="Z151" s="204">
        <f t="shared" si="3"/>
        <v>7</v>
      </c>
      <c r="AA151" s="203" t="s">
        <v>150</v>
      </c>
      <c r="AB151" s="203" t="s">
        <v>977</v>
      </c>
      <c r="AC151" s="203"/>
      <c r="AD151" s="204">
        <f t="shared" si="4"/>
        <v>140</v>
      </c>
    </row>
    <row r="152" spans="1:30" ht="60" customHeight="1">
      <c r="A152" s="55" t="s">
        <v>140</v>
      </c>
      <c r="B152" s="51" t="s">
        <v>141</v>
      </c>
      <c r="C152" s="12" t="s">
        <v>968</v>
      </c>
      <c r="D152" s="12" t="s">
        <v>985</v>
      </c>
      <c r="E152" s="12" t="s">
        <v>986</v>
      </c>
      <c r="F152" s="12" t="s">
        <v>987</v>
      </c>
      <c r="G152" s="32"/>
      <c r="H152" s="19" t="s">
        <v>988</v>
      </c>
      <c r="I152" s="12" t="s">
        <v>989</v>
      </c>
      <c r="J152" s="19"/>
      <c r="K152" s="32"/>
      <c r="L152" s="73"/>
      <c r="M152" s="73"/>
      <c r="N152" s="205" t="s">
        <v>990</v>
      </c>
      <c r="O152" s="205" t="s">
        <v>991</v>
      </c>
      <c r="P152" s="203" t="s">
        <v>321</v>
      </c>
      <c r="Q152" s="203" t="str">
        <f>BRD_EPIC2[[#This Row],[system type]]&amp;BRD_EPIC2[[#This Row],[system type2]]</f>
        <v>Android &amp; Front-End &amp; Back-End &amp; QA &amp; PM &amp; DM &amp; UI</v>
      </c>
      <c r="R152" s="203" t="s">
        <v>2239</v>
      </c>
      <c r="S152" s="203"/>
      <c r="T152" s="203"/>
      <c r="U152" s="203">
        <v>2</v>
      </c>
      <c r="V152" s="203">
        <f>$U152*DE_Cost!$B$1*8</f>
        <v>19.2</v>
      </c>
      <c r="W152" s="204">
        <f>$U152*DE_Cost!$B$1</f>
        <v>2.4</v>
      </c>
      <c r="X152" s="204"/>
      <c r="Y152" s="204"/>
      <c r="Z152" s="204">
        <f t="shared" si="3"/>
        <v>7</v>
      </c>
      <c r="AA152" s="203" t="s">
        <v>150</v>
      </c>
      <c r="AB152" s="203" t="s">
        <v>977</v>
      </c>
      <c r="AC152" s="203"/>
      <c r="AD152" s="204">
        <f t="shared" si="4"/>
        <v>14</v>
      </c>
    </row>
    <row r="153" spans="1:30" ht="108" customHeight="1">
      <c r="A153" s="55" t="s">
        <v>140</v>
      </c>
      <c r="B153" s="51" t="s">
        <v>141</v>
      </c>
      <c r="C153" s="12" t="s">
        <v>903</v>
      </c>
      <c r="D153" s="12" t="s">
        <v>992</v>
      </c>
      <c r="E153" s="12" t="s">
        <v>993</v>
      </c>
      <c r="F153" s="12"/>
      <c r="G153" s="32"/>
      <c r="H153" s="19" t="s">
        <v>994</v>
      </c>
      <c r="I153" s="12"/>
      <c r="J153" s="19"/>
      <c r="K153" s="32"/>
      <c r="L153" s="73"/>
      <c r="M153" s="73"/>
      <c r="N153" s="205" t="s">
        <v>995</v>
      </c>
      <c r="O153" s="205" t="s">
        <v>996</v>
      </c>
      <c r="P153" s="203" t="s">
        <v>384</v>
      </c>
      <c r="Q153" s="203" t="str">
        <f>BRD_EPIC2[[#This Row],[system type]]&amp;BRD_EPIC2[[#This Row],[system type2]]</f>
        <v>Back-End&amp; QA &amp; PM &amp; DM</v>
      </c>
      <c r="R153" s="203" t="s">
        <v>2243</v>
      </c>
      <c r="S153" s="203"/>
      <c r="T153" s="203"/>
      <c r="U153" s="203">
        <v>40</v>
      </c>
      <c r="V153" s="203">
        <f>$U153*DE_Cost!$B$1*8</f>
        <v>384</v>
      </c>
      <c r="W153" s="204">
        <f>$U153*DE_Cost!$B$1</f>
        <v>48</v>
      </c>
      <c r="X153" s="204"/>
      <c r="Y153" s="204"/>
      <c r="Z153" s="204">
        <f t="shared" si="3"/>
        <v>4</v>
      </c>
      <c r="AA153" s="203" t="s">
        <v>150</v>
      </c>
      <c r="AB153" s="203" t="s">
        <v>997</v>
      </c>
      <c r="AC153" s="203"/>
      <c r="AD153" s="204">
        <f t="shared" si="4"/>
        <v>160</v>
      </c>
    </row>
    <row r="154" spans="1:30" ht="90">
      <c r="A154" s="55" t="s">
        <v>140</v>
      </c>
      <c r="B154" s="51" t="s">
        <v>141</v>
      </c>
      <c r="C154" s="12" t="s">
        <v>903</v>
      </c>
      <c r="D154" s="33" t="s">
        <v>998</v>
      </c>
      <c r="E154" s="33" t="s">
        <v>999</v>
      </c>
      <c r="F154" s="33" t="s">
        <v>1000</v>
      </c>
      <c r="G154" s="32"/>
      <c r="H154" s="19" t="s">
        <v>1001</v>
      </c>
      <c r="I154" s="33" t="s">
        <v>1002</v>
      </c>
      <c r="J154" s="19"/>
      <c r="K154" s="32"/>
      <c r="L154" s="73"/>
      <c r="M154" s="73"/>
      <c r="N154" s="205" t="s">
        <v>1003</v>
      </c>
      <c r="O154" s="205"/>
      <c r="P154" s="203" t="s">
        <v>321</v>
      </c>
      <c r="Q154" s="203" t="str">
        <f>BRD_EPIC2[[#This Row],[system type]]&amp;BRD_EPIC2[[#This Row],[system type2]]</f>
        <v>Android &amp; Front-End &amp; Back-End &amp; QA &amp; PM &amp; DM &amp; UI</v>
      </c>
      <c r="R154" s="203" t="s">
        <v>2239</v>
      </c>
      <c r="S154" s="203"/>
      <c r="T154" s="203"/>
      <c r="U154" s="203">
        <v>3</v>
      </c>
      <c r="V154" s="203">
        <f>$U154*DE_Cost!$B$1*8</f>
        <v>28.799999999999997</v>
      </c>
      <c r="W154" s="204">
        <f>$U154*DE_Cost!$B$1</f>
        <v>3.5999999999999996</v>
      </c>
      <c r="X154" s="204"/>
      <c r="Y154" s="204"/>
      <c r="Z154" s="204">
        <f t="shared" si="3"/>
        <v>7</v>
      </c>
      <c r="AA154" s="203" t="s">
        <v>150</v>
      </c>
      <c r="AB154" s="203" t="s">
        <v>1004</v>
      </c>
      <c r="AC154" s="203"/>
      <c r="AD154" s="204">
        <f t="shared" si="4"/>
        <v>21</v>
      </c>
    </row>
    <row r="155" spans="1:30" ht="72">
      <c r="A155" s="55" t="s">
        <v>140</v>
      </c>
      <c r="B155" s="51" t="s">
        <v>141</v>
      </c>
      <c r="C155" s="12" t="s">
        <v>903</v>
      </c>
      <c r="D155" s="12" t="s">
        <v>1005</v>
      </c>
      <c r="E155" s="12" t="s">
        <v>1006</v>
      </c>
      <c r="F155" s="12" t="s">
        <v>1007</v>
      </c>
      <c r="G155" s="32"/>
      <c r="H155" s="19" t="s">
        <v>1008</v>
      </c>
      <c r="I155" s="12" t="s">
        <v>1009</v>
      </c>
      <c r="J155" s="19"/>
      <c r="K155" s="32"/>
      <c r="L155" s="73"/>
      <c r="M155" s="73"/>
      <c r="N155" s="205" t="s">
        <v>1010</v>
      </c>
      <c r="O155" s="205"/>
      <c r="P155" s="203" t="s">
        <v>258</v>
      </c>
      <c r="Q155" s="203" t="str">
        <f>BRD_EPIC2[[#This Row],[system type]]&amp;BRD_EPIC2[[#This Row],[system type2]]</f>
        <v>Front-End &amp; Back-End &amp; QA &amp; PM &amp; DM &amp; UI</v>
      </c>
      <c r="R155" s="203" t="s">
        <v>2239</v>
      </c>
      <c r="S155" s="203"/>
      <c r="T155" s="203"/>
      <c r="U155" s="203">
        <v>5</v>
      </c>
      <c r="V155" s="203">
        <f>$U155*DE_Cost!$B$1*8</f>
        <v>48</v>
      </c>
      <c r="W155" s="204">
        <f>$U155*DE_Cost!$B$1</f>
        <v>6</v>
      </c>
      <c r="X155" s="204"/>
      <c r="Y155" s="204"/>
      <c r="Z155" s="204">
        <f t="shared" si="3"/>
        <v>6</v>
      </c>
      <c r="AA155" s="203" t="s">
        <v>150</v>
      </c>
      <c r="AB155" s="203" t="s">
        <v>1011</v>
      </c>
      <c r="AC155" s="203"/>
      <c r="AD155" s="204">
        <f t="shared" si="4"/>
        <v>30</v>
      </c>
    </row>
    <row r="156" spans="1:30" ht="72">
      <c r="A156" s="55" t="s">
        <v>140</v>
      </c>
      <c r="B156" s="51" t="s">
        <v>141</v>
      </c>
      <c r="C156" s="12" t="s">
        <v>903</v>
      </c>
      <c r="D156" s="12" t="s">
        <v>1012</v>
      </c>
      <c r="E156" s="12" t="s">
        <v>1013</v>
      </c>
      <c r="F156" s="12" t="s">
        <v>1014</v>
      </c>
      <c r="G156" s="32"/>
      <c r="H156" s="19" t="s">
        <v>1015</v>
      </c>
      <c r="I156" s="12" t="s">
        <v>1016</v>
      </c>
      <c r="J156" s="19"/>
      <c r="K156" s="32"/>
      <c r="L156" s="73"/>
      <c r="M156" s="73"/>
      <c r="N156" s="205" t="s">
        <v>1017</v>
      </c>
      <c r="O156" s="205"/>
      <c r="P156" s="203" t="s">
        <v>321</v>
      </c>
      <c r="Q156" s="203" t="str">
        <f>BRD_EPIC2[[#This Row],[system type]]&amp;BRD_EPIC2[[#This Row],[system type2]]</f>
        <v>Android &amp; Front-End &amp; Back-End &amp; QA &amp; PM &amp; DM &amp; UI</v>
      </c>
      <c r="R156" s="203" t="s">
        <v>2239</v>
      </c>
      <c r="S156" s="203"/>
      <c r="T156" s="203"/>
      <c r="U156" s="203">
        <v>3</v>
      </c>
      <c r="V156" s="203">
        <f>$U156*DE_Cost!$B$1*8</f>
        <v>28.799999999999997</v>
      </c>
      <c r="W156" s="204">
        <f>$U156*DE_Cost!$B$1</f>
        <v>3.5999999999999996</v>
      </c>
      <c r="X156" s="204"/>
      <c r="Y156" s="204"/>
      <c r="Z156" s="204">
        <f t="shared" si="3"/>
        <v>7</v>
      </c>
      <c r="AA156" s="203" t="s">
        <v>150</v>
      </c>
      <c r="AB156" s="203" t="s">
        <v>977</v>
      </c>
      <c r="AC156" s="203"/>
      <c r="AD156" s="204">
        <f t="shared" si="4"/>
        <v>21</v>
      </c>
    </row>
    <row r="157" spans="1:30" ht="90">
      <c r="A157" s="55" t="s">
        <v>140</v>
      </c>
      <c r="B157" s="51" t="s">
        <v>141</v>
      </c>
      <c r="C157" s="12" t="s">
        <v>1018</v>
      </c>
      <c r="D157" s="12" t="s">
        <v>1019</v>
      </c>
      <c r="E157" s="12" t="s">
        <v>1020</v>
      </c>
      <c r="F157" s="12" t="s">
        <v>1021</v>
      </c>
      <c r="G157" s="32" t="s">
        <v>1022</v>
      </c>
      <c r="H157" s="19" t="s">
        <v>1023</v>
      </c>
      <c r="I157" s="12" t="s">
        <v>1024</v>
      </c>
      <c r="J157" s="19"/>
      <c r="K157" s="32"/>
      <c r="L157" s="73"/>
      <c r="M157" s="73"/>
      <c r="N157" s="205" t="s">
        <v>1025</v>
      </c>
      <c r="O157" s="205" t="s">
        <v>1026</v>
      </c>
      <c r="P157" s="203" t="s">
        <v>258</v>
      </c>
      <c r="Q157" s="203" t="str">
        <f>BRD_EPIC2[[#This Row],[system type]]&amp;BRD_EPIC2[[#This Row],[system type2]]</f>
        <v>Front-End &amp; Back-End &amp; QA &amp; PM &amp; DM &amp; UI</v>
      </c>
      <c r="R157" s="203" t="s">
        <v>2239</v>
      </c>
      <c r="S157" s="203"/>
      <c r="T157" s="203"/>
      <c r="U157" s="203">
        <v>2</v>
      </c>
      <c r="V157" s="203">
        <f>$U157*DE_Cost!$B$1*8</f>
        <v>19.2</v>
      </c>
      <c r="W157" s="204">
        <f>$U157*DE_Cost!$B$1</f>
        <v>2.4</v>
      </c>
      <c r="X157" s="204"/>
      <c r="Y157" s="204"/>
      <c r="Z157" s="204">
        <f t="shared" si="3"/>
        <v>6</v>
      </c>
      <c r="AA157" s="203" t="s">
        <v>150</v>
      </c>
      <c r="AB157" s="203" t="s">
        <v>1027</v>
      </c>
      <c r="AC157" s="203"/>
      <c r="AD157" s="204">
        <f t="shared" si="4"/>
        <v>12</v>
      </c>
    </row>
    <row r="158" spans="1:30" ht="72">
      <c r="A158" s="55" t="s">
        <v>140</v>
      </c>
      <c r="B158" s="51" t="s">
        <v>141</v>
      </c>
      <c r="C158" s="12" t="s">
        <v>1018</v>
      </c>
      <c r="D158" s="12" t="s">
        <v>1028</v>
      </c>
      <c r="E158" s="12" t="s">
        <v>1029</v>
      </c>
      <c r="F158" s="12" t="s">
        <v>1030</v>
      </c>
      <c r="G158" s="32"/>
      <c r="H158" s="19" t="s">
        <v>1031</v>
      </c>
      <c r="I158" s="12" t="s">
        <v>1032</v>
      </c>
      <c r="J158" s="19"/>
      <c r="K158" s="32"/>
      <c r="L158" s="73"/>
      <c r="M158" s="73"/>
      <c r="N158" s="205" t="s">
        <v>1033</v>
      </c>
      <c r="O158" s="205" t="s">
        <v>1034</v>
      </c>
      <c r="P158" s="203" t="s">
        <v>1035</v>
      </c>
      <c r="Q158" s="203" t="str">
        <f>BRD_EPIC2[[#This Row],[system type]]&amp;BRD_EPIC2[[#This Row],[system type2]]</f>
        <v>Android  &amp; QA &amp; PM &amp; DM &amp; UI</v>
      </c>
      <c r="R158" s="203" t="s">
        <v>2239</v>
      </c>
      <c r="S158" s="203"/>
      <c r="T158" s="203"/>
      <c r="U158" s="203">
        <v>30</v>
      </c>
      <c r="V158" s="203">
        <f>$U158*DE_Cost!$B$1*8</f>
        <v>288</v>
      </c>
      <c r="W158" s="204">
        <f>$U158*DE_Cost!$B$1</f>
        <v>36</v>
      </c>
      <c r="X158" s="204"/>
      <c r="Y158" s="204"/>
      <c r="Z158" s="204">
        <f t="shared" si="3"/>
        <v>5</v>
      </c>
      <c r="AA158" s="203" t="s">
        <v>150</v>
      </c>
      <c r="AB158" s="203" t="s">
        <v>1036</v>
      </c>
      <c r="AC158" s="203"/>
      <c r="AD158" s="204">
        <f t="shared" si="4"/>
        <v>150</v>
      </c>
    </row>
    <row r="159" spans="1:30" ht="195" customHeight="1">
      <c r="A159" s="55" t="s">
        <v>140</v>
      </c>
      <c r="B159" s="51" t="s">
        <v>141</v>
      </c>
      <c r="C159" s="12" t="s">
        <v>1018</v>
      </c>
      <c r="D159" s="33" t="s">
        <v>1037</v>
      </c>
      <c r="E159" s="33" t="s">
        <v>1038</v>
      </c>
      <c r="F159" s="33" t="s">
        <v>1039</v>
      </c>
      <c r="G159" s="32" t="s">
        <v>1022</v>
      </c>
      <c r="H159" s="19" t="s">
        <v>1040</v>
      </c>
      <c r="I159" s="60" t="s">
        <v>1041</v>
      </c>
      <c r="J159" s="19" t="s">
        <v>1042</v>
      </c>
      <c r="K159" s="32"/>
      <c r="L159" s="73"/>
      <c r="M159" s="73" t="s">
        <v>1043</v>
      </c>
      <c r="N159" s="205" t="s">
        <v>1044</v>
      </c>
      <c r="O159" s="205" t="s">
        <v>1045</v>
      </c>
      <c r="P159" s="203" t="s">
        <v>455</v>
      </c>
      <c r="Q159" s="203" t="str">
        <f>BRD_EPIC2[[#This Row],[system type]]&amp;BRD_EPIC2[[#This Row],[system type2]]</f>
        <v>Android &amp; QA &amp; PM &amp; DM &amp; UI</v>
      </c>
      <c r="R159" s="203" t="s">
        <v>2239</v>
      </c>
      <c r="S159" s="203"/>
      <c r="T159" s="203"/>
      <c r="U159" s="203">
        <v>10</v>
      </c>
      <c r="V159" s="203">
        <f>$U159*DE_Cost!$B$1*8</f>
        <v>96</v>
      </c>
      <c r="W159" s="204">
        <f>$U159*DE_Cost!$B$1</f>
        <v>12</v>
      </c>
      <c r="X159" s="204"/>
      <c r="Y159" s="204"/>
      <c r="Z159" s="204">
        <f t="shared" si="3"/>
        <v>5</v>
      </c>
      <c r="AA159" s="203" t="s">
        <v>42</v>
      </c>
      <c r="AB159" s="203"/>
      <c r="AC159" s="203"/>
      <c r="AD159" s="204">
        <f t="shared" si="4"/>
        <v>50</v>
      </c>
    </row>
    <row r="160" spans="1:30" ht="182" customHeight="1">
      <c r="A160" s="55" t="s">
        <v>140</v>
      </c>
      <c r="B160" s="51" t="s">
        <v>141</v>
      </c>
      <c r="C160" s="12" t="s">
        <v>1018</v>
      </c>
      <c r="D160" s="33" t="s">
        <v>1046</v>
      </c>
      <c r="E160" s="33" t="s">
        <v>1047</v>
      </c>
      <c r="F160" s="33" t="s">
        <v>1048</v>
      </c>
      <c r="G160" s="32" t="s">
        <v>1022</v>
      </c>
      <c r="H160" s="19" t="s">
        <v>1049</v>
      </c>
      <c r="I160" s="33" t="s">
        <v>1050</v>
      </c>
      <c r="J160" s="19" t="s">
        <v>1051</v>
      </c>
      <c r="K160" s="32"/>
      <c r="L160" s="73"/>
      <c r="M160" s="73"/>
      <c r="N160" s="205" t="s">
        <v>1052</v>
      </c>
      <c r="O160" s="205" t="s">
        <v>1053</v>
      </c>
      <c r="P160" s="203" t="s">
        <v>321</v>
      </c>
      <c r="Q160" s="203" t="str">
        <f>BRD_EPIC2[[#This Row],[system type]]&amp;BRD_EPIC2[[#This Row],[system type2]]</f>
        <v>Android &amp; Front-End &amp; Back-End &amp; QA &amp; PM &amp; DM &amp; UI</v>
      </c>
      <c r="R160" s="203" t="s">
        <v>2239</v>
      </c>
      <c r="S160" s="203"/>
      <c r="T160" s="203"/>
      <c r="U160" s="203">
        <v>60</v>
      </c>
      <c r="V160" s="203">
        <f>$U160*DE_Cost!$B$1*8</f>
        <v>576</v>
      </c>
      <c r="W160" s="204">
        <f>$U160*DE_Cost!$B$1</f>
        <v>72</v>
      </c>
      <c r="X160" s="204"/>
      <c r="Y160" s="204"/>
      <c r="Z160" s="204">
        <f t="shared" si="3"/>
        <v>7</v>
      </c>
      <c r="AA160" s="203" t="s">
        <v>42</v>
      </c>
      <c r="AB160" s="203"/>
      <c r="AC160" s="203"/>
      <c r="AD160" s="204">
        <f t="shared" si="4"/>
        <v>420</v>
      </c>
    </row>
    <row r="161" spans="1:30" ht="90">
      <c r="A161" s="55" t="s">
        <v>140</v>
      </c>
      <c r="B161" s="51" t="s">
        <v>141</v>
      </c>
      <c r="C161" s="12" t="s">
        <v>1018</v>
      </c>
      <c r="D161" s="33" t="s">
        <v>1054</v>
      </c>
      <c r="E161" s="33" t="s">
        <v>1055</v>
      </c>
      <c r="F161" s="33" t="s">
        <v>1056</v>
      </c>
      <c r="G161" s="32"/>
      <c r="H161" s="19" t="s">
        <v>1057</v>
      </c>
      <c r="I161" s="33" t="s">
        <v>1058</v>
      </c>
      <c r="J161" s="19"/>
      <c r="K161" s="32"/>
      <c r="L161" s="73"/>
      <c r="M161" s="73"/>
      <c r="N161" s="205" t="s">
        <v>1059</v>
      </c>
      <c r="O161" s="205"/>
      <c r="P161" s="203" t="s">
        <v>1060</v>
      </c>
      <c r="Q161" s="203" t="str">
        <f>BRD_EPIC2[[#This Row],[system type]]&amp;BRD_EPIC2[[#This Row],[system type2]]</f>
        <v>Android &amp; Front-End &amp; QA &amp; PM &amp; DM &amp; UI</v>
      </c>
      <c r="R161" s="203" t="s">
        <v>2239</v>
      </c>
      <c r="S161" s="203"/>
      <c r="T161" s="203"/>
      <c r="U161" s="203">
        <v>30</v>
      </c>
      <c r="V161" s="203">
        <f>$U161*DE_Cost!$B$1*8</f>
        <v>288</v>
      </c>
      <c r="W161" s="204">
        <f>$U161*DE_Cost!$B$1</f>
        <v>36</v>
      </c>
      <c r="X161" s="204"/>
      <c r="Y161" s="204"/>
      <c r="Z161" s="204">
        <f t="shared" si="3"/>
        <v>6</v>
      </c>
      <c r="AA161" s="203" t="s">
        <v>150</v>
      </c>
      <c r="AB161" s="203" t="s">
        <v>1061</v>
      </c>
      <c r="AC161" s="203"/>
      <c r="AD161" s="204">
        <f t="shared" si="4"/>
        <v>180</v>
      </c>
    </row>
    <row r="162" spans="1:30" ht="72">
      <c r="A162" s="55" t="s">
        <v>140</v>
      </c>
      <c r="B162" s="51" t="s">
        <v>141</v>
      </c>
      <c r="C162" s="12" t="s">
        <v>1018</v>
      </c>
      <c r="D162" s="33" t="s">
        <v>1062</v>
      </c>
      <c r="E162" s="33" t="s">
        <v>1063</v>
      </c>
      <c r="F162" s="33"/>
      <c r="G162" s="32"/>
      <c r="H162" s="19" t="s">
        <v>1064</v>
      </c>
      <c r="I162" s="33"/>
      <c r="J162" s="19"/>
      <c r="K162" s="32"/>
      <c r="L162" s="73"/>
      <c r="M162" s="73"/>
      <c r="N162" s="205" t="s">
        <v>1065</v>
      </c>
      <c r="O162" s="205"/>
      <c r="P162" s="203" t="s">
        <v>164</v>
      </c>
      <c r="Q162" s="203" t="str">
        <f>BRD_EPIC2[[#This Row],[system type]]&amp;BRD_EPIC2[[#This Row],[system type2]]</f>
        <v>Android &amp; Back-End &amp; QA &amp; PM &amp; DM &amp; UI</v>
      </c>
      <c r="R162" s="203" t="s">
        <v>2239</v>
      </c>
      <c r="S162" s="203" t="s">
        <v>1066</v>
      </c>
      <c r="T162" s="203"/>
      <c r="U162" s="203">
        <v>10</v>
      </c>
      <c r="V162" s="203">
        <f>$U162*DE_Cost!$B$1*8</f>
        <v>96</v>
      </c>
      <c r="W162" s="204">
        <f>$U162*DE_Cost!$B$1</f>
        <v>12</v>
      </c>
      <c r="X162" s="204"/>
      <c r="Y162" s="204"/>
      <c r="Z162" s="204">
        <f t="shared" si="3"/>
        <v>6</v>
      </c>
      <c r="AA162" s="203" t="s">
        <v>42</v>
      </c>
      <c r="AB162" s="203"/>
      <c r="AC162" s="203"/>
      <c r="AD162" s="204">
        <f t="shared" si="4"/>
        <v>60</v>
      </c>
    </row>
    <row r="163" spans="1:30" ht="90">
      <c r="A163" s="55" t="s">
        <v>140</v>
      </c>
      <c r="B163" s="51" t="s">
        <v>141</v>
      </c>
      <c r="C163" s="12" t="s">
        <v>1018</v>
      </c>
      <c r="D163" s="12" t="s">
        <v>1067</v>
      </c>
      <c r="E163" s="12" t="s">
        <v>1068</v>
      </c>
      <c r="F163" s="12" t="s">
        <v>1069</v>
      </c>
      <c r="G163" s="32" t="s">
        <v>1022</v>
      </c>
      <c r="H163" s="19" t="s">
        <v>1070</v>
      </c>
      <c r="I163" s="12" t="s">
        <v>1071</v>
      </c>
      <c r="J163" s="19"/>
      <c r="K163" s="32"/>
      <c r="L163" s="73"/>
      <c r="M163" s="73"/>
      <c r="N163" s="205" t="s">
        <v>1072</v>
      </c>
      <c r="O163" s="205" t="s">
        <v>1073</v>
      </c>
      <c r="P163" s="203" t="s">
        <v>321</v>
      </c>
      <c r="Q163" s="203" t="str">
        <f>BRD_EPIC2[[#This Row],[system type]]&amp;BRD_EPIC2[[#This Row],[system type2]]</f>
        <v>Android &amp; Front-End &amp; Back-End &amp; QA &amp; PM &amp; DM &amp; UI</v>
      </c>
      <c r="R163" s="203" t="s">
        <v>2239</v>
      </c>
      <c r="S163" s="203"/>
      <c r="T163" s="203"/>
      <c r="U163" s="203">
        <v>20</v>
      </c>
      <c r="V163" s="203">
        <f>$U163*DE_Cost!$B$1*8</f>
        <v>192</v>
      </c>
      <c r="W163" s="204">
        <f>$U163*DE_Cost!$B$1</f>
        <v>24</v>
      </c>
      <c r="X163" s="204"/>
      <c r="Y163" s="204"/>
      <c r="Z163" s="204">
        <f t="shared" si="3"/>
        <v>7</v>
      </c>
      <c r="AA163" s="203" t="s">
        <v>150</v>
      </c>
      <c r="AB163" s="203" t="s">
        <v>1074</v>
      </c>
      <c r="AC163" s="203"/>
      <c r="AD163" s="204">
        <f t="shared" si="4"/>
        <v>140</v>
      </c>
    </row>
    <row r="164" spans="1:30" ht="97" customHeight="1">
      <c r="A164" s="223" t="s">
        <v>140</v>
      </c>
      <c r="B164" s="224" t="s">
        <v>141</v>
      </c>
      <c r="C164" s="76" t="s">
        <v>1018</v>
      </c>
      <c r="D164" s="80" t="s">
        <v>1075</v>
      </c>
      <c r="E164" s="80" t="s">
        <v>1076</v>
      </c>
      <c r="F164" s="76" t="s">
        <v>1077</v>
      </c>
      <c r="G164" s="225"/>
      <c r="H164" s="242" t="s">
        <v>1078</v>
      </c>
      <c r="I164" s="76" t="s">
        <v>1079</v>
      </c>
      <c r="J164" s="226"/>
      <c r="K164" s="227"/>
      <c r="L164" s="73"/>
      <c r="M164" s="73"/>
      <c r="N164" s="228" t="s">
        <v>1080</v>
      </c>
      <c r="O164" s="228" t="s">
        <v>1081</v>
      </c>
      <c r="P164" s="229" t="s">
        <v>321</v>
      </c>
      <c r="Q164" s="229" t="str">
        <f>BRD_EPIC2[[#This Row],[system type]]&amp;BRD_EPIC2[[#This Row],[system type2]]</f>
        <v>Android &amp; Front-End &amp; Back-End &amp; QA &amp; PM &amp; DM &amp; UI</v>
      </c>
      <c r="R164" s="203" t="s">
        <v>2239</v>
      </c>
      <c r="S164" s="229"/>
      <c r="T164" s="229"/>
      <c r="U164" s="229">
        <v>40</v>
      </c>
      <c r="V164" s="229">
        <f>$U164*DE_Cost!$B$1*8</f>
        <v>384</v>
      </c>
      <c r="W164" s="230">
        <f>$U164*DE_Cost!$B$1</f>
        <v>48</v>
      </c>
      <c r="X164" s="204"/>
      <c r="Y164" s="204"/>
      <c r="Z164" s="204">
        <f t="shared" ref="Z164:Z227" si="5">LEN(Q164) - LEN(SUBSTITUTE(Q164, "&amp;", "")) + 1</f>
        <v>7</v>
      </c>
      <c r="AA164" s="229" t="s">
        <v>150</v>
      </c>
      <c r="AB164" s="203" t="s">
        <v>1082</v>
      </c>
      <c r="AC164" s="203"/>
      <c r="AD164" s="204">
        <f t="shared" si="4"/>
        <v>280</v>
      </c>
    </row>
    <row r="165" spans="1:30" ht="108">
      <c r="A165" s="55" t="s">
        <v>140</v>
      </c>
      <c r="B165" s="51" t="s">
        <v>141</v>
      </c>
      <c r="C165" s="12" t="s">
        <v>1018</v>
      </c>
      <c r="D165" s="12" t="s">
        <v>1083</v>
      </c>
      <c r="E165" s="12" t="s">
        <v>1084</v>
      </c>
      <c r="F165" s="12" t="s">
        <v>1085</v>
      </c>
      <c r="G165" s="32"/>
      <c r="H165" s="19" t="s">
        <v>1086</v>
      </c>
      <c r="I165" s="12" t="s">
        <v>1087</v>
      </c>
      <c r="J165" s="19"/>
      <c r="K165" s="32"/>
      <c r="L165" s="73"/>
      <c r="M165" s="73"/>
      <c r="N165" s="205" t="s">
        <v>1088</v>
      </c>
      <c r="O165" s="205" t="s">
        <v>1089</v>
      </c>
      <c r="P165" s="203" t="s">
        <v>321</v>
      </c>
      <c r="Q165" s="203" t="str">
        <f>BRD_EPIC2[[#This Row],[system type]]&amp;BRD_EPIC2[[#This Row],[system type2]]</f>
        <v>Android &amp; Front-End &amp; Back-End &amp; QA &amp; PM &amp; DM &amp; UI</v>
      </c>
      <c r="R165" s="203" t="s">
        <v>2239</v>
      </c>
      <c r="S165" s="203"/>
      <c r="T165" s="203"/>
      <c r="U165" s="203">
        <v>5</v>
      </c>
      <c r="V165" s="203">
        <f>$U165*DE_Cost!$B$1*8</f>
        <v>48</v>
      </c>
      <c r="W165" s="204">
        <f>$U165*DE_Cost!$B$1</f>
        <v>6</v>
      </c>
      <c r="X165" s="204"/>
      <c r="Y165" s="204"/>
      <c r="Z165" s="204">
        <f t="shared" si="5"/>
        <v>7</v>
      </c>
      <c r="AA165" s="203" t="s">
        <v>42</v>
      </c>
      <c r="AB165" s="203"/>
      <c r="AC165" s="203"/>
      <c r="AD165" s="204">
        <f t="shared" si="4"/>
        <v>35</v>
      </c>
    </row>
    <row r="166" spans="1:30" ht="144">
      <c r="A166" s="55" t="s">
        <v>140</v>
      </c>
      <c r="B166" s="51" t="s">
        <v>141</v>
      </c>
      <c r="C166" s="12" t="s">
        <v>1018</v>
      </c>
      <c r="D166" s="33" t="s">
        <v>1090</v>
      </c>
      <c r="E166" s="33" t="s">
        <v>1091</v>
      </c>
      <c r="F166" s="33" t="s">
        <v>1092</v>
      </c>
      <c r="G166" s="32" t="s">
        <v>1022</v>
      </c>
      <c r="H166" s="19" t="s">
        <v>1093</v>
      </c>
      <c r="I166" s="33" t="s">
        <v>1094</v>
      </c>
      <c r="J166" s="19"/>
      <c r="K166" s="32" t="s">
        <v>318</v>
      </c>
      <c r="L166" s="73" t="s">
        <v>1095</v>
      </c>
      <c r="M166" s="73"/>
      <c r="N166" s="205" t="s">
        <v>1096</v>
      </c>
      <c r="O166" s="205" t="s">
        <v>1097</v>
      </c>
      <c r="P166" s="203" t="s">
        <v>321</v>
      </c>
      <c r="Q166" s="203" t="str">
        <f>BRD_EPIC2[[#This Row],[system type]]&amp;BRD_EPIC2[[#This Row],[system type2]]</f>
        <v>Android &amp; Front-End &amp; Back-End &amp; QA &amp; PM &amp; DM &amp; UI</v>
      </c>
      <c r="R166" s="203" t="s">
        <v>2239</v>
      </c>
      <c r="S166" s="203"/>
      <c r="T166" s="203"/>
      <c r="U166" s="203">
        <v>30</v>
      </c>
      <c r="V166" s="203">
        <f>$U166*DE_Cost!$B$1*8</f>
        <v>288</v>
      </c>
      <c r="W166" s="204">
        <f>$U166*DE_Cost!$B$1</f>
        <v>36</v>
      </c>
      <c r="X166" s="204"/>
      <c r="Y166" s="204"/>
      <c r="Z166" s="204">
        <f t="shared" si="5"/>
        <v>7</v>
      </c>
      <c r="AA166" s="203" t="s">
        <v>42</v>
      </c>
      <c r="AB166" s="203"/>
      <c r="AC166" s="203"/>
      <c r="AD166" s="204">
        <f t="shared" si="4"/>
        <v>210</v>
      </c>
    </row>
    <row r="167" spans="1:30" ht="90">
      <c r="A167" s="55" t="s">
        <v>140</v>
      </c>
      <c r="B167" s="51" t="s">
        <v>141</v>
      </c>
      <c r="C167" s="12" t="s">
        <v>1018</v>
      </c>
      <c r="D167" s="12" t="s">
        <v>1098</v>
      </c>
      <c r="E167" s="12" t="s">
        <v>1099</v>
      </c>
      <c r="F167" s="12" t="s">
        <v>1100</v>
      </c>
      <c r="G167" s="32" t="s">
        <v>174</v>
      </c>
      <c r="H167" s="19" t="s">
        <v>1101</v>
      </c>
      <c r="I167" s="12" t="s">
        <v>1102</v>
      </c>
      <c r="J167" s="19"/>
      <c r="K167" s="32" t="s">
        <v>1103</v>
      </c>
      <c r="L167" s="73"/>
      <c r="M167" s="73"/>
      <c r="N167" s="205" t="s">
        <v>1104</v>
      </c>
      <c r="O167" s="205" t="s">
        <v>1105</v>
      </c>
      <c r="P167" s="203" t="s">
        <v>332</v>
      </c>
      <c r="Q167" s="203" t="str">
        <f>BRD_EPIC2[[#This Row],[system type]]&amp;BRD_EPIC2[[#This Row],[system type2]]</f>
        <v>Android &amp; Front-End &amp; Back-End  &amp; QA &amp; PM &amp; DM &amp; UI</v>
      </c>
      <c r="R167" s="203" t="s">
        <v>2239</v>
      </c>
      <c r="S167" s="203"/>
      <c r="T167" s="203"/>
      <c r="U167" s="203">
        <v>15</v>
      </c>
      <c r="V167" s="203">
        <f>$U167*DE_Cost!$B$1*8</f>
        <v>144</v>
      </c>
      <c r="W167" s="204">
        <f>$U167*DE_Cost!$B$1</f>
        <v>18</v>
      </c>
      <c r="X167" s="204"/>
      <c r="Y167" s="204"/>
      <c r="Z167" s="204">
        <f t="shared" si="5"/>
        <v>7</v>
      </c>
      <c r="AA167" s="203" t="s">
        <v>42</v>
      </c>
      <c r="AB167" s="203"/>
      <c r="AC167" s="203"/>
      <c r="AD167" s="204">
        <f t="shared" si="4"/>
        <v>105</v>
      </c>
    </row>
    <row r="168" spans="1:30" ht="72">
      <c r="A168" s="56" t="s">
        <v>140</v>
      </c>
      <c r="B168" s="50" t="s">
        <v>141</v>
      </c>
      <c r="C168" s="12" t="s">
        <v>1018</v>
      </c>
      <c r="D168" s="12" t="s">
        <v>1106</v>
      </c>
      <c r="E168" s="12" t="s">
        <v>1107</v>
      </c>
      <c r="F168" s="12" t="s">
        <v>1108</v>
      </c>
      <c r="G168" s="32" t="s">
        <v>174</v>
      </c>
      <c r="H168" s="24" t="s">
        <v>1109</v>
      </c>
      <c r="I168" s="12" t="s">
        <v>1110</v>
      </c>
      <c r="J168" s="19"/>
      <c r="K168" s="32" t="s">
        <v>1103</v>
      </c>
      <c r="L168" s="73"/>
      <c r="M168" s="73"/>
      <c r="N168" s="205" t="s">
        <v>1111</v>
      </c>
      <c r="O168" s="205" t="s">
        <v>1112</v>
      </c>
      <c r="P168" s="203" t="s">
        <v>321</v>
      </c>
      <c r="Q168" s="203" t="str">
        <f>BRD_EPIC2[[#This Row],[system type]]&amp;BRD_EPIC2[[#This Row],[system type2]]</f>
        <v>Android &amp; Front-End &amp; Back-End &amp; QA &amp; PM &amp; DM &amp; UI</v>
      </c>
      <c r="R168" s="203" t="s">
        <v>2239</v>
      </c>
      <c r="S168" s="203"/>
      <c r="T168" s="203"/>
      <c r="U168" s="203">
        <v>20</v>
      </c>
      <c r="V168" s="203">
        <f>$U168*DE_Cost!$B$1*8</f>
        <v>192</v>
      </c>
      <c r="W168" s="204">
        <f>$U168*DE_Cost!$B$1</f>
        <v>24</v>
      </c>
      <c r="X168" s="204"/>
      <c r="Y168" s="204"/>
      <c r="Z168" s="204">
        <f t="shared" si="5"/>
        <v>7</v>
      </c>
      <c r="AA168" s="203" t="s">
        <v>42</v>
      </c>
      <c r="AB168" s="203"/>
      <c r="AC168" s="203"/>
      <c r="AD168" s="204">
        <f t="shared" si="4"/>
        <v>140</v>
      </c>
    </row>
    <row r="169" spans="1:30" ht="57" customHeight="1">
      <c r="A169" s="56" t="s">
        <v>140</v>
      </c>
      <c r="B169" s="50" t="s">
        <v>141</v>
      </c>
      <c r="C169" s="12" t="s">
        <v>1018</v>
      </c>
      <c r="D169" s="33" t="s">
        <v>1113</v>
      </c>
      <c r="E169" s="33" t="s">
        <v>1114</v>
      </c>
      <c r="F169" s="12" t="s">
        <v>1115</v>
      </c>
      <c r="G169" s="32" t="s">
        <v>174</v>
      </c>
      <c r="H169" s="19" t="s">
        <v>1116</v>
      </c>
      <c r="I169" s="12" t="s">
        <v>1117</v>
      </c>
      <c r="J169" s="19"/>
      <c r="K169" s="70" t="s">
        <v>1103</v>
      </c>
      <c r="L169" s="73"/>
      <c r="M169" s="73"/>
      <c r="N169" s="205" t="s">
        <v>1118</v>
      </c>
      <c r="O169" s="205" t="s">
        <v>1119</v>
      </c>
      <c r="P169" s="203" t="s">
        <v>1035</v>
      </c>
      <c r="Q169" s="203" t="str">
        <f>BRD_EPIC2[[#This Row],[system type]]&amp;BRD_EPIC2[[#This Row],[system type2]]</f>
        <v>Android  &amp; QA &amp; PM &amp; DM &amp; UI</v>
      </c>
      <c r="R169" s="203" t="s">
        <v>2239</v>
      </c>
      <c r="S169" s="203"/>
      <c r="T169" s="203"/>
      <c r="U169" s="203">
        <v>5</v>
      </c>
      <c r="V169" s="203">
        <f>$U169*DE_Cost!$B$1*8</f>
        <v>48</v>
      </c>
      <c r="W169" s="204">
        <f>$U169*DE_Cost!$B$1</f>
        <v>6</v>
      </c>
      <c r="X169" s="204"/>
      <c r="Y169" s="204"/>
      <c r="Z169" s="204">
        <f t="shared" si="5"/>
        <v>5</v>
      </c>
      <c r="AA169" s="203" t="s">
        <v>42</v>
      </c>
      <c r="AB169" s="203"/>
      <c r="AC169" s="203"/>
      <c r="AD169" s="204">
        <f t="shared" si="4"/>
        <v>25</v>
      </c>
    </row>
    <row r="170" spans="1:30" ht="306">
      <c r="A170" s="56" t="s">
        <v>140</v>
      </c>
      <c r="B170" s="50" t="s">
        <v>1120</v>
      </c>
      <c r="C170" s="12" t="s">
        <v>1121</v>
      </c>
      <c r="D170" s="12" t="s">
        <v>1122</v>
      </c>
      <c r="E170" s="12" t="s">
        <v>1123</v>
      </c>
      <c r="F170" s="12" t="s">
        <v>1124</v>
      </c>
      <c r="G170" s="32" t="s">
        <v>394</v>
      </c>
      <c r="H170" s="19" t="s">
        <v>1125</v>
      </c>
      <c r="I170" s="232" t="s">
        <v>1126</v>
      </c>
      <c r="J170" s="19" t="s">
        <v>1127</v>
      </c>
      <c r="K170" s="32"/>
      <c r="L170" s="73"/>
      <c r="M170" s="73"/>
      <c r="N170" s="90" t="s">
        <v>1128</v>
      </c>
      <c r="O170" s="90" t="s">
        <v>1129</v>
      </c>
      <c r="P170" s="203" t="s">
        <v>164</v>
      </c>
      <c r="Q170" s="203" t="str">
        <f>BRD_EPIC2[[#This Row],[system type]]&amp;BRD_EPIC2[[#This Row],[system type2]]</f>
        <v>Android &amp; Back-End &amp; QA &amp; PM &amp; DM &amp; UI</v>
      </c>
      <c r="R170" s="203" t="s">
        <v>2239</v>
      </c>
      <c r="S170" s="203"/>
      <c r="T170" s="203"/>
      <c r="U170" s="203">
        <v>8</v>
      </c>
      <c r="V170" s="203">
        <f>$U170*DE_Cost!$B$1*8</f>
        <v>76.8</v>
      </c>
      <c r="W170" s="204">
        <f>$U170*DE_Cost!$B$1</f>
        <v>9.6</v>
      </c>
      <c r="X170" s="204"/>
      <c r="Y170" s="204"/>
      <c r="Z170" s="204">
        <f t="shared" si="5"/>
        <v>6</v>
      </c>
      <c r="AA170" s="203" t="s">
        <v>150</v>
      </c>
      <c r="AB170" s="203" t="s">
        <v>1130</v>
      </c>
      <c r="AC170" s="203"/>
      <c r="AD170" s="204">
        <f t="shared" si="4"/>
        <v>48</v>
      </c>
    </row>
    <row r="171" spans="1:30" ht="409.6">
      <c r="A171" s="56" t="s">
        <v>140</v>
      </c>
      <c r="B171" s="50" t="s">
        <v>1120</v>
      </c>
      <c r="C171" s="12" t="s">
        <v>1121</v>
      </c>
      <c r="D171" s="33" t="s">
        <v>1131</v>
      </c>
      <c r="E171" s="33" t="s">
        <v>1132</v>
      </c>
      <c r="F171" s="33" t="s">
        <v>1133</v>
      </c>
      <c r="G171" s="32" t="s">
        <v>394</v>
      </c>
      <c r="H171" s="19" t="s">
        <v>1134</v>
      </c>
      <c r="I171" s="33" t="s">
        <v>1135</v>
      </c>
      <c r="J171" s="19" t="s">
        <v>1136</v>
      </c>
      <c r="K171" s="32"/>
      <c r="L171" s="73"/>
      <c r="M171" s="73"/>
      <c r="N171" s="90" t="s">
        <v>1137</v>
      </c>
      <c r="O171" s="90" t="s">
        <v>1138</v>
      </c>
      <c r="P171" s="203" t="s">
        <v>164</v>
      </c>
      <c r="Q171" s="203" t="str">
        <f>BRD_EPIC2[[#This Row],[system type]]&amp;BRD_EPIC2[[#This Row],[system type2]]</f>
        <v>Android &amp; Back-End &amp; QA &amp; PM &amp; DM &amp; UI</v>
      </c>
      <c r="R171" s="203" t="s">
        <v>2239</v>
      </c>
      <c r="S171" s="203"/>
      <c r="T171" s="203"/>
      <c r="U171" s="203">
        <v>8</v>
      </c>
      <c r="V171" s="203">
        <f>$U171*DE_Cost!$B$1*8</f>
        <v>76.8</v>
      </c>
      <c r="W171" s="204">
        <f>$U171*DE_Cost!$B$1</f>
        <v>9.6</v>
      </c>
      <c r="X171" s="204"/>
      <c r="Y171" s="204"/>
      <c r="Z171" s="204">
        <f t="shared" si="5"/>
        <v>6</v>
      </c>
      <c r="AA171" s="203" t="s">
        <v>150</v>
      </c>
      <c r="AB171" s="203" t="s">
        <v>1130</v>
      </c>
      <c r="AC171" s="203"/>
      <c r="AD171" s="204">
        <f t="shared" si="4"/>
        <v>48</v>
      </c>
    </row>
    <row r="172" spans="1:30" ht="98" customHeight="1">
      <c r="A172" s="56" t="s">
        <v>140</v>
      </c>
      <c r="B172" s="50" t="s">
        <v>1120</v>
      </c>
      <c r="C172" s="12" t="s">
        <v>1121</v>
      </c>
      <c r="D172" s="12" t="s">
        <v>1139</v>
      </c>
      <c r="E172" s="12" t="s">
        <v>1140</v>
      </c>
      <c r="F172" s="12" t="s">
        <v>1141</v>
      </c>
      <c r="G172" s="32"/>
      <c r="H172" s="19" t="s">
        <v>1142</v>
      </c>
      <c r="I172" s="194" t="s">
        <v>1143</v>
      </c>
      <c r="J172" s="19"/>
      <c r="K172" s="32"/>
      <c r="L172" s="73"/>
      <c r="M172" s="73"/>
      <c r="N172" s="90" t="s">
        <v>1144</v>
      </c>
      <c r="O172" s="90" t="s">
        <v>1145</v>
      </c>
      <c r="P172" s="203" t="s">
        <v>164</v>
      </c>
      <c r="Q172" s="203" t="str">
        <f>BRD_EPIC2[[#This Row],[system type]]&amp;BRD_EPIC2[[#This Row],[system type2]]</f>
        <v>Android &amp; Back-End &amp; QA &amp; PM &amp; DM &amp; UI</v>
      </c>
      <c r="R172" s="203" t="s">
        <v>2239</v>
      </c>
      <c r="S172" s="203"/>
      <c r="T172" s="203"/>
      <c r="U172" s="203">
        <v>6</v>
      </c>
      <c r="V172" s="203">
        <f>$U172*DE_Cost!$B$1*8</f>
        <v>57.599999999999994</v>
      </c>
      <c r="W172" s="204">
        <f>$U172*DE_Cost!$B$1</f>
        <v>7.1999999999999993</v>
      </c>
      <c r="X172" s="204"/>
      <c r="Y172" s="204"/>
      <c r="Z172" s="204">
        <f t="shared" si="5"/>
        <v>6</v>
      </c>
      <c r="AA172" s="203" t="s">
        <v>42</v>
      </c>
      <c r="AB172" s="203"/>
      <c r="AC172" s="203"/>
      <c r="AD172" s="204">
        <f t="shared" si="4"/>
        <v>36</v>
      </c>
    </row>
    <row r="173" spans="1:30" ht="90">
      <c r="A173" s="56" t="s">
        <v>140</v>
      </c>
      <c r="B173" s="50" t="s">
        <v>1120</v>
      </c>
      <c r="C173" s="33" t="s">
        <v>1121</v>
      </c>
      <c r="D173" s="33" t="s">
        <v>1146</v>
      </c>
      <c r="E173" s="33" t="s">
        <v>1147</v>
      </c>
      <c r="F173" s="33" t="s">
        <v>1148</v>
      </c>
      <c r="G173" s="32"/>
      <c r="H173" s="19" t="s">
        <v>1149</v>
      </c>
      <c r="I173" s="33" t="s">
        <v>1150</v>
      </c>
      <c r="J173" s="19"/>
      <c r="K173" s="32"/>
      <c r="L173" s="73"/>
      <c r="M173" s="73"/>
      <c r="N173" s="90" t="s">
        <v>1151</v>
      </c>
      <c r="O173" s="90"/>
      <c r="P173" s="203" t="s">
        <v>164</v>
      </c>
      <c r="Q173" s="203" t="str">
        <f>BRD_EPIC2[[#This Row],[system type]]&amp;BRD_EPIC2[[#This Row],[system type2]]</f>
        <v>Android &amp; Back-End &amp; QA &amp; PM &amp; DM &amp; UI</v>
      </c>
      <c r="R173" s="203" t="s">
        <v>2239</v>
      </c>
      <c r="S173" s="203"/>
      <c r="T173" s="203"/>
      <c r="U173" s="203">
        <v>5</v>
      </c>
      <c r="V173" s="203">
        <f>$U173*DE_Cost!$B$1*8</f>
        <v>48</v>
      </c>
      <c r="W173" s="204">
        <f>$U173*DE_Cost!$B$1</f>
        <v>6</v>
      </c>
      <c r="X173" s="204"/>
      <c r="Y173" s="204"/>
      <c r="Z173" s="204">
        <f t="shared" si="5"/>
        <v>6</v>
      </c>
      <c r="AA173" s="203" t="s">
        <v>150</v>
      </c>
      <c r="AB173" s="203" t="s">
        <v>1152</v>
      </c>
      <c r="AC173" s="203"/>
      <c r="AD173" s="204">
        <f t="shared" si="4"/>
        <v>30</v>
      </c>
    </row>
    <row r="174" spans="1:30" ht="116" customHeight="1">
      <c r="A174" s="55" t="s">
        <v>140</v>
      </c>
      <c r="B174" s="51" t="s">
        <v>1120</v>
      </c>
      <c r="C174" s="52" t="s">
        <v>1121</v>
      </c>
      <c r="D174" s="33" t="s">
        <v>1153</v>
      </c>
      <c r="E174" s="33" t="s">
        <v>1154</v>
      </c>
      <c r="F174" s="33" t="s">
        <v>1155</v>
      </c>
      <c r="G174" s="32"/>
      <c r="H174" s="19" t="s">
        <v>1156</v>
      </c>
      <c r="I174" s="33" t="s">
        <v>1157</v>
      </c>
      <c r="J174" s="19"/>
      <c r="K174" s="32"/>
      <c r="L174" s="73"/>
      <c r="M174" s="73"/>
      <c r="N174" s="90" t="s">
        <v>1158</v>
      </c>
      <c r="O174" s="90" t="s">
        <v>1159</v>
      </c>
      <c r="P174" s="203" t="s">
        <v>164</v>
      </c>
      <c r="Q174" s="203" t="str">
        <f>BRD_EPIC2[[#This Row],[system type]]&amp;BRD_EPIC2[[#This Row],[system type2]]</f>
        <v>Android &amp; Back-End &amp; QA &amp; PM &amp; DM &amp; UI</v>
      </c>
      <c r="R174" s="203" t="s">
        <v>2239</v>
      </c>
      <c r="S174" s="203"/>
      <c r="T174" s="203"/>
      <c r="U174" s="203">
        <v>25</v>
      </c>
      <c r="V174" s="203">
        <f>$U174*DE_Cost!$B$1*8</f>
        <v>240</v>
      </c>
      <c r="W174" s="204">
        <f>$U174*DE_Cost!$B$1</f>
        <v>30</v>
      </c>
      <c r="X174" s="204"/>
      <c r="Y174" s="204"/>
      <c r="Z174" s="204">
        <f t="shared" si="5"/>
        <v>6</v>
      </c>
      <c r="AA174" s="203" t="s">
        <v>150</v>
      </c>
      <c r="AB174" s="203" t="s">
        <v>1160</v>
      </c>
      <c r="AC174" s="203"/>
      <c r="AD174" s="204">
        <f t="shared" si="4"/>
        <v>150</v>
      </c>
    </row>
    <row r="175" spans="1:30" ht="85" customHeight="1">
      <c r="A175" s="55" t="s">
        <v>140</v>
      </c>
      <c r="B175" s="51" t="s">
        <v>1120</v>
      </c>
      <c r="C175" s="12" t="s">
        <v>1121</v>
      </c>
      <c r="D175" s="12" t="s">
        <v>1161</v>
      </c>
      <c r="E175" s="33" t="s">
        <v>1162</v>
      </c>
      <c r="F175" s="12" t="s">
        <v>1163</v>
      </c>
      <c r="G175" s="32"/>
      <c r="H175" s="19" t="s">
        <v>1164</v>
      </c>
      <c r="I175" s="12" t="s">
        <v>1165</v>
      </c>
      <c r="J175" s="19"/>
      <c r="K175" s="32"/>
      <c r="L175" s="73"/>
      <c r="M175" s="73"/>
      <c r="N175" s="90" t="s">
        <v>1166</v>
      </c>
      <c r="O175" s="90" t="s">
        <v>1167</v>
      </c>
      <c r="P175" s="203" t="s">
        <v>164</v>
      </c>
      <c r="Q175" s="203" t="str">
        <f>BRD_EPIC2[[#This Row],[system type]]&amp;BRD_EPIC2[[#This Row],[system type2]]</f>
        <v>Android &amp; Back-End &amp; QA &amp; PM &amp; DM &amp; UI</v>
      </c>
      <c r="R175" s="203" t="s">
        <v>2239</v>
      </c>
      <c r="S175" s="203"/>
      <c r="T175" s="203"/>
      <c r="U175" s="203">
        <v>20</v>
      </c>
      <c r="V175" s="203">
        <f>$U175*DE_Cost!$B$1*8</f>
        <v>192</v>
      </c>
      <c r="W175" s="204">
        <f>$U175*DE_Cost!$B$1</f>
        <v>24</v>
      </c>
      <c r="X175" s="204"/>
      <c r="Y175" s="204"/>
      <c r="Z175" s="204">
        <f t="shared" si="5"/>
        <v>6</v>
      </c>
      <c r="AA175" s="203" t="s">
        <v>150</v>
      </c>
      <c r="AB175" s="203" t="s">
        <v>1160</v>
      </c>
      <c r="AC175" s="203"/>
      <c r="AD175" s="204">
        <f t="shared" si="4"/>
        <v>120</v>
      </c>
    </row>
    <row r="176" spans="1:30" ht="90">
      <c r="A176" s="56" t="s">
        <v>140</v>
      </c>
      <c r="B176" s="50" t="s">
        <v>1120</v>
      </c>
      <c r="C176" s="12" t="s">
        <v>1121</v>
      </c>
      <c r="D176" s="12" t="s">
        <v>1168</v>
      </c>
      <c r="E176" s="12" t="s">
        <v>1169</v>
      </c>
      <c r="F176" s="12" t="s">
        <v>1170</v>
      </c>
      <c r="G176" s="32"/>
      <c r="H176" s="19" t="s">
        <v>1171</v>
      </c>
      <c r="I176" s="12" t="s">
        <v>1172</v>
      </c>
      <c r="J176" s="19"/>
      <c r="K176" s="32"/>
      <c r="L176" s="73"/>
      <c r="M176" s="73"/>
      <c r="N176" s="90" t="s">
        <v>1173</v>
      </c>
      <c r="O176" s="90" t="s">
        <v>1174</v>
      </c>
      <c r="P176" s="203" t="s">
        <v>258</v>
      </c>
      <c r="Q176" s="203" t="str">
        <f>BRD_EPIC2[[#This Row],[system type]]&amp;BRD_EPIC2[[#This Row],[system type2]]</f>
        <v>Front-End &amp; Back-End &amp; QA &amp; PM &amp; DM &amp; UI</v>
      </c>
      <c r="R176" s="203" t="s">
        <v>2239</v>
      </c>
      <c r="S176" s="203" t="s">
        <v>1175</v>
      </c>
      <c r="T176" s="203"/>
      <c r="U176" s="203">
        <v>30</v>
      </c>
      <c r="V176" s="203">
        <f>$U176*DE_Cost!$B$1*8</f>
        <v>288</v>
      </c>
      <c r="W176" s="204">
        <f>$U176*DE_Cost!$B$1</f>
        <v>36</v>
      </c>
      <c r="X176" s="204"/>
      <c r="Y176" s="204"/>
      <c r="Z176" s="204">
        <f t="shared" si="5"/>
        <v>6</v>
      </c>
      <c r="AA176" s="203" t="s">
        <v>42</v>
      </c>
      <c r="AB176" s="203"/>
      <c r="AC176" s="203"/>
      <c r="AD176" s="204">
        <f t="shared" si="4"/>
        <v>180</v>
      </c>
    </row>
    <row r="177" spans="1:30" ht="129" customHeight="1">
      <c r="A177" s="56" t="s">
        <v>140</v>
      </c>
      <c r="B177" s="50" t="s">
        <v>1120</v>
      </c>
      <c r="C177" s="12" t="s">
        <v>1121</v>
      </c>
      <c r="D177" s="12" t="s">
        <v>1176</v>
      </c>
      <c r="E177" s="33" t="s">
        <v>1177</v>
      </c>
      <c r="F177" s="33" t="s">
        <v>1178</v>
      </c>
      <c r="G177" s="32" t="s">
        <v>1179</v>
      </c>
      <c r="H177" s="19" t="s">
        <v>1180</v>
      </c>
      <c r="I177" s="231" t="s">
        <v>1181</v>
      </c>
      <c r="J177" s="19"/>
      <c r="K177" s="32"/>
      <c r="L177" s="73"/>
      <c r="M177" s="73"/>
      <c r="N177" s="90" t="s">
        <v>1182</v>
      </c>
      <c r="O177" s="90" t="s">
        <v>1183</v>
      </c>
      <c r="P177" s="203" t="s">
        <v>2244</v>
      </c>
      <c r="Q177" s="203" t="str">
        <f>BRD_EPIC2[[#This Row],[system type]]&amp;BRD_EPIC2[[#This Row],[system type2]]</f>
        <v>Android &amp; Back-End        &amp; QA &amp; PM &amp; DM &amp; UI</v>
      </c>
      <c r="R177" s="203" t="s">
        <v>2239</v>
      </c>
      <c r="S177" s="203"/>
      <c r="T177" s="203"/>
      <c r="U177" s="203">
        <v>30</v>
      </c>
      <c r="V177" s="203">
        <f>$U177*DE_Cost!$B$1*8</f>
        <v>288</v>
      </c>
      <c r="W177" s="204">
        <f>$U177*DE_Cost!$B$1</f>
        <v>36</v>
      </c>
      <c r="X177" s="204"/>
      <c r="Y177" s="204"/>
      <c r="Z177" s="204">
        <f t="shared" si="5"/>
        <v>6</v>
      </c>
      <c r="AA177" s="203" t="s">
        <v>150</v>
      </c>
      <c r="AB177" s="203" t="s">
        <v>1184</v>
      </c>
      <c r="AC177" s="203"/>
      <c r="AD177" s="204">
        <f t="shared" si="4"/>
        <v>180</v>
      </c>
    </row>
    <row r="178" spans="1:30" ht="90">
      <c r="A178" s="56" t="s">
        <v>140</v>
      </c>
      <c r="B178" s="50" t="s">
        <v>1120</v>
      </c>
      <c r="C178" s="12" t="s">
        <v>1121</v>
      </c>
      <c r="D178" s="12" t="s">
        <v>1185</v>
      </c>
      <c r="E178" s="12" t="s">
        <v>1186</v>
      </c>
      <c r="F178" s="12" t="s">
        <v>1187</v>
      </c>
      <c r="G178" s="32" t="s">
        <v>1179</v>
      </c>
      <c r="H178" s="19" t="s">
        <v>1188</v>
      </c>
      <c r="I178" s="194" t="s">
        <v>1189</v>
      </c>
      <c r="J178" s="19"/>
      <c r="K178" s="32"/>
      <c r="L178" s="73"/>
      <c r="M178" s="73"/>
      <c r="N178" s="90" t="s">
        <v>1190</v>
      </c>
      <c r="O178" s="90" t="s">
        <v>1191</v>
      </c>
      <c r="P178" s="203" t="s">
        <v>164</v>
      </c>
      <c r="Q178" s="203" t="str">
        <f>BRD_EPIC2[[#This Row],[system type]]&amp;BRD_EPIC2[[#This Row],[system type2]]</f>
        <v>Android &amp; Back-End &amp; QA &amp; PM &amp; DM &amp; UI</v>
      </c>
      <c r="R178" s="203" t="s">
        <v>2239</v>
      </c>
      <c r="S178" s="203"/>
      <c r="T178" s="203"/>
      <c r="U178" s="203">
        <v>10</v>
      </c>
      <c r="V178" s="203">
        <f>$U178*DE_Cost!$B$1*8</f>
        <v>96</v>
      </c>
      <c r="W178" s="204">
        <f>$U178*DE_Cost!$B$1</f>
        <v>12</v>
      </c>
      <c r="X178" s="204"/>
      <c r="Y178" s="204"/>
      <c r="Z178" s="204">
        <f t="shared" si="5"/>
        <v>6</v>
      </c>
      <c r="AA178" s="203" t="s">
        <v>150</v>
      </c>
      <c r="AB178" s="203" t="s">
        <v>1192</v>
      </c>
      <c r="AC178" s="203"/>
      <c r="AD178" s="204">
        <f t="shared" si="4"/>
        <v>60</v>
      </c>
    </row>
    <row r="179" spans="1:30" ht="409.6">
      <c r="A179" s="56" t="s">
        <v>140</v>
      </c>
      <c r="B179" s="50" t="s">
        <v>1120</v>
      </c>
      <c r="C179" s="12" t="s">
        <v>1121</v>
      </c>
      <c r="D179" s="12" t="s">
        <v>1193</v>
      </c>
      <c r="E179" s="12" t="s">
        <v>1194</v>
      </c>
      <c r="F179" s="12" t="s">
        <v>1195</v>
      </c>
      <c r="G179" s="32" t="s">
        <v>1179</v>
      </c>
      <c r="H179" s="19" t="s">
        <v>1196</v>
      </c>
      <c r="I179" s="194" t="s">
        <v>1197</v>
      </c>
      <c r="J179" s="19" t="s">
        <v>1198</v>
      </c>
      <c r="K179" s="32" t="s">
        <v>1199</v>
      </c>
      <c r="L179" s="73" t="s">
        <v>1200</v>
      </c>
      <c r="M179" s="73"/>
      <c r="N179" s="90"/>
      <c r="O179" s="90"/>
      <c r="P179" s="203" t="s">
        <v>164</v>
      </c>
      <c r="Q179" s="203" t="str">
        <f>BRD_EPIC2[[#This Row],[system type]]&amp;BRD_EPIC2[[#This Row],[system type2]]</f>
        <v>Android &amp; Back-End &amp; QA &amp; PM &amp; DM &amp; UI</v>
      </c>
      <c r="R179" s="203" t="s">
        <v>2239</v>
      </c>
      <c r="S179" s="203"/>
      <c r="T179" s="203"/>
      <c r="U179" s="203">
        <v>10</v>
      </c>
      <c r="V179" s="203">
        <f>$U179*DE_Cost!$B$1*8</f>
        <v>96</v>
      </c>
      <c r="W179" s="204">
        <f>$U179*DE_Cost!$B$1</f>
        <v>12</v>
      </c>
      <c r="X179" s="204"/>
      <c r="Y179" s="204"/>
      <c r="Z179" s="204">
        <f t="shared" si="5"/>
        <v>6</v>
      </c>
      <c r="AA179" s="203" t="s">
        <v>150</v>
      </c>
      <c r="AB179" s="203" t="s">
        <v>282</v>
      </c>
      <c r="AC179" s="203"/>
      <c r="AD179" s="204">
        <f t="shared" si="4"/>
        <v>60</v>
      </c>
    </row>
    <row r="180" spans="1:30" ht="90">
      <c r="A180" s="56" t="s">
        <v>140</v>
      </c>
      <c r="B180" s="50" t="s">
        <v>1120</v>
      </c>
      <c r="C180" s="12" t="s">
        <v>1121</v>
      </c>
      <c r="D180" s="12" t="s">
        <v>1201</v>
      </c>
      <c r="E180" s="12" t="s">
        <v>1202</v>
      </c>
      <c r="F180" s="12" t="s">
        <v>1203</v>
      </c>
      <c r="G180" s="63"/>
      <c r="H180" s="19" t="s">
        <v>1204</v>
      </c>
      <c r="I180" s="194" t="s">
        <v>1205</v>
      </c>
      <c r="J180" s="19"/>
      <c r="K180" s="32"/>
      <c r="L180" s="73"/>
      <c r="M180" s="73"/>
      <c r="N180" s="90" t="s">
        <v>1206</v>
      </c>
      <c r="O180" s="90" t="s">
        <v>1207</v>
      </c>
      <c r="P180" s="203" t="s">
        <v>321</v>
      </c>
      <c r="Q180" s="203" t="str">
        <f>BRD_EPIC2[[#This Row],[system type]]&amp;BRD_EPIC2[[#This Row],[system type2]]</f>
        <v>Android &amp; Front-End &amp; Back-End &amp; QA &amp; PM &amp; DM &amp; UI</v>
      </c>
      <c r="R180" s="203" t="s">
        <v>2239</v>
      </c>
      <c r="S180" s="203"/>
      <c r="T180" s="203"/>
      <c r="U180" s="203">
        <v>10</v>
      </c>
      <c r="V180" s="203">
        <f>$U180*DE_Cost!$B$1*8</f>
        <v>96</v>
      </c>
      <c r="W180" s="204">
        <f>$U180*DE_Cost!$B$1</f>
        <v>12</v>
      </c>
      <c r="X180" s="204"/>
      <c r="Y180" s="204"/>
      <c r="Z180" s="204">
        <f t="shared" si="5"/>
        <v>7</v>
      </c>
      <c r="AA180" s="203" t="s">
        <v>150</v>
      </c>
      <c r="AB180" s="203" t="s">
        <v>282</v>
      </c>
      <c r="AC180" s="203"/>
      <c r="AD180" s="204">
        <f t="shared" si="4"/>
        <v>70</v>
      </c>
    </row>
    <row r="181" spans="1:30" ht="394">
      <c r="A181" s="56" t="s">
        <v>140</v>
      </c>
      <c r="B181" s="50" t="s">
        <v>1120</v>
      </c>
      <c r="C181" s="12" t="s">
        <v>1121</v>
      </c>
      <c r="D181" s="33" t="s">
        <v>1208</v>
      </c>
      <c r="E181" s="33" t="s">
        <v>1209</v>
      </c>
      <c r="F181" s="33" t="s">
        <v>1210</v>
      </c>
      <c r="G181" s="32" t="s">
        <v>1179</v>
      </c>
      <c r="H181" s="19" t="s">
        <v>1211</v>
      </c>
      <c r="I181" s="231" t="s">
        <v>1212</v>
      </c>
      <c r="J181" s="19" t="s">
        <v>1213</v>
      </c>
      <c r="K181" s="32"/>
      <c r="L181" s="73"/>
      <c r="M181" s="73"/>
      <c r="N181" s="90" t="s">
        <v>1214</v>
      </c>
      <c r="O181" s="90" t="s">
        <v>1215</v>
      </c>
      <c r="P181" s="203" t="s">
        <v>321</v>
      </c>
      <c r="Q181" s="203" t="str">
        <f>BRD_EPIC2[[#This Row],[system type]]&amp;BRD_EPIC2[[#This Row],[system type2]]</f>
        <v>Android &amp; Front-End &amp; Back-End &amp; QA &amp; PM &amp; DM &amp; UI</v>
      </c>
      <c r="R181" s="203" t="s">
        <v>2239</v>
      </c>
      <c r="S181" s="203"/>
      <c r="T181" s="203"/>
      <c r="U181" s="203">
        <v>8</v>
      </c>
      <c r="V181" s="203">
        <f>$U181*DE_Cost!$B$1*8</f>
        <v>76.8</v>
      </c>
      <c r="W181" s="204">
        <f>$U181*DE_Cost!$B$1</f>
        <v>9.6</v>
      </c>
      <c r="X181" s="204"/>
      <c r="Y181" s="204"/>
      <c r="Z181" s="204">
        <f t="shared" si="5"/>
        <v>7</v>
      </c>
      <c r="AA181" s="203" t="s">
        <v>150</v>
      </c>
      <c r="AB181" s="203" t="s">
        <v>282</v>
      </c>
      <c r="AC181" s="203"/>
      <c r="AD181" s="204">
        <f t="shared" si="4"/>
        <v>56</v>
      </c>
    </row>
    <row r="182" spans="1:30" ht="185" customHeight="1">
      <c r="A182" s="56" t="s">
        <v>140</v>
      </c>
      <c r="B182" s="50" t="s">
        <v>1120</v>
      </c>
      <c r="C182" s="12" t="s">
        <v>1216</v>
      </c>
      <c r="D182" s="12" t="s">
        <v>1217</v>
      </c>
      <c r="E182" s="12" t="s">
        <v>1218</v>
      </c>
      <c r="F182" s="12" t="s">
        <v>1219</v>
      </c>
      <c r="G182" s="32"/>
      <c r="H182" s="19" t="s">
        <v>1220</v>
      </c>
      <c r="I182" s="12" t="s">
        <v>1221</v>
      </c>
      <c r="J182" s="19"/>
      <c r="K182" s="32"/>
      <c r="L182" s="73"/>
      <c r="M182" s="73"/>
      <c r="N182" s="90" t="s">
        <v>1222</v>
      </c>
      <c r="O182" s="90" t="s">
        <v>1223</v>
      </c>
      <c r="P182" s="203" t="s">
        <v>258</v>
      </c>
      <c r="Q182" s="203" t="str">
        <f>BRD_EPIC2[[#This Row],[system type]]&amp;BRD_EPIC2[[#This Row],[system type2]]</f>
        <v>Front-End &amp; Back-End &amp; QA &amp; PM &amp; DM &amp; UI</v>
      </c>
      <c r="R182" s="203" t="s">
        <v>2239</v>
      </c>
      <c r="S182" s="203"/>
      <c r="T182" s="203"/>
      <c r="U182" s="203">
        <v>15</v>
      </c>
      <c r="V182" s="203">
        <f>$U182*DE_Cost!$B$1*8</f>
        <v>144</v>
      </c>
      <c r="W182" s="204">
        <f>$U182*DE_Cost!$B$1</f>
        <v>18</v>
      </c>
      <c r="X182" s="204"/>
      <c r="Y182" s="204"/>
      <c r="Z182" s="204">
        <f t="shared" si="5"/>
        <v>6</v>
      </c>
      <c r="AA182" s="203" t="s">
        <v>42</v>
      </c>
      <c r="AB182" s="203"/>
      <c r="AC182" s="203"/>
      <c r="AD182" s="204">
        <f t="shared" si="4"/>
        <v>90</v>
      </c>
    </row>
    <row r="183" spans="1:30" ht="72">
      <c r="A183" s="56" t="s">
        <v>140</v>
      </c>
      <c r="B183" s="50" t="s">
        <v>1120</v>
      </c>
      <c r="C183" s="12" t="s">
        <v>1216</v>
      </c>
      <c r="D183" s="33" t="s">
        <v>1224</v>
      </c>
      <c r="E183" s="33" t="s">
        <v>1225</v>
      </c>
      <c r="F183" s="33" t="s">
        <v>1226</v>
      </c>
      <c r="G183" s="32"/>
      <c r="H183" s="19" t="s">
        <v>1227</v>
      </c>
      <c r="I183" s="33" t="s">
        <v>1228</v>
      </c>
      <c r="J183" s="19"/>
      <c r="K183" s="32"/>
      <c r="L183" s="73"/>
      <c r="M183" s="73"/>
      <c r="N183" s="90" t="s">
        <v>1229</v>
      </c>
      <c r="O183" s="90" t="s">
        <v>1228</v>
      </c>
      <c r="P183" s="203" t="s">
        <v>164</v>
      </c>
      <c r="Q183" s="203" t="str">
        <f>BRD_EPIC2[[#This Row],[system type]]&amp;BRD_EPIC2[[#This Row],[system type2]]</f>
        <v>Android &amp; Back-End &amp; QA &amp; PM &amp; DM &amp; UI</v>
      </c>
      <c r="R183" s="203" t="s">
        <v>2239</v>
      </c>
      <c r="S183" s="203"/>
      <c r="T183" s="203"/>
      <c r="U183" s="203">
        <v>10</v>
      </c>
      <c r="V183" s="203">
        <f>$U183*DE_Cost!$B$1*8</f>
        <v>96</v>
      </c>
      <c r="W183" s="204">
        <f>$U183*DE_Cost!$B$1</f>
        <v>12</v>
      </c>
      <c r="X183" s="204"/>
      <c r="Y183" s="204"/>
      <c r="Z183" s="204">
        <f t="shared" si="5"/>
        <v>6</v>
      </c>
      <c r="AA183" s="203" t="s">
        <v>42</v>
      </c>
      <c r="AB183" s="203" t="s">
        <v>1230</v>
      </c>
      <c r="AC183" s="203"/>
      <c r="AD183" s="204">
        <f t="shared" si="4"/>
        <v>60</v>
      </c>
    </row>
    <row r="184" spans="1:30" ht="90">
      <c r="A184" s="56" t="s">
        <v>140</v>
      </c>
      <c r="B184" s="50" t="s">
        <v>1120</v>
      </c>
      <c r="C184" s="12" t="s">
        <v>1216</v>
      </c>
      <c r="D184" s="12" t="s">
        <v>1231</v>
      </c>
      <c r="E184" s="12" t="s">
        <v>1232</v>
      </c>
      <c r="F184" s="12" t="s">
        <v>1233</v>
      </c>
      <c r="G184" s="32"/>
      <c r="H184" s="19" t="s">
        <v>1234</v>
      </c>
      <c r="I184" s="12" t="s">
        <v>1235</v>
      </c>
      <c r="J184" s="19"/>
      <c r="K184" s="32"/>
      <c r="L184" s="73"/>
      <c r="M184" s="73"/>
      <c r="N184" s="90" t="s">
        <v>1236</v>
      </c>
      <c r="O184" s="90"/>
      <c r="P184" s="203" t="s">
        <v>164</v>
      </c>
      <c r="Q184" s="203" t="str">
        <f>BRD_EPIC2[[#This Row],[system type]]&amp;BRD_EPIC2[[#This Row],[system type2]]</f>
        <v>Android &amp; Back-End &amp; QA &amp; PM &amp; DM &amp; UI</v>
      </c>
      <c r="R184" s="203" t="s">
        <v>2239</v>
      </c>
      <c r="S184" s="203"/>
      <c r="T184" s="203" t="s">
        <v>1237</v>
      </c>
      <c r="U184" s="203">
        <v>5</v>
      </c>
      <c r="V184" s="203">
        <f>$U184*DE_Cost!$B$1*8</f>
        <v>48</v>
      </c>
      <c r="W184" s="204">
        <f>$U184*DE_Cost!$B$1</f>
        <v>6</v>
      </c>
      <c r="X184" s="204"/>
      <c r="Y184" s="204"/>
      <c r="Z184" s="204">
        <f t="shared" si="5"/>
        <v>6</v>
      </c>
      <c r="AA184" s="203" t="s">
        <v>150</v>
      </c>
      <c r="AB184" s="203" t="s">
        <v>1238</v>
      </c>
      <c r="AC184" s="203"/>
      <c r="AD184" s="204">
        <f t="shared" si="4"/>
        <v>30</v>
      </c>
    </row>
    <row r="185" spans="1:30" ht="144">
      <c r="A185" s="56" t="s">
        <v>140</v>
      </c>
      <c r="B185" s="50" t="s">
        <v>1120</v>
      </c>
      <c r="C185" s="12" t="s">
        <v>1216</v>
      </c>
      <c r="D185" s="12" t="s">
        <v>1239</v>
      </c>
      <c r="E185" s="12" t="s">
        <v>1240</v>
      </c>
      <c r="F185" s="12" t="s">
        <v>1241</v>
      </c>
      <c r="G185" s="32"/>
      <c r="H185" s="19" t="s">
        <v>1242</v>
      </c>
      <c r="I185" s="12" t="s">
        <v>1243</v>
      </c>
      <c r="J185" s="19"/>
      <c r="K185" s="32"/>
      <c r="L185" s="73"/>
      <c r="M185" s="73"/>
      <c r="N185" s="90" t="s">
        <v>1244</v>
      </c>
      <c r="O185" s="90" t="s">
        <v>1245</v>
      </c>
      <c r="P185" s="203" t="s">
        <v>164</v>
      </c>
      <c r="Q185" s="203" t="str">
        <f>BRD_EPIC2[[#This Row],[system type]]&amp;BRD_EPIC2[[#This Row],[system type2]]</f>
        <v>Android &amp; Back-End &amp; QA &amp; PM &amp; DM &amp; UI</v>
      </c>
      <c r="R185" s="203" t="s">
        <v>2239</v>
      </c>
      <c r="S185" s="203"/>
      <c r="T185" s="203"/>
      <c r="U185" s="203">
        <v>10</v>
      </c>
      <c r="V185" s="203">
        <f>$U185*DE_Cost!$B$1*8</f>
        <v>96</v>
      </c>
      <c r="W185" s="204">
        <f>$U185*DE_Cost!$B$1</f>
        <v>12</v>
      </c>
      <c r="X185" s="204"/>
      <c r="Y185" s="204"/>
      <c r="Z185" s="204">
        <f t="shared" si="5"/>
        <v>6</v>
      </c>
      <c r="AA185" s="203" t="s">
        <v>42</v>
      </c>
      <c r="AB185" s="203"/>
      <c r="AC185" s="203"/>
      <c r="AD185" s="204">
        <f t="shared" si="4"/>
        <v>60</v>
      </c>
    </row>
    <row r="186" spans="1:30" ht="145" customHeight="1">
      <c r="A186" s="56" t="s">
        <v>140</v>
      </c>
      <c r="B186" s="50" t="s">
        <v>1120</v>
      </c>
      <c r="C186" s="33" t="s">
        <v>1246</v>
      </c>
      <c r="D186" s="12" t="s">
        <v>1247</v>
      </c>
      <c r="E186" s="12" t="s">
        <v>1248</v>
      </c>
      <c r="F186" s="193" t="s">
        <v>1249</v>
      </c>
      <c r="G186" s="32" t="s">
        <v>1250</v>
      </c>
      <c r="H186" s="19" t="s">
        <v>1251</v>
      </c>
      <c r="I186" s="76" t="s">
        <v>1252</v>
      </c>
      <c r="J186" s="19" t="s">
        <v>1253</v>
      </c>
      <c r="K186" s="32" t="s">
        <v>1250</v>
      </c>
      <c r="L186" s="73" t="s">
        <v>1254</v>
      </c>
      <c r="M186" s="73"/>
      <c r="N186" s="90" t="s">
        <v>1255</v>
      </c>
      <c r="O186" s="90" t="s">
        <v>1256</v>
      </c>
      <c r="P186" s="203" t="s">
        <v>164</v>
      </c>
      <c r="Q186" s="203" t="str">
        <f>BRD_EPIC2[[#This Row],[system type]]&amp;BRD_EPIC2[[#This Row],[system type2]]</f>
        <v>Android &amp; Back-End &amp; QA &amp; PM &amp; DM &amp; UI</v>
      </c>
      <c r="R186" s="203" t="s">
        <v>2239</v>
      </c>
      <c r="S186" s="203"/>
      <c r="T186" s="203" t="s">
        <v>259</v>
      </c>
      <c r="U186" s="203">
        <v>25</v>
      </c>
      <c r="V186" s="203">
        <f>$U186*DE_Cost!$B$1*8</f>
        <v>240</v>
      </c>
      <c r="W186" s="204">
        <f>$U186*DE_Cost!$B$1</f>
        <v>30</v>
      </c>
      <c r="X186" s="204"/>
      <c r="Y186" s="204"/>
      <c r="Z186" s="204">
        <f t="shared" si="5"/>
        <v>6</v>
      </c>
      <c r="AA186" s="203" t="s">
        <v>150</v>
      </c>
      <c r="AB186" s="203" t="s">
        <v>1257</v>
      </c>
      <c r="AC186" s="203"/>
      <c r="AD186" s="204">
        <f t="shared" si="4"/>
        <v>150</v>
      </c>
    </row>
    <row r="187" spans="1:30" ht="409.6">
      <c r="A187" s="56" t="s">
        <v>140</v>
      </c>
      <c r="B187" s="50" t="s">
        <v>1120</v>
      </c>
      <c r="C187" s="33" t="s">
        <v>1246</v>
      </c>
      <c r="D187" s="33" t="s">
        <v>1258</v>
      </c>
      <c r="E187" s="33" t="s">
        <v>1259</v>
      </c>
      <c r="F187" s="33" t="s">
        <v>1260</v>
      </c>
      <c r="G187" s="66" t="s">
        <v>1261</v>
      </c>
      <c r="H187" s="241" t="s">
        <v>1262</v>
      </c>
      <c r="I187" s="33" t="s">
        <v>1263</v>
      </c>
      <c r="J187" s="19" t="s">
        <v>1264</v>
      </c>
      <c r="K187" s="32" t="s">
        <v>1261</v>
      </c>
      <c r="L187" s="73" t="s">
        <v>1265</v>
      </c>
      <c r="M187" s="89"/>
      <c r="N187" s="90" t="s">
        <v>1266</v>
      </c>
      <c r="O187" s="90" t="s">
        <v>1267</v>
      </c>
      <c r="P187" s="203" t="s">
        <v>164</v>
      </c>
      <c r="Q187" s="203" t="str">
        <f>BRD_EPIC2[[#This Row],[system type]]&amp;BRD_EPIC2[[#This Row],[system type2]]</f>
        <v>Android &amp; Back-End &amp; QA &amp; PM &amp; DM &amp; UI</v>
      </c>
      <c r="R187" s="203" t="s">
        <v>2239</v>
      </c>
      <c r="S187" s="203"/>
      <c r="T187" s="203"/>
      <c r="U187" s="203">
        <v>25</v>
      </c>
      <c r="V187" s="203">
        <f>$U187*DE_Cost!$B$1*8</f>
        <v>240</v>
      </c>
      <c r="W187" s="204">
        <f>$U187*DE_Cost!$B$1</f>
        <v>30</v>
      </c>
      <c r="X187" s="204"/>
      <c r="Y187" s="204"/>
      <c r="Z187" s="204">
        <f t="shared" si="5"/>
        <v>6</v>
      </c>
      <c r="AA187" s="203" t="s">
        <v>42</v>
      </c>
      <c r="AB187" s="203"/>
      <c r="AC187" s="203"/>
      <c r="AD187" s="204">
        <f t="shared" si="4"/>
        <v>150</v>
      </c>
    </row>
    <row r="188" spans="1:30" ht="324">
      <c r="A188" s="56" t="s">
        <v>140</v>
      </c>
      <c r="B188" s="50" t="s">
        <v>1120</v>
      </c>
      <c r="C188" s="12" t="s">
        <v>1246</v>
      </c>
      <c r="D188" s="33" t="s">
        <v>1268</v>
      </c>
      <c r="E188" s="33" t="s">
        <v>1269</v>
      </c>
      <c r="F188" s="80" t="s">
        <v>1270</v>
      </c>
      <c r="G188" s="66" t="s">
        <v>1271</v>
      </c>
      <c r="H188" s="241" t="s">
        <v>1272</v>
      </c>
      <c r="I188" s="80" t="s">
        <v>1273</v>
      </c>
      <c r="J188" s="19" t="s">
        <v>1274</v>
      </c>
      <c r="K188" s="32" t="s">
        <v>1275</v>
      </c>
      <c r="L188" s="73" t="s">
        <v>1276</v>
      </c>
      <c r="M188" s="73"/>
      <c r="N188" s="90" t="s">
        <v>1277</v>
      </c>
      <c r="O188" s="90" t="s">
        <v>1278</v>
      </c>
      <c r="P188" s="203" t="s">
        <v>164</v>
      </c>
      <c r="Q188" s="203" t="str">
        <f>BRD_EPIC2[[#This Row],[system type]]&amp;BRD_EPIC2[[#This Row],[system type2]]</f>
        <v>Android &amp; Back-End &amp; QA &amp; PM &amp; DM &amp; UI</v>
      </c>
      <c r="R188" s="203" t="s">
        <v>2239</v>
      </c>
      <c r="S188" s="203"/>
      <c r="T188" s="203"/>
      <c r="U188" s="203">
        <v>25</v>
      </c>
      <c r="V188" s="203">
        <f>$U188*DE_Cost!$B$1*8</f>
        <v>240</v>
      </c>
      <c r="W188" s="204">
        <f>$U188*DE_Cost!$B$1</f>
        <v>30</v>
      </c>
      <c r="X188" s="204"/>
      <c r="Y188" s="204"/>
      <c r="Z188" s="204">
        <f t="shared" si="5"/>
        <v>6</v>
      </c>
      <c r="AA188" s="203" t="s">
        <v>42</v>
      </c>
      <c r="AB188" s="203"/>
      <c r="AC188" s="203"/>
      <c r="AD188" s="204">
        <f t="shared" ref="AD188:AD251" si="6">U188 * Z188</f>
        <v>150</v>
      </c>
    </row>
    <row r="189" spans="1:30" ht="409.6">
      <c r="A189" s="56" t="s">
        <v>140</v>
      </c>
      <c r="B189" s="50" t="s">
        <v>1120</v>
      </c>
      <c r="C189" s="12" t="s">
        <v>1246</v>
      </c>
      <c r="D189" s="33" t="s">
        <v>1279</v>
      </c>
      <c r="E189" s="33" t="s">
        <v>1280</v>
      </c>
      <c r="F189" s="33" t="s">
        <v>1281</v>
      </c>
      <c r="G189" s="66" t="s">
        <v>1282</v>
      </c>
      <c r="H189" s="241" t="s">
        <v>1283</v>
      </c>
      <c r="I189" s="33" t="s">
        <v>1284</v>
      </c>
      <c r="J189" s="19" t="s">
        <v>1285</v>
      </c>
      <c r="K189" s="32"/>
      <c r="L189" s="73"/>
      <c r="M189" s="73"/>
      <c r="N189" s="90" t="s">
        <v>1286</v>
      </c>
      <c r="O189" s="90" t="s">
        <v>1287</v>
      </c>
      <c r="P189" s="203" t="s">
        <v>164</v>
      </c>
      <c r="Q189" s="203" t="str">
        <f>BRD_EPIC2[[#This Row],[system type]]&amp;BRD_EPIC2[[#This Row],[system type2]]</f>
        <v>Android &amp; Back-End &amp; QA &amp; PM &amp; DM &amp; UI</v>
      </c>
      <c r="R189" s="203" t="s">
        <v>2239</v>
      </c>
      <c r="S189" s="203"/>
      <c r="T189" s="203"/>
      <c r="U189" s="203">
        <v>10</v>
      </c>
      <c r="V189" s="203">
        <f>$U189*DE_Cost!$B$1*8</f>
        <v>96</v>
      </c>
      <c r="W189" s="204">
        <f>$U189*DE_Cost!$B$1</f>
        <v>12</v>
      </c>
      <c r="X189" s="204"/>
      <c r="Y189" s="204"/>
      <c r="Z189" s="204">
        <f t="shared" si="5"/>
        <v>6</v>
      </c>
      <c r="AA189" s="203" t="s">
        <v>150</v>
      </c>
      <c r="AB189" s="203" t="s">
        <v>1288</v>
      </c>
      <c r="AC189" s="203"/>
      <c r="AD189" s="204">
        <f t="shared" si="6"/>
        <v>60</v>
      </c>
    </row>
    <row r="190" spans="1:30" ht="409.6">
      <c r="A190" s="56" t="s">
        <v>140</v>
      </c>
      <c r="B190" s="50" t="s">
        <v>1120</v>
      </c>
      <c r="C190" s="33" t="s">
        <v>1246</v>
      </c>
      <c r="D190" s="33" t="s">
        <v>1289</v>
      </c>
      <c r="E190" s="33" t="s">
        <v>1290</v>
      </c>
      <c r="F190" s="33" t="s">
        <v>1291</v>
      </c>
      <c r="G190" s="66" t="s">
        <v>1292</v>
      </c>
      <c r="H190" s="241" t="s">
        <v>1293</v>
      </c>
      <c r="I190" s="33" t="s">
        <v>1294</v>
      </c>
      <c r="J190" s="19" t="s">
        <v>1295</v>
      </c>
      <c r="K190" s="32"/>
      <c r="L190" s="73" t="s">
        <v>1296</v>
      </c>
      <c r="M190" s="73"/>
      <c r="N190" s="90" t="s">
        <v>1297</v>
      </c>
      <c r="O190" s="90" t="s">
        <v>1298</v>
      </c>
      <c r="P190" s="203" t="s">
        <v>164</v>
      </c>
      <c r="Q190" s="203" t="str">
        <f>BRD_EPIC2[[#This Row],[system type]]&amp;BRD_EPIC2[[#This Row],[system type2]]</f>
        <v>Android &amp; Back-End &amp; QA &amp; PM &amp; DM &amp; UI</v>
      </c>
      <c r="R190" s="203" t="s">
        <v>2239</v>
      </c>
      <c r="S190" s="203"/>
      <c r="T190" s="203"/>
      <c r="U190" s="203">
        <v>25</v>
      </c>
      <c r="V190" s="203">
        <f>$U190*DE_Cost!$B$1*8</f>
        <v>240</v>
      </c>
      <c r="W190" s="204">
        <f>$U190*DE_Cost!$B$1</f>
        <v>30</v>
      </c>
      <c r="X190" s="204"/>
      <c r="Y190" s="204"/>
      <c r="Z190" s="204">
        <f t="shared" si="5"/>
        <v>6</v>
      </c>
      <c r="AA190" s="203" t="s">
        <v>42</v>
      </c>
      <c r="AB190" s="203"/>
      <c r="AC190" s="203"/>
      <c r="AD190" s="204">
        <f t="shared" si="6"/>
        <v>150</v>
      </c>
    </row>
    <row r="191" spans="1:30" ht="394">
      <c r="A191" s="56" t="s">
        <v>140</v>
      </c>
      <c r="B191" s="50" t="s">
        <v>1120</v>
      </c>
      <c r="C191" s="12" t="s">
        <v>1246</v>
      </c>
      <c r="D191" s="12" t="s">
        <v>1299</v>
      </c>
      <c r="E191" s="12" t="s">
        <v>1300</v>
      </c>
      <c r="F191" s="12" t="s">
        <v>1301</v>
      </c>
      <c r="G191" s="66" t="s">
        <v>1250</v>
      </c>
      <c r="H191" s="241" t="s">
        <v>1302</v>
      </c>
      <c r="I191" s="12" t="s">
        <v>1303</v>
      </c>
      <c r="J191" s="19" t="s">
        <v>1304</v>
      </c>
      <c r="K191" s="32" t="s">
        <v>1250</v>
      </c>
      <c r="L191" s="73" t="s">
        <v>1305</v>
      </c>
      <c r="M191" s="73"/>
      <c r="N191" s="90" t="s">
        <v>1306</v>
      </c>
      <c r="O191" s="90" t="s">
        <v>1307</v>
      </c>
      <c r="P191" s="203" t="s">
        <v>164</v>
      </c>
      <c r="Q191" s="203" t="str">
        <f>BRD_EPIC2[[#This Row],[system type]]&amp;BRD_EPIC2[[#This Row],[system type2]]</f>
        <v>Android &amp; Back-End &amp; QA &amp; PM &amp; DM &amp; UI</v>
      </c>
      <c r="R191" s="203" t="s">
        <v>2239</v>
      </c>
      <c r="S191" s="203"/>
      <c r="T191" s="203"/>
      <c r="U191" s="203">
        <v>25</v>
      </c>
      <c r="V191" s="203">
        <f>$U191*DE_Cost!$B$1*8</f>
        <v>240</v>
      </c>
      <c r="W191" s="204">
        <f>$U191*DE_Cost!$B$1</f>
        <v>30</v>
      </c>
      <c r="X191" s="204"/>
      <c r="Y191" s="204"/>
      <c r="Z191" s="204">
        <f t="shared" si="5"/>
        <v>6</v>
      </c>
      <c r="AA191" s="203" t="s">
        <v>42</v>
      </c>
      <c r="AB191" s="203"/>
      <c r="AC191" s="203"/>
      <c r="AD191" s="204">
        <f t="shared" si="6"/>
        <v>150</v>
      </c>
    </row>
    <row r="192" spans="1:30" ht="409.6">
      <c r="A192" s="56" t="s">
        <v>140</v>
      </c>
      <c r="B192" s="50" t="s">
        <v>1120</v>
      </c>
      <c r="C192" s="12" t="s">
        <v>1308</v>
      </c>
      <c r="D192" s="12" t="s">
        <v>1309</v>
      </c>
      <c r="E192" s="12" t="s">
        <v>1310</v>
      </c>
      <c r="F192" s="12" t="s">
        <v>1311</v>
      </c>
      <c r="G192" s="32" t="s">
        <v>394</v>
      </c>
      <c r="H192" s="19" t="s">
        <v>1312</v>
      </c>
      <c r="I192" s="12" t="s">
        <v>1313</v>
      </c>
      <c r="J192" s="19" t="s">
        <v>1314</v>
      </c>
      <c r="K192" s="32"/>
      <c r="L192" s="73"/>
      <c r="M192" s="73"/>
      <c r="N192" s="90" t="s">
        <v>1315</v>
      </c>
      <c r="O192" s="90" t="s">
        <v>1316</v>
      </c>
      <c r="P192" s="203" t="s">
        <v>258</v>
      </c>
      <c r="Q192" s="203" t="str">
        <f>BRD_EPIC2[[#This Row],[system type]]&amp;BRD_EPIC2[[#This Row],[system type2]]</f>
        <v>Front-End &amp; Back-End &amp; QA &amp; PM &amp; DM &amp; UI</v>
      </c>
      <c r="R192" s="203" t="s">
        <v>2239</v>
      </c>
      <c r="S192" s="203"/>
      <c r="T192" s="203"/>
      <c r="U192" s="203">
        <v>40</v>
      </c>
      <c r="V192" s="203">
        <f>$U192*DE_Cost!$B$1*8</f>
        <v>384</v>
      </c>
      <c r="W192" s="204">
        <f>$U192*DE_Cost!$B$1</f>
        <v>48</v>
      </c>
      <c r="X192" s="204"/>
      <c r="Y192" s="204"/>
      <c r="Z192" s="204">
        <f t="shared" si="5"/>
        <v>6</v>
      </c>
      <c r="AA192" s="203" t="s">
        <v>42</v>
      </c>
      <c r="AB192" s="203"/>
      <c r="AC192" s="203"/>
      <c r="AD192" s="204">
        <f t="shared" si="6"/>
        <v>240</v>
      </c>
    </row>
    <row r="193" spans="1:30" ht="409.6">
      <c r="A193" s="56" t="s">
        <v>140</v>
      </c>
      <c r="B193" s="50" t="s">
        <v>1120</v>
      </c>
      <c r="C193" s="12" t="s">
        <v>1308</v>
      </c>
      <c r="D193" s="12" t="s">
        <v>1317</v>
      </c>
      <c r="E193" s="12" t="s">
        <v>1318</v>
      </c>
      <c r="F193" s="12" t="s">
        <v>1319</v>
      </c>
      <c r="G193" s="32" t="s">
        <v>1320</v>
      </c>
      <c r="H193" s="19" t="s">
        <v>1321</v>
      </c>
      <c r="I193" s="12" t="s">
        <v>1322</v>
      </c>
      <c r="J193" s="19" t="s">
        <v>1323</v>
      </c>
      <c r="K193" s="32" t="s">
        <v>1320</v>
      </c>
      <c r="L193" s="73" t="s">
        <v>1324</v>
      </c>
      <c r="M193" s="73"/>
      <c r="N193" s="90" t="s">
        <v>1325</v>
      </c>
      <c r="O193" s="90" t="s">
        <v>1326</v>
      </c>
      <c r="P193" s="203" t="s">
        <v>164</v>
      </c>
      <c r="Q193" s="203" t="str">
        <f>BRD_EPIC2[[#This Row],[system type]]&amp;BRD_EPIC2[[#This Row],[system type2]]</f>
        <v>Android &amp; Back-End &amp; QA &amp; PM &amp; DM &amp; UI</v>
      </c>
      <c r="R193" s="203" t="s">
        <v>2239</v>
      </c>
      <c r="S193" s="203"/>
      <c r="T193" s="203"/>
      <c r="U193" s="203">
        <v>20</v>
      </c>
      <c r="V193" s="203">
        <f>$U193*DE_Cost!$B$1*8</f>
        <v>192</v>
      </c>
      <c r="W193" s="204">
        <f>$U193*DE_Cost!$B$1</f>
        <v>24</v>
      </c>
      <c r="X193" s="204"/>
      <c r="Y193" s="204"/>
      <c r="Z193" s="204">
        <f t="shared" si="5"/>
        <v>6</v>
      </c>
      <c r="AA193" s="203" t="s">
        <v>42</v>
      </c>
      <c r="AB193" s="203"/>
      <c r="AC193" s="203"/>
      <c r="AD193" s="204">
        <f t="shared" si="6"/>
        <v>120</v>
      </c>
    </row>
    <row r="194" spans="1:30" ht="270">
      <c r="A194" s="56" t="s">
        <v>140</v>
      </c>
      <c r="B194" s="50" t="s">
        <v>1120</v>
      </c>
      <c r="C194" s="12" t="s">
        <v>1308</v>
      </c>
      <c r="D194" s="12" t="s">
        <v>1327</v>
      </c>
      <c r="E194" s="12" t="s">
        <v>1328</v>
      </c>
      <c r="F194" s="12" t="s">
        <v>1329</v>
      </c>
      <c r="G194" s="32" t="s">
        <v>1320</v>
      </c>
      <c r="H194" s="19" t="s">
        <v>1330</v>
      </c>
      <c r="I194" s="12" t="s">
        <v>1331</v>
      </c>
      <c r="J194" s="19" t="s">
        <v>1332</v>
      </c>
      <c r="K194" s="32"/>
      <c r="L194" s="73"/>
      <c r="M194" s="73"/>
      <c r="N194" s="90" t="s">
        <v>1333</v>
      </c>
      <c r="O194" s="233" t="s">
        <v>1334</v>
      </c>
      <c r="P194" s="203" t="s">
        <v>164</v>
      </c>
      <c r="Q194" s="203" t="str">
        <f>BRD_EPIC2[[#This Row],[system type]]&amp;BRD_EPIC2[[#This Row],[system type2]]</f>
        <v>Android &amp; Back-End &amp; QA &amp; PM &amp; DM &amp; UI</v>
      </c>
      <c r="R194" s="203" t="s">
        <v>2239</v>
      </c>
      <c r="S194" s="203"/>
      <c r="T194" s="203"/>
      <c r="U194" s="203">
        <v>30</v>
      </c>
      <c r="V194" s="203">
        <f>$U194*DE_Cost!$B$1*8</f>
        <v>288</v>
      </c>
      <c r="W194" s="204">
        <f>$U194*DE_Cost!$B$1</f>
        <v>36</v>
      </c>
      <c r="X194" s="204"/>
      <c r="Y194" s="204"/>
      <c r="Z194" s="204">
        <f t="shared" si="5"/>
        <v>6</v>
      </c>
      <c r="AA194" s="203" t="s">
        <v>42</v>
      </c>
      <c r="AB194" s="203"/>
      <c r="AC194" s="203"/>
      <c r="AD194" s="204">
        <f t="shared" si="6"/>
        <v>180</v>
      </c>
    </row>
    <row r="195" spans="1:30" ht="72">
      <c r="A195" s="234" t="s">
        <v>140</v>
      </c>
      <c r="B195" s="235" t="s">
        <v>1120</v>
      </c>
      <c r="C195" s="76" t="s">
        <v>1308</v>
      </c>
      <c r="D195" s="80" t="s">
        <v>1335</v>
      </c>
      <c r="E195" s="80" t="s">
        <v>1336</v>
      </c>
      <c r="F195" s="80" t="s">
        <v>1337</v>
      </c>
      <c r="G195" s="236"/>
      <c r="H195" s="243" t="s">
        <v>1338</v>
      </c>
      <c r="I195" s="80" t="s">
        <v>1339</v>
      </c>
      <c r="J195" s="226"/>
      <c r="K195" s="225"/>
      <c r="L195" s="73"/>
      <c r="M195" s="73"/>
      <c r="N195" s="237" t="s">
        <v>1340</v>
      </c>
      <c r="O195" s="237" t="s">
        <v>1341</v>
      </c>
      <c r="P195" s="203" t="s">
        <v>258</v>
      </c>
      <c r="Q195" s="203" t="str">
        <f>BRD_EPIC2[[#This Row],[system type]]&amp;BRD_EPIC2[[#This Row],[system type2]]</f>
        <v>Front-End &amp; Back-End &amp; QA &amp; PM &amp; DM &amp; UI</v>
      </c>
      <c r="R195" s="203" t="s">
        <v>2239</v>
      </c>
      <c r="S195" s="203"/>
      <c r="T195" s="229"/>
      <c r="U195" s="229">
        <v>5</v>
      </c>
      <c r="V195" s="229">
        <f>$U195*DE_Cost!$B$1*8</f>
        <v>48</v>
      </c>
      <c r="W195" s="230">
        <f>$U195*DE_Cost!$B$1</f>
        <v>6</v>
      </c>
      <c r="X195" s="204"/>
      <c r="Y195" s="204"/>
      <c r="Z195" s="204">
        <f t="shared" si="5"/>
        <v>6</v>
      </c>
      <c r="AA195" s="229" t="s">
        <v>42</v>
      </c>
      <c r="AB195" s="203"/>
      <c r="AC195" s="203"/>
      <c r="AD195" s="204">
        <f t="shared" si="6"/>
        <v>30</v>
      </c>
    </row>
    <row r="196" spans="1:30" ht="90">
      <c r="A196" s="56" t="s">
        <v>140</v>
      </c>
      <c r="B196" s="50" t="s">
        <v>1120</v>
      </c>
      <c r="C196" s="12" t="s">
        <v>1308</v>
      </c>
      <c r="D196" s="12" t="s">
        <v>1342</v>
      </c>
      <c r="E196" s="12" t="s">
        <v>1343</v>
      </c>
      <c r="F196" s="12" t="s">
        <v>1344</v>
      </c>
      <c r="G196" s="63"/>
      <c r="H196" s="19" t="s">
        <v>1345</v>
      </c>
      <c r="I196" s="12" t="s">
        <v>1346</v>
      </c>
      <c r="J196" s="19"/>
      <c r="K196" s="32"/>
      <c r="L196" s="73"/>
      <c r="M196" s="73"/>
      <c r="N196" s="90"/>
      <c r="O196" s="90" t="s">
        <v>1347</v>
      </c>
      <c r="P196" s="203" t="s">
        <v>164</v>
      </c>
      <c r="Q196" s="203" t="str">
        <f>BRD_EPIC2[[#This Row],[system type]]&amp;BRD_EPIC2[[#This Row],[system type2]]</f>
        <v>Android &amp; Back-End &amp; QA &amp; PM &amp; DM &amp; UI</v>
      </c>
      <c r="R196" s="203" t="s">
        <v>2239</v>
      </c>
      <c r="S196" s="203"/>
      <c r="T196" s="203"/>
      <c r="U196" s="203">
        <v>8</v>
      </c>
      <c r="V196" s="203">
        <f>$U196*DE_Cost!$B$1*8</f>
        <v>76.8</v>
      </c>
      <c r="W196" s="204">
        <f>$U196*DE_Cost!$B$1</f>
        <v>9.6</v>
      </c>
      <c r="X196" s="204"/>
      <c r="Y196" s="204"/>
      <c r="Z196" s="204">
        <f t="shared" si="5"/>
        <v>6</v>
      </c>
      <c r="AA196" s="203" t="s">
        <v>42</v>
      </c>
      <c r="AB196" s="203"/>
      <c r="AC196" s="203"/>
      <c r="AD196" s="204">
        <f t="shared" si="6"/>
        <v>48</v>
      </c>
    </row>
    <row r="197" spans="1:30" ht="90">
      <c r="A197" s="56" t="s">
        <v>140</v>
      </c>
      <c r="B197" s="50" t="s">
        <v>1120</v>
      </c>
      <c r="C197" s="12" t="s">
        <v>1308</v>
      </c>
      <c r="D197" s="12" t="s">
        <v>1348</v>
      </c>
      <c r="E197" s="12" t="s">
        <v>1349</v>
      </c>
      <c r="F197" s="12" t="s">
        <v>1350</v>
      </c>
      <c r="G197" s="63"/>
      <c r="H197" s="19" t="s">
        <v>1351</v>
      </c>
      <c r="I197" s="12" t="s">
        <v>1352</v>
      </c>
      <c r="J197" s="19"/>
      <c r="K197" s="32"/>
      <c r="L197" s="73"/>
      <c r="M197" s="73"/>
      <c r="N197" s="90"/>
      <c r="O197" s="90" t="s">
        <v>1353</v>
      </c>
      <c r="P197" s="203" t="s">
        <v>258</v>
      </c>
      <c r="Q197" s="203" t="str">
        <f>BRD_EPIC2[[#This Row],[system type]]&amp;BRD_EPIC2[[#This Row],[system type2]]</f>
        <v>Front-End &amp; Back-End &amp; QA &amp; PM &amp; DM &amp; UI</v>
      </c>
      <c r="R197" s="203" t="s">
        <v>2239</v>
      </c>
      <c r="S197" s="203"/>
      <c r="T197" s="203"/>
      <c r="U197" s="203">
        <v>8</v>
      </c>
      <c r="V197" s="203">
        <f>$U197*DE_Cost!$B$1*8</f>
        <v>76.8</v>
      </c>
      <c r="W197" s="204">
        <f>$U197*DE_Cost!$B$1</f>
        <v>9.6</v>
      </c>
      <c r="X197" s="204"/>
      <c r="Y197" s="204"/>
      <c r="Z197" s="204">
        <f t="shared" si="5"/>
        <v>6</v>
      </c>
      <c r="AA197" s="203" t="s">
        <v>42</v>
      </c>
      <c r="AB197" s="203"/>
      <c r="AC197" s="203"/>
      <c r="AD197" s="204">
        <f t="shared" si="6"/>
        <v>48</v>
      </c>
    </row>
    <row r="198" spans="1:30" ht="90">
      <c r="A198" s="56" t="s">
        <v>140</v>
      </c>
      <c r="B198" s="50" t="s">
        <v>1120</v>
      </c>
      <c r="C198" s="12" t="s">
        <v>1308</v>
      </c>
      <c r="D198" s="12" t="s">
        <v>1354</v>
      </c>
      <c r="E198" s="12" t="s">
        <v>1355</v>
      </c>
      <c r="F198" s="12" t="s">
        <v>1356</v>
      </c>
      <c r="G198" s="63"/>
      <c r="H198" s="19" t="s">
        <v>1357</v>
      </c>
      <c r="I198" s="12" t="s">
        <v>1358</v>
      </c>
      <c r="J198" s="19"/>
      <c r="K198" s="32"/>
      <c r="L198" s="73"/>
      <c r="M198" s="73"/>
      <c r="N198" s="90"/>
      <c r="O198" s="90" t="s">
        <v>1358</v>
      </c>
      <c r="P198" s="203" t="s">
        <v>258</v>
      </c>
      <c r="Q198" s="203" t="str">
        <f>BRD_EPIC2[[#This Row],[system type]]&amp;BRD_EPIC2[[#This Row],[system type2]]</f>
        <v>Front-End &amp; Back-End &amp; QA &amp; PM &amp; DM &amp; UI</v>
      </c>
      <c r="R198" s="203" t="s">
        <v>2239</v>
      </c>
      <c r="S198" s="203"/>
      <c r="T198" s="203"/>
      <c r="U198" s="203">
        <v>10</v>
      </c>
      <c r="V198" s="203">
        <f>$U198*DE_Cost!$B$1*8</f>
        <v>96</v>
      </c>
      <c r="W198" s="204">
        <f>$U198*DE_Cost!$B$1</f>
        <v>12</v>
      </c>
      <c r="X198" s="204"/>
      <c r="Y198" s="204"/>
      <c r="Z198" s="204">
        <f t="shared" si="5"/>
        <v>6</v>
      </c>
      <c r="AA198" s="203" t="s">
        <v>42</v>
      </c>
      <c r="AB198" s="203"/>
      <c r="AC198" s="203"/>
      <c r="AD198" s="204">
        <f t="shared" si="6"/>
        <v>60</v>
      </c>
    </row>
    <row r="199" spans="1:30" ht="409.6">
      <c r="A199" s="56" t="s">
        <v>140</v>
      </c>
      <c r="B199" s="50" t="s">
        <v>1120</v>
      </c>
      <c r="C199" s="12" t="s">
        <v>1308</v>
      </c>
      <c r="D199" s="33" t="s">
        <v>1359</v>
      </c>
      <c r="E199" s="33" t="s">
        <v>1360</v>
      </c>
      <c r="F199" s="33" t="s">
        <v>1361</v>
      </c>
      <c r="G199" s="32" t="s">
        <v>1282</v>
      </c>
      <c r="H199" s="19" t="s">
        <v>1362</v>
      </c>
      <c r="I199" s="33" t="s">
        <v>1363</v>
      </c>
      <c r="J199" s="19" t="s">
        <v>1364</v>
      </c>
      <c r="K199" s="32"/>
      <c r="L199" s="73"/>
      <c r="M199" s="73"/>
      <c r="N199" s="90"/>
      <c r="O199" s="90" t="s">
        <v>1365</v>
      </c>
      <c r="P199" s="203" t="s">
        <v>164</v>
      </c>
      <c r="Q199" s="203" t="str">
        <f>BRD_EPIC2[[#This Row],[system type]]&amp;BRD_EPIC2[[#This Row],[system type2]]</f>
        <v>Android &amp; Back-End &amp; QA &amp; PM &amp; DM &amp; UI</v>
      </c>
      <c r="R199" s="203" t="s">
        <v>2239</v>
      </c>
      <c r="S199" s="203"/>
      <c r="T199" s="203"/>
      <c r="U199" s="203">
        <v>20</v>
      </c>
      <c r="V199" s="203">
        <f>$U199*DE_Cost!$B$1*8</f>
        <v>192</v>
      </c>
      <c r="W199" s="204">
        <f>$U199*DE_Cost!$B$1</f>
        <v>24</v>
      </c>
      <c r="X199" s="204"/>
      <c r="Y199" s="204"/>
      <c r="Z199" s="204">
        <f t="shared" si="5"/>
        <v>6</v>
      </c>
      <c r="AA199" s="203" t="s">
        <v>42</v>
      </c>
      <c r="AB199" s="203"/>
      <c r="AC199" s="203"/>
      <c r="AD199" s="204">
        <f t="shared" si="6"/>
        <v>120</v>
      </c>
    </row>
    <row r="200" spans="1:30" ht="72">
      <c r="A200" s="56" t="s">
        <v>140</v>
      </c>
      <c r="B200" s="50" t="s">
        <v>1120</v>
      </c>
      <c r="C200" s="12" t="s">
        <v>1308</v>
      </c>
      <c r="D200" s="12" t="s">
        <v>1366</v>
      </c>
      <c r="E200" s="12" t="s">
        <v>1367</v>
      </c>
      <c r="F200" s="12" t="s">
        <v>1368</v>
      </c>
      <c r="G200" s="32" t="s">
        <v>1292</v>
      </c>
      <c r="H200" s="19" t="s">
        <v>1369</v>
      </c>
      <c r="I200" s="12" t="s">
        <v>1370</v>
      </c>
      <c r="J200" s="19"/>
      <c r="K200" s="32"/>
      <c r="L200" s="73"/>
      <c r="M200" s="73"/>
      <c r="N200" s="90"/>
      <c r="O200" s="90" t="s">
        <v>1371</v>
      </c>
      <c r="P200" s="203" t="s">
        <v>258</v>
      </c>
      <c r="Q200" s="203" t="str">
        <f>BRD_EPIC2[[#This Row],[system type]]&amp;BRD_EPIC2[[#This Row],[system type2]]</f>
        <v>Front-End &amp; Back-End &amp; QA &amp; PM &amp; DM &amp; UI</v>
      </c>
      <c r="R200" s="203" t="s">
        <v>2239</v>
      </c>
      <c r="S200" s="203"/>
      <c r="T200" s="203"/>
      <c r="U200" s="203">
        <v>10</v>
      </c>
      <c r="V200" s="203">
        <f>$U200*DE_Cost!$B$1*8</f>
        <v>96</v>
      </c>
      <c r="W200" s="204">
        <f>$U200*DE_Cost!$B$1</f>
        <v>12</v>
      </c>
      <c r="X200" s="204"/>
      <c r="Y200" s="204"/>
      <c r="Z200" s="204">
        <f t="shared" si="5"/>
        <v>6</v>
      </c>
      <c r="AA200" s="203" t="s">
        <v>150</v>
      </c>
      <c r="AB200" s="203" t="s">
        <v>1372</v>
      </c>
      <c r="AC200" s="203"/>
      <c r="AD200" s="204">
        <f t="shared" si="6"/>
        <v>60</v>
      </c>
    </row>
    <row r="201" spans="1:30" ht="108">
      <c r="A201" s="56" t="s">
        <v>140</v>
      </c>
      <c r="B201" s="50" t="s">
        <v>1120</v>
      </c>
      <c r="C201" s="12" t="s">
        <v>1308</v>
      </c>
      <c r="D201" s="12" t="s">
        <v>1373</v>
      </c>
      <c r="E201" s="12" t="s">
        <v>1374</v>
      </c>
      <c r="F201" s="12" t="s">
        <v>1375</v>
      </c>
      <c r="G201" s="32"/>
      <c r="H201" s="19" t="s">
        <v>1376</v>
      </c>
      <c r="I201" s="12" t="s">
        <v>1377</v>
      </c>
      <c r="J201" s="19"/>
      <c r="K201" s="32" t="s">
        <v>398</v>
      </c>
      <c r="L201" s="73"/>
      <c r="M201" s="73"/>
      <c r="N201" s="90" t="s">
        <v>1378</v>
      </c>
      <c r="O201" s="90" t="s">
        <v>1379</v>
      </c>
      <c r="P201" s="203" t="s">
        <v>164</v>
      </c>
      <c r="Q201" s="203" t="str">
        <f>BRD_EPIC2[[#This Row],[system type]]&amp;BRD_EPIC2[[#This Row],[system type2]]</f>
        <v>Android &amp; Back-End &amp; QA &amp; PM &amp; DM &amp; UI</v>
      </c>
      <c r="R201" s="203" t="s">
        <v>2239</v>
      </c>
      <c r="S201" s="203"/>
      <c r="T201" s="203"/>
      <c r="U201" s="203">
        <v>30</v>
      </c>
      <c r="V201" s="203">
        <f>$U201*DE_Cost!$B$1*8</f>
        <v>288</v>
      </c>
      <c r="W201" s="204">
        <f>$U201*DE_Cost!$B$1</f>
        <v>36</v>
      </c>
      <c r="X201" s="204"/>
      <c r="Y201" s="204"/>
      <c r="Z201" s="204">
        <f t="shared" si="5"/>
        <v>6</v>
      </c>
      <c r="AA201" s="203" t="s">
        <v>42</v>
      </c>
      <c r="AB201" s="203"/>
      <c r="AC201" s="203"/>
      <c r="AD201" s="204">
        <f t="shared" si="6"/>
        <v>180</v>
      </c>
    </row>
    <row r="202" spans="1:30" ht="157" customHeight="1">
      <c r="A202" s="56" t="s">
        <v>140</v>
      </c>
      <c r="B202" s="50" t="s">
        <v>1120</v>
      </c>
      <c r="C202" s="12" t="s">
        <v>1380</v>
      </c>
      <c r="D202" s="33" t="s">
        <v>1381</v>
      </c>
      <c r="E202" s="33" t="s">
        <v>1382</v>
      </c>
      <c r="F202" s="33" t="s">
        <v>1383</v>
      </c>
      <c r="G202" s="32" t="s">
        <v>394</v>
      </c>
      <c r="H202" s="19" t="s">
        <v>1384</v>
      </c>
      <c r="I202" s="19" t="s">
        <v>1385</v>
      </c>
      <c r="J202" s="19" t="s">
        <v>1386</v>
      </c>
      <c r="K202" s="32" t="s">
        <v>1387</v>
      </c>
      <c r="L202" s="73"/>
      <c r="M202" s="73" t="s">
        <v>1388</v>
      </c>
      <c r="N202" s="90" t="s">
        <v>1389</v>
      </c>
      <c r="O202" s="90" t="s">
        <v>1390</v>
      </c>
      <c r="P202" s="203" t="s">
        <v>258</v>
      </c>
      <c r="Q202" s="203" t="str">
        <f>BRD_EPIC2[[#This Row],[system type]]&amp;BRD_EPIC2[[#This Row],[system type2]]</f>
        <v>Front-End &amp; Back-End &amp; QA &amp; PM &amp; DM &amp; UI</v>
      </c>
      <c r="R202" s="203" t="s">
        <v>2239</v>
      </c>
      <c r="S202" s="203"/>
      <c r="T202" s="203"/>
      <c r="U202" s="203">
        <v>25</v>
      </c>
      <c r="V202" s="203">
        <f>$U202*DE_Cost!$B$1*8</f>
        <v>240</v>
      </c>
      <c r="W202" s="204">
        <f>$U202*DE_Cost!$B$1</f>
        <v>30</v>
      </c>
      <c r="X202" s="204"/>
      <c r="Y202" s="204"/>
      <c r="Z202" s="204">
        <f t="shared" si="5"/>
        <v>6</v>
      </c>
      <c r="AA202" s="203" t="s">
        <v>42</v>
      </c>
      <c r="AB202" s="203"/>
      <c r="AC202" s="203"/>
      <c r="AD202" s="204">
        <f t="shared" si="6"/>
        <v>150</v>
      </c>
    </row>
    <row r="203" spans="1:30" ht="108">
      <c r="A203" s="56" t="s">
        <v>140</v>
      </c>
      <c r="B203" s="50" t="s">
        <v>1120</v>
      </c>
      <c r="C203" s="12" t="s">
        <v>1380</v>
      </c>
      <c r="D203" s="33" t="s">
        <v>1391</v>
      </c>
      <c r="E203" s="33" t="s">
        <v>1392</v>
      </c>
      <c r="F203" s="33" t="s">
        <v>1393</v>
      </c>
      <c r="G203" s="63"/>
      <c r="H203" s="19" t="s">
        <v>1394</v>
      </c>
      <c r="I203" s="33" t="s">
        <v>1395</v>
      </c>
      <c r="J203" s="19"/>
      <c r="K203" s="32"/>
      <c r="L203" s="73"/>
      <c r="M203" s="73"/>
      <c r="N203" s="90" t="s">
        <v>1396</v>
      </c>
      <c r="O203" s="90" t="s">
        <v>1397</v>
      </c>
      <c r="P203" s="203" t="s">
        <v>321</v>
      </c>
      <c r="Q203" s="203" t="str">
        <f>BRD_EPIC2[[#This Row],[system type]]&amp;BRD_EPIC2[[#This Row],[system type2]]</f>
        <v>Android &amp; Front-End &amp; Back-End &amp; QA &amp; PM &amp; DM &amp; UI</v>
      </c>
      <c r="R203" s="203" t="s">
        <v>2239</v>
      </c>
      <c r="S203" s="203"/>
      <c r="T203" s="203"/>
      <c r="U203" s="203">
        <v>10</v>
      </c>
      <c r="V203" s="203">
        <f>$U203*DE_Cost!$B$1*8</f>
        <v>96</v>
      </c>
      <c r="W203" s="204">
        <f>$U203*DE_Cost!$B$1</f>
        <v>12</v>
      </c>
      <c r="X203" s="204"/>
      <c r="Y203" s="204"/>
      <c r="Z203" s="204">
        <f t="shared" si="5"/>
        <v>7</v>
      </c>
      <c r="AA203" s="203" t="s">
        <v>42</v>
      </c>
      <c r="AB203" s="203"/>
      <c r="AC203" s="203"/>
      <c r="AD203" s="204">
        <f t="shared" si="6"/>
        <v>70</v>
      </c>
    </row>
    <row r="204" spans="1:30" ht="144">
      <c r="A204" s="56" t="s">
        <v>140</v>
      </c>
      <c r="B204" s="50" t="s">
        <v>1120</v>
      </c>
      <c r="C204" s="12" t="s">
        <v>1380</v>
      </c>
      <c r="D204" s="12" t="s">
        <v>1398</v>
      </c>
      <c r="E204" s="12" t="s">
        <v>1399</v>
      </c>
      <c r="F204" s="12" t="s">
        <v>1400</v>
      </c>
      <c r="G204" s="32"/>
      <c r="H204" s="19" t="s">
        <v>1401</v>
      </c>
      <c r="I204" s="12" t="s">
        <v>1402</v>
      </c>
      <c r="J204" s="19"/>
      <c r="K204" s="32"/>
      <c r="L204" s="73"/>
      <c r="M204" s="73"/>
      <c r="N204" s="90" t="s">
        <v>1403</v>
      </c>
      <c r="O204" s="90" t="s">
        <v>1404</v>
      </c>
      <c r="P204" s="203" t="s">
        <v>164</v>
      </c>
      <c r="Q204" s="203" t="str">
        <f>BRD_EPIC2[[#This Row],[system type]]&amp;BRD_EPIC2[[#This Row],[system type2]]</f>
        <v>Android &amp; Back-End &amp; QA &amp; PM &amp; DM &amp; UI</v>
      </c>
      <c r="R204" s="203" t="s">
        <v>2239</v>
      </c>
      <c r="S204" s="203"/>
      <c r="T204" s="203"/>
      <c r="U204" s="203">
        <v>12</v>
      </c>
      <c r="V204" s="203">
        <f>$U204*DE_Cost!$B$1*8</f>
        <v>115.19999999999999</v>
      </c>
      <c r="W204" s="204">
        <f>$U204*DE_Cost!$B$1</f>
        <v>14.399999999999999</v>
      </c>
      <c r="X204" s="204"/>
      <c r="Y204" s="204"/>
      <c r="Z204" s="204">
        <f t="shared" si="5"/>
        <v>6</v>
      </c>
      <c r="AA204" s="203" t="s">
        <v>42</v>
      </c>
      <c r="AB204" s="203"/>
      <c r="AC204" s="203"/>
      <c r="AD204" s="204">
        <f t="shared" si="6"/>
        <v>72</v>
      </c>
    </row>
    <row r="205" spans="1:30" ht="146">
      <c r="A205" s="56" t="s">
        <v>140</v>
      </c>
      <c r="B205" s="50" t="s">
        <v>1120</v>
      </c>
      <c r="C205" s="12" t="s">
        <v>1405</v>
      </c>
      <c r="D205" s="33" t="s">
        <v>1406</v>
      </c>
      <c r="E205" s="33" t="s">
        <v>1407</v>
      </c>
      <c r="F205" s="33" t="s">
        <v>1408</v>
      </c>
      <c r="G205" s="32" t="s">
        <v>394</v>
      </c>
      <c r="H205" s="19" t="s">
        <v>1409</v>
      </c>
      <c r="I205" s="238" t="s">
        <v>1410</v>
      </c>
      <c r="J205" s="19" t="s">
        <v>1411</v>
      </c>
      <c r="K205" s="32" t="s">
        <v>1387</v>
      </c>
      <c r="L205" s="73" t="s">
        <v>1412</v>
      </c>
      <c r="M205" s="73"/>
      <c r="N205" s="90" t="s">
        <v>1413</v>
      </c>
      <c r="O205" s="90" t="s">
        <v>1414</v>
      </c>
      <c r="P205" s="203" t="s">
        <v>1415</v>
      </c>
      <c r="Q205" s="203" t="str">
        <f>BRD_EPIC2[[#This Row],[system type]]&amp;BRD_EPIC2[[#This Row],[system type2]]</f>
        <v>Front-End &amp; Back-End  &amp; QA &amp; PM &amp; DM &amp; UI</v>
      </c>
      <c r="R205" s="203" t="s">
        <v>2239</v>
      </c>
      <c r="S205" s="203"/>
      <c r="T205" s="203"/>
      <c r="U205" s="203">
        <v>20</v>
      </c>
      <c r="V205" s="203">
        <f>$U205*DE_Cost!$B$1*8</f>
        <v>192</v>
      </c>
      <c r="W205" s="204">
        <f>$U205*DE_Cost!$B$1</f>
        <v>24</v>
      </c>
      <c r="X205" s="204"/>
      <c r="Y205" s="204"/>
      <c r="Z205" s="204">
        <f t="shared" si="5"/>
        <v>6</v>
      </c>
      <c r="AA205" s="203" t="s">
        <v>150</v>
      </c>
      <c r="AB205" s="203" t="s">
        <v>1416</v>
      </c>
      <c r="AC205" s="203"/>
      <c r="AD205" s="204">
        <f t="shared" si="6"/>
        <v>120</v>
      </c>
    </row>
    <row r="206" spans="1:30" ht="74">
      <c r="A206" s="56" t="s">
        <v>140</v>
      </c>
      <c r="B206" s="50" t="s">
        <v>1120</v>
      </c>
      <c r="C206" s="12" t="s">
        <v>1405</v>
      </c>
      <c r="D206" s="12" t="s">
        <v>1417</v>
      </c>
      <c r="E206" s="12" t="s">
        <v>1418</v>
      </c>
      <c r="F206" s="76" t="s">
        <v>1419</v>
      </c>
      <c r="G206" s="32" t="s">
        <v>394</v>
      </c>
      <c r="H206" s="19" t="s">
        <v>1420</v>
      </c>
      <c r="I206" s="76" t="s">
        <v>1421</v>
      </c>
      <c r="J206" s="19"/>
      <c r="K206" s="32"/>
      <c r="L206" s="73"/>
      <c r="M206" s="73"/>
      <c r="N206" s="90" t="s">
        <v>1422</v>
      </c>
      <c r="O206" s="90" t="s">
        <v>1421</v>
      </c>
      <c r="P206" s="203" t="s">
        <v>258</v>
      </c>
      <c r="Q206" s="203" t="str">
        <f>BRD_EPIC2[[#This Row],[system type]]&amp;BRD_EPIC2[[#This Row],[system type2]]</f>
        <v>Front-End &amp; Back-End &amp; QA &amp; PM &amp; DM &amp; UI</v>
      </c>
      <c r="R206" s="203" t="s">
        <v>2239</v>
      </c>
      <c r="S206" s="203"/>
      <c r="T206" s="203"/>
      <c r="U206" s="203">
        <v>20</v>
      </c>
      <c r="V206" s="203">
        <f>$U206*DE_Cost!$B$1*8</f>
        <v>192</v>
      </c>
      <c r="W206" s="204">
        <f>$U206*DE_Cost!$B$1</f>
        <v>24</v>
      </c>
      <c r="X206" s="204"/>
      <c r="Y206" s="204"/>
      <c r="Z206" s="204">
        <f t="shared" si="5"/>
        <v>6</v>
      </c>
      <c r="AA206" s="203" t="s">
        <v>150</v>
      </c>
      <c r="AB206" s="203" t="s">
        <v>1416</v>
      </c>
      <c r="AC206" s="203"/>
      <c r="AD206" s="204">
        <f t="shared" si="6"/>
        <v>120</v>
      </c>
    </row>
    <row r="207" spans="1:30" ht="409.6">
      <c r="A207" s="56" t="s">
        <v>140</v>
      </c>
      <c r="B207" s="50" t="s">
        <v>1120</v>
      </c>
      <c r="C207" s="12" t="s">
        <v>1405</v>
      </c>
      <c r="D207" s="12" t="s">
        <v>1423</v>
      </c>
      <c r="E207" s="12" t="s">
        <v>1424</v>
      </c>
      <c r="F207" s="12" t="s">
        <v>1425</v>
      </c>
      <c r="G207" s="32" t="s">
        <v>394</v>
      </c>
      <c r="H207" s="19" t="s">
        <v>1426</v>
      </c>
      <c r="I207" s="232" t="s">
        <v>1427</v>
      </c>
      <c r="J207" s="19" t="s">
        <v>1428</v>
      </c>
      <c r="K207" s="32"/>
      <c r="L207" s="73"/>
      <c r="M207" s="73"/>
      <c r="N207" s="90" t="s">
        <v>1429</v>
      </c>
      <c r="O207" s="90" t="s">
        <v>1430</v>
      </c>
      <c r="P207" s="203" t="s">
        <v>258</v>
      </c>
      <c r="Q207" s="203" t="str">
        <f>BRD_EPIC2[[#This Row],[system type]]&amp;BRD_EPIC2[[#This Row],[system type2]]</f>
        <v>Front-End &amp; Back-End &amp; QA &amp; PM &amp; DM &amp; UI</v>
      </c>
      <c r="R207" s="203" t="s">
        <v>2239</v>
      </c>
      <c r="S207" s="203"/>
      <c r="T207" s="203"/>
      <c r="U207" s="203">
        <v>15</v>
      </c>
      <c r="V207" s="203">
        <f>$U207*DE_Cost!$B$1*8</f>
        <v>144</v>
      </c>
      <c r="W207" s="204">
        <f>$U207*DE_Cost!$B$1</f>
        <v>18</v>
      </c>
      <c r="X207" s="204"/>
      <c r="Y207" s="204"/>
      <c r="Z207" s="204">
        <f t="shared" si="5"/>
        <v>6</v>
      </c>
      <c r="AA207" s="203" t="s">
        <v>150</v>
      </c>
      <c r="AB207" s="203" t="s">
        <v>1416</v>
      </c>
      <c r="AC207" s="203"/>
      <c r="AD207" s="204">
        <f t="shared" si="6"/>
        <v>90</v>
      </c>
    </row>
    <row r="208" spans="1:30" ht="409.6">
      <c r="A208" s="56" t="s">
        <v>140</v>
      </c>
      <c r="B208" s="50" t="s">
        <v>1120</v>
      </c>
      <c r="C208" s="12" t="s">
        <v>1405</v>
      </c>
      <c r="D208" s="33" t="s">
        <v>1431</v>
      </c>
      <c r="E208" s="12" t="s">
        <v>1432</v>
      </c>
      <c r="F208" s="33" t="s">
        <v>1433</v>
      </c>
      <c r="G208" s="32" t="s">
        <v>394</v>
      </c>
      <c r="H208" s="19" t="s">
        <v>1434</v>
      </c>
      <c r="I208" s="33" t="s">
        <v>1435</v>
      </c>
      <c r="J208" s="19" t="s">
        <v>1436</v>
      </c>
      <c r="K208" s="32" t="s">
        <v>1387</v>
      </c>
      <c r="L208" s="73"/>
      <c r="M208" s="73"/>
      <c r="N208" s="90" t="s">
        <v>1437</v>
      </c>
      <c r="O208" s="90" t="s">
        <v>1438</v>
      </c>
      <c r="P208" s="203" t="s">
        <v>258</v>
      </c>
      <c r="Q208" s="203" t="str">
        <f>BRD_EPIC2[[#This Row],[system type]]&amp;BRD_EPIC2[[#This Row],[system type2]]</f>
        <v>Front-End &amp; Back-End &amp; QA &amp; PM &amp; DM &amp; UI</v>
      </c>
      <c r="R208" s="203" t="s">
        <v>2239</v>
      </c>
      <c r="S208" s="203"/>
      <c r="T208" s="203"/>
      <c r="U208" s="203">
        <v>15</v>
      </c>
      <c r="V208" s="203">
        <f>$U208*DE_Cost!$B$1*8</f>
        <v>144</v>
      </c>
      <c r="W208" s="204">
        <f>$U208*DE_Cost!$B$1</f>
        <v>18</v>
      </c>
      <c r="X208" s="204"/>
      <c r="Y208" s="204"/>
      <c r="Z208" s="204">
        <f t="shared" si="5"/>
        <v>6</v>
      </c>
      <c r="AA208" s="203" t="s">
        <v>42</v>
      </c>
      <c r="AB208" s="203"/>
      <c r="AC208" s="203"/>
      <c r="AD208" s="204">
        <f t="shared" si="6"/>
        <v>90</v>
      </c>
    </row>
    <row r="209" spans="1:30" ht="216">
      <c r="A209" s="56" t="s">
        <v>140</v>
      </c>
      <c r="B209" s="50" t="s">
        <v>1120</v>
      </c>
      <c r="C209" s="12" t="s">
        <v>1405</v>
      </c>
      <c r="D209" s="12" t="s">
        <v>1439</v>
      </c>
      <c r="E209" s="12" t="s">
        <v>1440</v>
      </c>
      <c r="F209" s="12" t="s">
        <v>1441</v>
      </c>
      <c r="G209" s="32" t="s">
        <v>1442</v>
      </c>
      <c r="H209" s="19" t="s">
        <v>1443</v>
      </c>
      <c r="I209" s="12" t="s">
        <v>1444</v>
      </c>
      <c r="J209" s="19" t="s">
        <v>1445</v>
      </c>
      <c r="K209" s="32"/>
      <c r="L209" s="73"/>
      <c r="M209" s="73"/>
      <c r="N209" s="90" t="s">
        <v>1446</v>
      </c>
      <c r="O209" s="90" t="s">
        <v>1447</v>
      </c>
      <c r="P209" s="203" t="s">
        <v>258</v>
      </c>
      <c r="Q209" s="203" t="str">
        <f>BRD_EPIC2[[#This Row],[system type]]&amp;BRD_EPIC2[[#This Row],[system type2]]</f>
        <v>Front-End &amp; Back-End &amp; QA &amp; PM &amp; DM &amp; UI</v>
      </c>
      <c r="R209" s="203" t="s">
        <v>2239</v>
      </c>
      <c r="S209" s="203"/>
      <c r="T209" s="203"/>
      <c r="U209" s="203">
        <v>20</v>
      </c>
      <c r="V209" s="203">
        <f>$U209*DE_Cost!$B$1*8</f>
        <v>192</v>
      </c>
      <c r="W209" s="204">
        <f>$U209*DE_Cost!$B$1</f>
        <v>24</v>
      </c>
      <c r="X209" s="204"/>
      <c r="Y209" s="204"/>
      <c r="Z209" s="204">
        <f t="shared" si="5"/>
        <v>6</v>
      </c>
      <c r="AA209" s="203" t="s">
        <v>42</v>
      </c>
      <c r="AB209" s="203"/>
      <c r="AC209" s="203"/>
      <c r="AD209" s="204">
        <f t="shared" si="6"/>
        <v>120</v>
      </c>
    </row>
    <row r="210" spans="1:30" ht="252">
      <c r="A210" s="56" t="s">
        <v>140</v>
      </c>
      <c r="B210" s="50" t="s">
        <v>1120</v>
      </c>
      <c r="C210" s="12" t="s">
        <v>1405</v>
      </c>
      <c r="D210" s="12" t="s">
        <v>1448</v>
      </c>
      <c r="E210" s="12" t="s">
        <v>1449</v>
      </c>
      <c r="F210" s="12" t="s">
        <v>1450</v>
      </c>
      <c r="G210" s="32" t="s">
        <v>1451</v>
      </c>
      <c r="H210" s="19" t="s">
        <v>1452</v>
      </c>
      <c r="I210" s="12" t="s">
        <v>1453</v>
      </c>
      <c r="J210" s="19" t="s">
        <v>1454</v>
      </c>
      <c r="K210" s="32"/>
      <c r="L210" s="73"/>
      <c r="M210" s="73"/>
      <c r="N210" s="90" t="s">
        <v>1455</v>
      </c>
      <c r="O210" s="90"/>
      <c r="P210" s="203" t="s">
        <v>258</v>
      </c>
      <c r="Q210" s="203" t="str">
        <f>BRD_EPIC2[[#This Row],[system type]]&amp;BRD_EPIC2[[#This Row],[system type2]]</f>
        <v>Front-End &amp; Back-End &amp; QA &amp; PM &amp; DM &amp; UI</v>
      </c>
      <c r="R210" s="203" t="s">
        <v>2239</v>
      </c>
      <c r="S210" s="203"/>
      <c r="T210" s="203"/>
      <c r="U210" s="203">
        <v>10</v>
      </c>
      <c r="V210" s="203">
        <f>$U210*DE_Cost!$B$1*8</f>
        <v>96</v>
      </c>
      <c r="W210" s="204">
        <f>$U210*DE_Cost!$B$1</f>
        <v>12</v>
      </c>
      <c r="X210" s="204"/>
      <c r="Y210" s="204"/>
      <c r="Z210" s="204">
        <f t="shared" si="5"/>
        <v>6</v>
      </c>
      <c r="AA210" s="203" t="s">
        <v>150</v>
      </c>
      <c r="AB210" s="203" t="s">
        <v>1456</v>
      </c>
      <c r="AC210" s="203"/>
      <c r="AD210" s="204">
        <f t="shared" si="6"/>
        <v>60</v>
      </c>
    </row>
    <row r="211" spans="1:30" ht="180">
      <c r="A211" s="56" t="s">
        <v>140</v>
      </c>
      <c r="B211" s="50" t="s">
        <v>1120</v>
      </c>
      <c r="C211" s="12" t="s">
        <v>1405</v>
      </c>
      <c r="D211" s="12" t="s">
        <v>1457</v>
      </c>
      <c r="E211" s="12" t="s">
        <v>1458</v>
      </c>
      <c r="F211" s="12" t="s">
        <v>1459</v>
      </c>
      <c r="G211" s="32" t="s">
        <v>1451</v>
      </c>
      <c r="H211" s="19" t="s">
        <v>1460</v>
      </c>
      <c r="I211" s="12" t="s">
        <v>1461</v>
      </c>
      <c r="J211" s="19" t="s">
        <v>1462</v>
      </c>
      <c r="K211" s="32"/>
      <c r="L211" s="73"/>
      <c r="M211" s="73"/>
      <c r="N211" s="90" t="s">
        <v>1463</v>
      </c>
      <c r="O211" s="90" t="s">
        <v>1464</v>
      </c>
      <c r="P211" s="203" t="s">
        <v>258</v>
      </c>
      <c r="Q211" s="203" t="str">
        <f>BRD_EPIC2[[#This Row],[system type]]&amp;BRD_EPIC2[[#This Row],[system type2]]</f>
        <v>Front-End &amp; Back-End &amp; QA &amp; PM &amp; DM &amp; UI</v>
      </c>
      <c r="R211" s="203" t="s">
        <v>2239</v>
      </c>
      <c r="S211" s="203"/>
      <c r="T211" s="203"/>
      <c r="U211" s="203">
        <v>20</v>
      </c>
      <c r="V211" s="203">
        <f>$U211*DE_Cost!$B$1*8</f>
        <v>192</v>
      </c>
      <c r="W211" s="204">
        <f>$U211*DE_Cost!$B$1</f>
        <v>24</v>
      </c>
      <c r="X211" s="204"/>
      <c r="Y211" s="204"/>
      <c r="Z211" s="204">
        <f t="shared" si="5"/>
        <v>6</v>
      </c>
      <c r="AA211" s="203" t="s">
        <v>150</v>
      </c>
      <c r="AB211" s="203" t="s">
        <v>1465</v>
      </c>
      <c r="AC211" s="203"/>
      <c r="AD211" s="204">
        <f t="shared" si="6"/>
        <v>120</v>
      </c>
    </row>
    <row r="212" spans="1:30" ht="162">
      <c r="A212" s="57" t="s">
        <v>140</v>
      </c>
      <c r="B212" s="50" t="s">
        <v>1120</v>
      </c>
      <c r="C212" s="33" t="s">
        <v>1405</v>
      </c>
      <c r="D212" s="33" t="s">
        <v>1466</v>
      </c>
      <c r="E212" s="33" t="s">
        <v>1467</v>
      </c>
      <c r="F212" s="33" t="s">
        <v>1468</v>
      </c>
      <c r="G212" s="32"/>
      <c r="H212" s="19" t="s">
        <v>1469</v>
      </c>
      <c r="I212" s="33" t="s">
        <v>1470</v>
      </c>
      <c r="J212" s="19"/>
      <c r="K212" s="32"/>
      <c r="L212" s="73"/>
      <c r="M212" s="73"/>
      <c r="N212" s="90" t="s">
        <v>1471</v>
      </c>
      <c r="O212" s="90" t="s">
        <v>1447</v>
      </c>
      <c r="P212" s="203" t="s">
        <v>258</v>
      </c>
      <c r="Q212" s="203" t="str">
        <f>BRD_EPIC2[[#This Row],[system type]]&amp;BRD_EPIC2[[#This Row],[system type2]]</f>
        <v>Front-End &amp; Back-End &amp; QA &amp; PM &amp; DM &amp; UI</v>
      </c>
      <c r="R212" s="203" t="s">
        <v>2239</v>
      </c>
      <c r="S212" s="203"/>
      <c r="T212" s="203"/>
      <c r="U212" s="203">
        <v>20</v>
      </c>
      <c r="V212" s="203">
        <f>$U212*DE_Cost!$B$1*8</f>
        <v>192</v>
      </c>
      <c r="W212" s="204">
        <f>$U212*DE_Cost!$B$1</f>
        <v>24</v>
      </c>
      <c r="X212" s="204"/>
      <c r="Y212" s="204"/>
      <c r="Z212" s="204">
        <f t="shared" si="5"/>
        <v>6</v>
      </c>
      <c r="AA212" s="203" t="s">
        <v>150</v>
      </c>
      <c r="AB212" s="203" t="s">
        <v>1472</v>
      </c>
      <c r="AC212" s="203"/>
      <c r="AD212" s="204">
        <f t="shared" si="6"/>
        <v>120</v>
      </c>
    </row>
    <row r="213" spans="1:30" ht="72">
      <c r="A213" s="56" t="s">
        <v>140</v>
      </c>
      <c r="B213" s="50" t="s">
        <v>1120</v>
      </c>
      <c r="C213" s="12" t="s">
        <v>1405</v>
      </c>
      <c r="D213" s="33" t="s">
        <v>1473</v>
      </c>
      <c r="E213" s="33" t="s">
        <v>1474</v>
      </c>
      <c r="F213" s="33" t="s">
        <v>1475</v>
      </c>
      <c r="G213" s="32"/>
      <c r="H213" s="19" t="s">
        <v>1476</v>
      </c>
      <c r="I213" s="33" t="s">
        <v>1477</v>
      </c>
      <c r="J213" s="19"/>
      <c r="K213" s="32"/>
      <c r="L213" s="73"/>
      <c r="M213" s="73"/>
      <c r="N213" s="90" t="s">
        <v>1478</v>
      </c>
      <c r="O213" s="90"/>
      <c r="P213" s="203" t="s">
        <v>258</v>
      </c>
      <c r="Q213" s="203" t="str">
        <f>BRD_EPIC2[[#This Row],[system type]]&amp;BRD_EPIC2[[#This Row],[system type2]]</f>
        <v>Front-End &amp; Back-End &amp; QA &amp; PM &amp; DM &amp; UI</v>
      </c>
      <c r="R213" s="203" t="s">
        <v>2239</v>
      </c>
      <c r="S213" s="203"/>
      <c r="T213" s="203"/>
      <c r="U213" s="203">
        <v>15</v>
      </c>
      <c r="V213" s="203">
        <f>$U213*DE_Cost!$B$1*8</f>
        <v>144</v>
      </c>
      <c r="W213" s="204">
        <f>$U213*DE_Cost!$B$1</f>
        <v>18</v>
      </c>
      <c r="X213" s="204"/>
      <c r="Y213" s="204"/>
      <c r="Z213" s="204">
        <f t="shared" si="5"/>
        <v>6</v>
      </c>
      <c r="AA213" s="203" t="s">
        <v>150</v>
      </c>
      <c r="AB213" s="203" t="s">
        <v>1472</v>
      </c>
      <c r="AC213" s="203"/>
      <c r="AD213" s="204">
        <f t="shared" si="6"/>
        <v>90</v>
      </c>
    </row>
    <row r="214" spans="1:30" ht="89" customHeight="1">
      <c r="A214" s="56" t="s">
        <v>140</v>
      </c>
      <c r="B214" s="50" t="s">
        <v>1120</v>
      </c>
      <c r="C214" s="33" t="s">
        <v>1405</v>
      </c>
      <c r="D214" s="33" t="s">
        <v>1479</v>
      </c>
      <c r="E214" s="33" t="s">
        <v>1480</v>
      </c>
      <c r="F214" s="33" t="s">
        <v>1481</v>
      </c>
      <c r="G214" s="32" t="s">
        <v>1482</v>
      </c>
      <c r="H214" s="19" t="s">
        <v>1483</v>
      </c>
      <c r="I214" s="33" t="s">
        <v>1484</v>
      </c>
      <c r="J214" s="19" t="s">
        <v>1485</v>
      </c>
      <c r="K214" s="32" t="s">
        <v>398</v>
      </c>
      <c r="L214" s="73"/>
      <c r="M214" s="73"/>
      <c r="N214" s="90" t="s">
        <v>1486</v>
      </c>
      <c r="O214" s="90" t="s">
        <v>1487</v>
      </c>
      <c r="P214" s="203" t="s">
        <v>384</v>
      </c>
      <c r="Q214" s="203" t="str">
        <f>BRD_EPIC2[[#This Row],[system type]]&amp;BRD_EPIC2[[#This Row],[system type2]]</f>
        <v>Back-End&amp; QA &amp; PM &amp; DM</v>
      </c>
      <c r="R214" s="203" t="s">
        <v>2243</v>
      </c>
      <c r="S214" s="203"/>
      <c r="T214" s="203"/>
      <c r="U214" s="203">
        <v>20</v>
      </c>
      <c r="V214" s="203">
        <f>$U214*DE_Cost!$B$1*8</f>
        <v>192</v>
      </c>
      <c r="W214" s="204">
        <f>$U214*DE_Cost!$B$1</f>
        <v>24</v>
      </c>
      <c r="X214" s="204"/>
      <c r="Y214" s="204"/>
      <c r="Z214" s="204">
        <f t="shared" si="5"/>
        <v>4</v>
      </c>
      <c r="AA214" s="203" t="s">
        <v>42</v>
      </c>
      <c r="AB214" s="203"/>
      <c r="AC214" s="203"/>
      <c r="AD214" s="204">
        <f t="shared" si="6"/>
        <v>80</v>
      </c>
    </row>
    <row r="215" spans="1:30" ht="108">
      <c r="A215" s="57" t="s">
        <v>140</v>
      </c>
      <c r="B215" s="46" t="s">
        <v>1120</v>
      </c>
      <c r="C215" s="12" t="s">
        <v>1405</v>
      </c>
      <c r="D215" s="12" t="s">
        <v>1488</v>
      </c>
      <c r="E215" s="12" t="s">
        <v>1489</v>
      </c>
      <c r="F215" s="12" t="s">
        <v>1490</v>
      </c>
      <c r="G215" s="32" t="s">
        <v>1482</v>
      </c>
      <c r="H215" s="19" t="s">
        <v>1491</v>
      </c>
      <c r="I215" s="12" t="s">
        <v>1492</v>
      </c>
      <c r="J215" s="19"/>
      <c r="K215" s="32" t="s">
        <v>398</v>
      </c>
      <c r="L215" s="73"/>
      <c r="M215" s="73"/>
      <c r="N215" s="90" t="s">
        <v>1493</v>
      </c>
      <c r="O215" s="90" t="s">
        <v>1494</v>
      </c>
      <c r="P215" s="203" t="s">
        <v>384</v>
      </c>
      <c r="Q215" s="203" t="str">
        <f>BRD_EPIC2[[#This Row],[system type]]&amp;BRD_EPIC2[[#This Row],[system type2]]</f>
        <v>Back-End&amp; QA &amp; PM &amp; DM</v>
      </c>
      <c r="R215" s="203" t="s">
        <v>2243</v>
      </c>
      <c r="S215" s="203"/>
      <c r="T215" s="203"/>
      <c r="U215" s="203">
        <v>20</v>
      </c>
      <c r="V215" s="203">
        <f>$U215*DE_Cost!$B$1*8</f>
        <v>192</v>
      </c>
      <c r="W215" s="204">
        <f>$U215*DE_Cost!$B$1</f>
        <v>24</v>
      </c>
      <c r="X215" s="204"/>
      <c r="Y215" s="204"/>
      <c r="Z215" s="204">
        <f t="shared" si="5"/>
        <v>4</v>
      </c>
      <c r="AA215" s="203" t="s">
        <v>42</v>
      </c>
      <c r="AB215" s="203"/>
      <c r="AC215" s="203"/>
      <c r="AD215" s="204">
        <f t="shared" si="6"/>
        <v>80</v>
      </c>
    </row>
    <row r="216" spans="1:30" ht="108">
      <c r="A216" s="57" t="s">
        <v>140</v>
      </c>
      <c r="B216" s="46" t="s">
        <v>1120</v>
      </c>
      <c r="C216" s="12" t="s">
        <v>1405</v>
      </c>
      <c r="D216" s="12" t="s">
        <v>1495</v>
      </c>
      <c r="E216" s="12" t="s">
        <v>1496</v>
      </c>
      <c r="F216" s="12" t="s">
        <v>1497</v>
      </c>
      <c r="G216" s="32"/>
      <c r="H216" s="19" t="s">
        <v>1498</v>
      </c>
      <c r="I216" s="12" t="s">
        <v>1499</v>
      </c>
      <c r="J216" s="19"/>
      <c r="K216" s="32"/>
      <c r="L216" s="73"/>
      <c r="M216" s="73"/>
      <c r="N216" s="90" t="s">
        <v>1500</v>
      </c>
      <c r="O216" s="90" t="s">
        <v>1499</v>
      </c>
      <c r="P216" s="203" t="s">
        <v>874</v>
      </c>
      <c r="Q216" s="203" t="str">
        <f>BRD_EPIC2[[#This Row],[system type]]&amp;BRD_EPIC2[[#This Row],[system type2]]</f>
        <v xml:space="preserve"> Back-End&amp; QA &amp; PM &amp; DM</v>
      </c>
      <c r="R216" s="203" t="s">
        <v>2243</v>
      </c>
      <c r="S216" s="203"/>
      <c r="T216" s="203"/>
      <c r="U216" s="203">
        <v>30</v>
      </c>
      <c r="V216" s="203">
        <f>$U216*DE_Cost!$B$1*8</f>
        <v>288</v>
      </c>
      <c r="W216" s="204">
        <f>$U216*DE_Cost!$B$1</f>
        <v>36</v>
      </c>
      <c r="X216" s="204"/>
      <c r="Y216" s="204"/>
      <c r="Z216" s="204">
        <f t="shared" si="5"/>
        <v>4</v>
      </c>
      <c r="AA216" s="203" t="s">
        <v>150</v>
      </c>
      <c r="AB216" s="203" t="s">
        <v>1501</v>
      </c>
      <c r="AC216" s="203"/>
      <c r="AD216" s="204">
        <f t="shared" si="6"/>
        <v>120</v>
      </c>
    </row>
    <row r="217" spans="1:30" ht="60" customHeight="1">
      <c r="A217" s="57" t="s">
        <v>140</v>
      </c>
      <c r="B217" s="46" t="s">
        <v>1120</v>
      </c>
      <c r="C217" s="12" t="s">
        <v>1405</v>
      </c>
      <c r="D217" s="12" t="s">
        <v>1502</v>
      </c>
      <c r="E217" s="12" t="s">
        <v>1503</v>
      </c>
      <c r="F217" s="12" t="s">
        <v>1504</v>
      </c>
      <c r="G217" s="32" t="s">
        <v>1505</v>
      </c>
      <c r="H217" s="19" t="s">
        <v>1506</v>
      </c>
      <c r="I217" s="12" t="s">
        <v>1507</v>
      </c>
      <c r="J217" s="19"/>
      <c r="K217" s="32" t="s">
        <v>398</v>
      </c>
      <c r="L217" s="73"/>
      <c r="M217" s="73"/>
      <c r="N217" s="90"/>
      <c r="O217" s="90"/>
      <c r="P217" s="203" t="s">
        <v>384</v>
      </c>
      <c r="Q217" s="203" t="str">
        <f>BRD_EPIC2[[#This Row],[system type]]&amp;BRD_EPIC2[[#This Row],[system type2]]</f>
        <v>Back-End&amp; QA &amp; PM &amp; DM</v>
      </c>
      <c r="R217" s="203" t="s">
        <v>2243</v>
      </c>
      <c r="S217" s="203"/>
      <c r="T217" s="203"/>
      <c r="U217" s="203">
        <v>20</v>
      </c>
      <c r="V217" s="203">
        <f>$U217*DE_Cost!$B$1*8</f>
        <v>192</v>
      </c>
      <c r="W217" s="204">
        <f>$U217*DE_Cost!$B$1</f>
        <v>24</v>
      </c>
      <c r="X217" s="204"/>
      <c r="Y217" s="204"/>
      <c r="Z217" s="204">
        <f t="shared" si="5"/>
        <v>4</v>
      </c>
      <c r="AA217" s="203" t="s">
        <v>42</v>
      </c>
      <c r="AB217" s="203"/>
      <c r="AC217" s="203"/>
      <c r="AD217" s="204">
        <f t="shared" si="6"/>
        <v>80</v>
      </c>
    </row>
    <row r="218" spans="1:30" ht="324">
      <c r="A218" s="57" t="s">
        <v>140</v>
      </c>
      <c r="B218" s="46" t="s">
        <v>1120</v>
      </c>
      <c r="C218" s="12" t="s">
        <v>1405</v>
      </c>
      <c r="D218" s="33" t="s">
        <v>1508</v>
      </c>
      <c r="E218" s="33" t="s">
        <v>1509</v>
      </c>
      <c r="F218" s="33" t="s">
        <v>1510</v>
      </c>
      <c r="G218" s="32" t="s">
        <v>137</v>
      </c>
      <c r="H218" s="19" t="s">
        <v>1511</v>
      </c>
      <c r="I218" s="33" t="s">
        <v>1512</v>
      </c>
      <c r="J218" s="19" t="s">
        <v>1513</v>
      </c>
      <c r="K218" s="32" t="s">
        <v>139</v>
      </c>
      <c r="L218" s="73" t="s">
        <v>1514</v>
      </c>
      <c r="M218" s="73"/>
      <c r="N218" s="90" t="s">
        <v>1515</v>
      </c>
      <c r="O218" s="90" t="s">
        <v>1512</v>
      </c>
      <c r="P218" s="203" t="s">
        <v>874</v>
      </c>
      <c r="Q218" s="203" t="str">
        <f>BRD_EPIC2[[#This Row],[system type]]&amp;BRD_EPIC2[[#This Row],[system type2]]</f>
        <v xml:space="preserve"> Back-End&amp; QA &amp; PM &amp; DM</v>
      </c>
      <c r="R218" s="203" t="s">
        <v>2243</v>
      </c>
      <c r="S218" s="203"/>
      <c r="T218" s="203"/>
      <c r="U218" s="203">
        <v>60</v>
      </c>
      <c r="V218" s="203">
        <f>$U218*DE_Cost!$B$1*8</f>
        <v>576</v>
      </c>
      <c r="W218" s="204">
        <f>$U218*DE_Cost!$B$1</f>
        <v>72</v>
      </c>
      <c r="X218" s="204"/>
      <c r="Y218" s="204"/>
      <c r="Z218" s="204">
        <f t="shared" si="5"/>
        <v>4</v>
      </c>
      <c r="AA218" s="203" t="s">
        <v>150</v>
      </c>
      <c r="AB218" s="203" t="s">
        <v>1516</v>
      </c>
      <c r="AC218" s="203"/>
      <c r="AD218" s="204">
        <f t="shared" si="6"/>
        <v>240</v>
      </c>
    </row>
    <row r="219" spans="1:30" ht="216">
      <c r="A219" s="57" t="s">
        <v>140</v>
      </c>
      <c r="B219" s="46" t="s">
        <v>1120</v>
      </c>
      <c r="C219" s="12" t="s">
        <v>1405</v>
      </c>
      <c r="D219" s="33" t="s">
        <v>1517</v>
      </c>
      <c r="E219" s="33" t="s">
        <v>1518</v>
      </c>
      <c r="F219" s="33" t="s">
        <v>1519</v>
      </c>
      <c r="G219" s="32" t="s">
        <v>137</v>
      </c>
      <c r="H219" s="19" t="s">
        <v>1520</v>
      </c>
      <c r="I219" s="33" t="s">
        <v>1521</v>
      </c>
      <c r="J219" s="19"/>
      <c r="K219" s="32" t="s">
        <v>139</v>
      </c>
      <c r="L219" s="73"/>
      <c r="M219" s="73"/>
      <c r="N219" s="90" t="s">
        <v>1522</v>
      </c>
      <c r="O219" s="90" t="s">
        <v>1523</v>
      </c>
      <c r="P219" s="203" t="s">
        <v>164</v>
      </c>
      <c r="Q219" s="203" t="str">
        <f>BRD_EPIC2[[#This Row],[system type]]&amp;BRD_EPIC2[[#This Row],[system type2]]</f>
        <v>Android &amp; Back-End &amp; QA &amp; PM &amp; DM &amp; UI</v>
      </c>
      <c r="R219" s="203" t="s">
        <v>2239</v>
      </c>
      <c r="S219" s="203"/>
      <c r="T219" s="203"/>
      <c r="U219" s="203">
        <v>60</v>
      </c>
      <c r="V219" s="203">
        <f>$U219*DE_Cost!$B$1*8</f>
        <v>576</v>
      </c>
      <c r="W219" s="204">
        <f>$U219*DE_Cost!$B$1</f>
        <v>72</v>
      </c>
      <c r="X219" s="204"/>
      <c r="Y219" s="204"/>
      <c r="Z219" s="204">
        <f t="shared" si="5"/>
        <v>6</v>
      </c>
      <c r="AA219" s="203" t="s">
        <v>150</v>
      </c>
      <c r="AB219" s="203" t="s">
        <v>1516</v>
      </c>
      <c r="AC219" s="203"/>
      <c r="AD219" s="204">
        <f t="shared" si="6"/>
        <v>360</v>
      </c>
    </row>
    <row r="220" spans="1:30" ht="90">
      <c r="A220" s="57" t="s">
        <v>140</v>
      </c>
      <c r="B220" s="46" t="s">
        <v>1120</v>
      </c>
      <c r="C220" s="33" t="s">
        <v>1405</v>
      </c>
      <c r="D220" s="33" t="s">
        <v>1524</v>
      </c>
      <c r="E220" s="33" t="s">
        <v>1525</v>
      </c>
      <c r="F220" s="33" t="s">
        <v>1526</v>
      </c>
      <c r="G220" s="32" t="s">
        <v>1320</v>
      </c>
      <c r="H220" s="19" t="s">
        <v>1527</v>
      </c>
      <c r="I220" s="33" t="s">
        <v>1528</v>
      </c>
      <c r="J220" s="19"/>
      <c r="K220" s="32"/>
      <c r="L220" s="73"/>
      <c r="M220" s="73"/>
      <c r="N220" s="90" t="s">
        <v>1529</v>
      </c>
      <c r="O220" s="90" t="s">
        <v>1528</v>
      </c>
      <c r="P220" s="203" t="s">
        <v>258</v>
      </c>
      <c r="Q220" s="203" t="str">
        <f>BRD_EPIC2[[#This Row],[system type]]&amp;BRD_EPIC2[[#This Row],[system type2]]</f>
        <v>Front-End &amp; Back-End &amp; QA &amp; PM &amp; DM &amp; UI</v>
      </c>
      <c r="R220" s="203" t="s">
        <v>2239</v>
      </c>
      <c r="S220" s="203"/>
      <c r="T220" s="203"/>
      <c r="U220" s="203">
        <v>60</v>
      </c>
      <c r="V220" s="203">
        <f>$U220*DE_Cost!$B$1*8</f>
        <v>576</v>
      </c>
      <c r="W220" s="204">
        <f>$U220*DE_Cost!$B$1</f>
        <v>72</v>
      </c>
      <c r="X220" s="204"/>
      <c r="Y220" s="204"/>
      <c r="Z220" s="204">
        <f t="shared" si="5"/>
        <v>6</v>
      </c>
      <c r="AA220" s="203" t="s">
        <v>150</v>
      </c>
      <c r="AB220" s="203" t="s">
        <v>1530</v>
      </c>
      <c r="AC220" s="203"/>
      <c r="AD220" s="204">
        <f t="shared" si="6"/>
        <v>360</v>
      </c>
    </row>
    <row r="221" spans="1:30" ht="72">
      <c r="A221" s="56" t="s">
        <v>140</v>
      </c>
      <c r="B221" s="50" t="s">
        <v>1120</v>
      </c>
      <c r="C221" s="33" t="s">
        <v>1405</v>
      </c>
      <c r="D221" s="33" t="s">
        <v>1531</v>
      </c>
      <c r="E221" s="33" t="s">
        <v>1532</v>
      </c>
      <c r="F221" s="33" t="s">
        <v>1533</v>
      </c>
      <c r="G221" s="32" t="s">
        <v>1179</v>
      </c>
      <c r="H221" s="19" t="s">
        <v>1534</v>
      </c>
      <c r="I221" s="33" t="s">
        <v>1535</v>
      </c>
      <c r="J221" s="19"/>
      <c r="K221" s="32"/>
      <c r="L221" s="73"/>
      <c r="M221" s="73"/>
      <c r="N221" s="90" t="s">
        <v>1536</v>
      </c>
      <c r="O221" s="90" t="s">
        <v>1535</v>
      </c>
      <c r="P221" s="203" t="s">
        <v>384</v>
      </c>
      <c r="Q221" s="203" t="str">
        <f>BRD_EPIC2[[#This Row],[system type]]&amp;BRD_EPIC2[[#This Row],[system type2]]</f>
        <v>Back-End&amp; QA &amp; PM &amp; DM</v>
      </c>
      <c r="R221" s="203" t="s">
        <v>2243</v>
      </c>
      <c r="S221" s="203"/>
      <c r="T221" s="203"/>
      <c r="U221" s="203">
        <v>20</v>
      </c>
      <c r="V221" s="203">
        <f>$U221*DE_Cost!$B$1*8</f>
        <v>192</v>
      </c>
      <c r="W221" s="204">
        <f>$U221*DE_Cost!$B$1</f>
        <v>24</v>
      </c>
      <c r="X221" s="204"/>
      <c r="Y221" s="204"/>
      <c r="Z221" s="204">
        <f t="shared" si="5"/>
        <v>4</v>
      </c>
      <c r="AA221" s="203" t="s">
        <v>42</v>
      </c>
      <c r="AB221" s="203"/>
      <c r="AC221" s="203"/>
      <c r="AD221" s="204">
        <f t="shared" si="6"/>
        <v>80</v>
      </c>
    </row>
    <row r="222" spans="1:30" ht="409.6">
      <c r="A222" s="56" t="s">
        <v>140</v>
      </c>
      <c r="B222" s="50" t="s">
        <v>1120</v>
      </c>
      <c r="C222" s="33" t="s">
        <v>1405</v>
      </c>
      <c r="D222" s="12" t="s">
        <v>1537</v>
      </c>
      <c r="E222" s="12" t="s">
        <v>1538</v>
      </c>
      <c r="F222" s="12" t="s">
        <v>1539</v>
      </c>
      <c r="G222" s="32" t="s">
        <v>239</v>
      </c>
      <c r="H222" s="19" t="s">
        <v>1540</v>
      </c>
      <c r="I222" s="12" t="s">
        <v>1541</v>
      </c>
      <c r="J222" s="19" t="s">
        <v>1542</v>
      </c>
      <c r="K222" s="32" t="s">
        <v>318</v>
      </c>
      <c r="L222" s="73" t="s">
        <v>1543</v>
      </c>
      <c r="M222" s="73"/>
      <c r="N222" s="90" t="s">
        <v>1544</v>
      </c>
      <c r="O222" s="90" t="s">
        <v>1541</v>
      </c>
      <c r="P222" s="203" t="s">
        <v>384</v>
      </c>
      <c r="Q222" s="203" t="str">
        <f>BRD_EPIC2[[#This Row],[system type]]&amp;BRD_EPIC2[[#This Row],[system type2]]</f>
        <v>Back-End&amp; QA &amp; PM &amp; DM</v>
      </c>
      <c r="R222" s="203" t="s">
        <v>2243</v>
      </c>
      <c r="S222" s="203"/>
      <c r="T222" s="203"/>
      <c r="U222" s="203">
        <v>30</v>
      </c>
      <c r="V222" s="203">
        <f>$U222*DE_Cost!$B$1*8</f>
        <v>288</v>
      </c>
      <c r="W222" s="204">
        <f>$U222*DE_Cost!$B$1</f>
        <v>36</v>
      </c>
      <c r="X222" s="204"/>
      <c r="Y222" s="204"/>
      <c r="Z222" s="204">
        <f t="shared" si="5"/>
        <v>4</v>
      </c>
      <c r="AA222" s="203" t="s">
        <v>42</v>
      </c>
      <c r="AB222" s="203"/>
      <c r="AC222" s="203"/>
      <c r="AD222" s="204">
        <f t="shared" si="6"/>
        <v>120</v>
      </c>
    </row>
    <row r="223" spans="1:30" ht="377" hidden="1">
      <c r="A223" s="56" t="s">
        <v>140</v>
      </c>
      <c r="B223" s="50" t="s">
        <v>1120</v>
      </c>
      <c r="C223" s="33" t="s">
        <v>1405</v>
      </c>
      <c r="D223" s="12" t="s">
        <v>1545</v>
      </c>
      <c r="E223" s="12" t="s">
        <v>1546</v>
      </c>
      <c r="F223" s="12" t="s">
        <v>1547</v>
      </c>
      <c r="G223" s="32" t="s">
        <v>1548</v>
      </c>
      <c r="H223" s="19" t="s">
        <v>1549</v>
      </c>
      <c r="I223" s="12" t="s">
        <v>1550</v>
      </c>
      <c r="J223" s="19" t="s">
        <v>1551</v>
      </c>
      <c r="K223" s="32"/>
      <c r="L223" s="73"/>
      <c r="M223" s="73"/>
      <c r="N223" s="90"/>
      <c r="O223" s="90"/>
      <c r="P223" s="203"/>
      <c r="Q223" s="203" t="str">
        <f>BRD_EPIC2[[#This Row],[system type]]&amp;BRD_EPIC2[[#This Row],[system type2]]</f>
        <v xml:space="preserve"> &amp; QA &amp; PM &amp; DM &amp; UI</v>
      </c>
      <c r="R223" s="203" t="s">
        <v>2239</v>
      </c>
      <c r="S223" s="203"/>
      <c r="T223" s="203"/>
      <c r="U223" s="203"/>
      <c r="V223" s="203"/>
      <c r="W223" s="204"/>
      <c r="X223" s="204"/>
      <c r="Y223" s="204"/>
      <c r="Z223" s="204">
        <f t="shared" si="5"/>
        <v>5</v>
      </c>
      <c r="AA223" s="203" t="s">
        <v>42</v>
      </c>
      <c r="AB223" s="203"/>
      <c r="AC223" s="203"/>
      <c r="AD223" s="204">
        <f t="shared" si="6"/>
        <v>0</v>
      </c>
    </row>
    <row r="224" spans="1:30" ht="72">
      <c r="A224" s="56" t="s">
        <v>140</v>
      </c>
      <c r="B224" s="50" t="s">
        <v>1120</v>
      </c>
      <c r="C224" s="33" t="s">
        <v>1405</v>
      </c>
      <c r="D224" s="33" t="s">
        <v>1552</v>
      </c>
      <c r="E224" s="33" t="s">
        <v>1553</v>
      </c>
      <c r="F224" s="33" t="s">
        <v>1554</v>
      </c>
      <c r="G224" s="32" t="s">
        <v>137</v>
      </c>
      <c r="H224" s="19" t="s">
        <v>1555</v>
      </c>
      <c r="I224" s="33" t="s">
        <v>1556</v>
      </c>
      <c r="J224" s="19"/>
      <c r="K224" s="32" t="s">
        <v>139</v>
      </c>
      <c r="L224" s="73"/>
      <c r="M224" s="73"/>
      <c r="N224" s="90" t="s">
        <v>1557</v>
      </c>
      <c r="O224" s="90" t="s">
        <v>1558</v>
      </c>
      <c r="P224" s="203" t="s">
        <v>384</v>
      </c>
      <c r="Q224" s="203" t="str">
        <f>BRD_EPIC2[[#This Row],[system type]]&amp;BRD_EPIC2[[#This Row],[system type2]]</f>
        <v>Back-End&amp; QA &amp; PM &amp; DM</v>
      </c>
      <c r="R224" s="203" t="s">
        <v>2243</v>
      </c>
      <c r="S224" s="203"/>
      <c r="T224" s="203"/>
      <c r="U224" s="203">
        <v>20</v>
      </c>
      <c r="V224" s="203">
        <f>$U224*DE_Cost!$B$1*8</f>
        <v>192</v>
      </c>
      <c r="W224" s="204">
        <f>$U224*DE_Cost!$B$1</f>
        <v>24</v>
      </c>
      <c r="X224" s="204"/>
      <c r="Y224" s="204"/>
      <c r="Z224" s="204">
        <f t="shared" si="5"/>
        <v>4</v>
      </c>
      <c r="AA224" s="203" t="s">
        <v>42</v>
      </c>
      <c r="AB224" s="203"/>
      <c r="AC224" s="203"/>
      <c r="AD224" s="204">
        <f t="shared" si="6"/>
        <v>80</v>
      </c>
    </row>
    <row r="225" spans="1:30" ht="216">
      <c r="A225" s="56" t="s">
        <v>140</v>
      </c>
      <c r="B225" s="50" t="s">
        <v>1120</v>
      </c>
      <c r="C225" s="33" t="s">
        <v>1405</v>
      </c>
      <c r="D225" s="33" t="s">
        <v>1559</v>
      </c>
      <c r="E225" s="33" t="s">
        <v>1560</v>
      </c>
      <c r="F225" s="33" t="s">
        <v>1561</v>
      </c>
      <c r="G225" s="32" t="s">
        <v>1562</v>
      </c>
      <c r="H225" s="19" t="s">
        <v>1563</v>
      </c>
      <c r="I225" s="33" t="s">
        <v>1564</v>
      </c>
      <c r="J225" s="19" t="s">
        <v>1565</v>
      </c>
      <c r="K225" s="32" t="s">
        <v>1566</v>
      </c>
      <c r="L225" s="73"/>
      <c r="M225" s="73"/>
      <c r="N225" s="90" t="s">
        <v>1567</v>
      </c>
      <c r="O225" s="90" t="s">
        <v>1564</v>
      </c>
      <c r="P225" s="203" t="s">
        <v>384</v>
      </c>
      <c r="Q225" s="203" t="str">
        <f>BRD_EPIC2[[#This Row],[system type]]&amp;BRD_EPIC2[[#This Row],[system type2]]</f>
        <v>Back-End&amp; QA &amp; PM &amp; DM</v>
      </c>
      <c r="R225" s="203" t="s">
        <v>2243</v>
      </c>
      <c r="S225" s="203"/>
      <c r="T225" s="203"/>
      <c r="U225" s="203">
        <v>20</v>
      </c>
      <c r="V225" s="203">
        <f>$U225*DE_Cost!$B$1*8</f>
        <v>192</v>
      </c>
      <c r="W225" s="204">
        <f>$U225*DE_Cost!$B$1</f>
        <v>24</v>
      </c>
      <c r="X225" s="204"/>
      <c r="Y225" s="204"/>
      <c r="Z225" s="204">
        <f t="shared" si="5"/>
        <v>4</v>
      </c>
      <c r="AA225" s="203" t="s">
        <v>42</v>
      </c>
      <c r="AB225" s="203"/>
      <c r="AC225" s="203"/>
      <c r="AD225" s="204">
        <f t="shared" si="6"/>
        <v>80</v>
      </c>
    </row>
    <row r="226" spans="1:30" ht="409.6">
      <c r="A226" s="56" t="s">
        <v>140</v>
      </c>
      <c r="B226" s="50" t="s">
        <v>1120</v>
      </c>
      <c r="C226" s="33" t="s">
        <v>1405</v>
      </c>
      <c r="D226" s="33" t="s">
        <v>1568</v>
      </c>
      <c r="E226" s="33" t="s">
        <v>1569</v>
      </c>
      <c r="F226" s="33" t="s">
        <v>1570</v>
      </c>
      <c r="G226" s="32" t="s">
        <v>1571</v>
      </c>
      <c r="H226" s="241" t="s">
        <v>1572</v>
      </c>
      <c r="I226" s="33" t="s">
        <v>1573</v>
      </c>
      <c r="J226" s="19" t="s">
        <v>1574</v>
      </c>
      <c r="K226" s="32" t="s">
        <v>1571</v>
      </c>
      <c r="L226" s="73"/>
      <c r="M226" s="73"/>
      <c r="N226" s="90" t="s">
        <v>1575</v>
      </c>
      <c r="O226" s="90" t="s">
        <v>1573</v>
      </c>
      <c r="P226" s="203" t="s">
        <v>384</v>
      </c>
      <c r="Q226" s="203" t="str">
        <f>BRD_EPIC2[[#This Row],[system type]]&amp;BRD_EPIC2[[#This Row],[system type2]]</f>
        <v>Back-End&amp; QA &amp; PM &amp; DM</v>
      </c>
      <c r="R226" s="203" t="s">
        <v>2243</v>
      </c>
      <c r="S226" s="203"/>
      <c r="T226" s="203"/>
      <c r="U226" s="203">
        <v>20</v>
      </c>
      <c r="V226" s="203">
        <f>$U226*DE_Cost!$B$1*8</f>
        <v>192</v>
      </c>
      <c r="W226" s="204">
        <f>$U226*DE_Cost!$B$1</f>
        <v>24</v>
      </c>
      <c r="X226" s="204"/>
      <c r="Y226" s="204"/>
      <c r="Z226" s="204">
        <f t="shared" si="5"/>
        <v>4</v>
      </c>
      <c r="AA226" s="203" t="s">
        <v>42</v>
      </c>
      <c r="AB226" s="203"/>
      <c r="AC226" s="203"/>
      <c r="AD226" s="204">
        <f t="shared" si="6"/>
        <v>80</v>
      </c>
    </row>
    <row r="227" spans="1:30" ht="90">
      <c r="A227" s="56" t="s">
        <v>140</v>
      </c>
      <c r="B227" s="50" t="s">
        <v>1120</v>
      </c>
      <c r="C227" s="12" t="s">
        <v>1405</v>
      </c>
      <c r="D227" s="33" t="s">
        <v>1576</v>
      </c>
      <c r="E227" s="33" t="s">
        <v>1577</v>
      </c>
      <c r="F227" s="33" t="s">
        <v>1578</v>
      </c>
      <c r="G227" s="32" t="s">
        <v>1579</v>
      </c>
      <c r="H227" s="19" t="s">
        <v>1580</v>
      </c>
      <c r="I227" s="33" t="s">
        <v>1581</v>
      </c>
      <c r="J227" s="19"/>
      <c r="K227" s="32"/>
      <c r="L227" s="73"/>
      <c r="M227" s="73"/>
      <c r="N227" s="90" t="s">
        <v>1582</v>
      </c>
      <c r="O227" s="90" t="s">
        <v>1581</v>
      </c>
      <c r="P227" s="203" t="s">
        <v>258</v>
      </c>
      <c r="Q227" s="203" t="str">
        <f>BRD_EPIC2[[#This Row],[system type]]&amp;BRD_EPIC2[[#This Row],[system type2]]</f>
        <v>Front-End &amp; Back-End &amp; QA &amp; PM &amp; DM &amp; UI</v>
      </c>
      <c r="R227" s="203" t="s">
        <v>2239</v>
      </c>
      <c r="S227" s="203"/>
      <c r="T227" s="203"/>
      <c r="U227" s="203">
        <v>20</v>
      </c>
      <c r="V227" s="203">
        <f>$U227*DE_Cost!$B$1*8</f>
        <v>192</v>
      </c>
      <c r="W227" s="204">
        <f>$U227*DE_Cost!$B$1</f>
        <v>24</v>
      </c>
      <c r="X227" s="204"/>
      <c r="Y227" s="204"/>
      <c r="Z227" s="204">
        <f t="shared" si="5"/>
        <v>6</v>
      </c>
      <c r="AA227" s="203" t="s">
        <v>150</v>
      </c>
      <c r="AB227" s="203" t="s">
        <v>1583</v>
      </c>
      <c r="AC227" s="203"/>
      <c r="AD227" s="204">
        <f t="shared" si="6"/>
        <v>120</v>
      </c>
    </row>
    <row r="228" spans="1:30" ht="126">
      <c r="A228" s="56" t="s">
        <v>140</v>
      </c>
      <c r="B228" s="50" t="s">
        <v>1584</v>
      </c>
      <c r="C228" s="12" t="s">
        <v>1585</v>
      </c>
      <c r="D228" s="12" t="s">
        <v>1586</v>
      </c>
      <c r="E228" s="12" t="s">
        <v>1587</v>
      </c>
      <c r="F228" s="12" t="s">
        <v>1588</v>
      </c>
      <c r="G228" s="32" t="s">
        <v>174</v>
      </c>
      <c r="H228" s="19" t="s">
        <v>1589</v>
      </c>
      <c r="I228" s="12" t="s">
        <v>1590</v>
      </c>
      <c r="J228" s="19"/>
      <c r="K228" s="32" t="s">
        <v>283</v>
      </c>
      <c r="L228" s="73"/>
      <c r="M228" s="73"/>
      <c r="N228" s="90" t="s">
        <v>1591</v>
      </c>
      <c r="O228" s="90" t="s">
        <v>1592</v>
      </c>
      <c r="P228" s="203" t="s">
        <v>258</v>
      </c>
      <c r="Q228" s="203" t="str">
        <f>BRD_EPIC2[[#This Row],[system type]]&amp;BRD_EPIC2[[#This Row],[system type2]]</f>
        <v>Front-End &amp; Back-End &amp; QA &amp; PM &amp; DM &amp; UI</v>
      </c>
      <c r="R228" s="203" t="s">
        <v>2239</v>
      </c>
      <c r="S228" s="203"/>
      <c r="T228" s="203"/>
      <c r="U228" s="203">
        <v>10</v>
      </c>
      <c r="V228" s="203">
        <f>$U228*DE_Cost!$B$1*8</f>
        <v>96</v>
      </c>
      <c r="W228" s="204">
        <f>$U228*DE_Cost!$B$1</f>
        <v>12</v>
      </c>
      <c r="X228" s="204"/>
      <c r="Y228" s="204"/>
      <c r="Z228" s="204">
        <f t="shared" ref="Z228:Z291" si="7">LEN(Q228) - LEN(SUBSTITUTE(Q228, "&amp;", "")) + 1</f>
        <v>6</v>
      </c>
      <c r="AA228" s="203" t="s">
        <v>150</v>
      </c>
      <c r="AB228" s="203" t="s">
        <v>1593</v>
      </c>
      <c r="AC228" s="203"/>
      <c r="AD228" s="204">
        <f t="shared" si="6"/>
        <v>60</v>
      </c>
    </row>
    <row r="229" spans="1:30" ht="126">
      <c r="A229" s="56" t="s">
        <v>140</v>
      </c>
      <c r="B229" s="50" t="s">
        <v>1584</v>
      </c>
      <c r="C229" s="33" t="s">
        <v>1594</v>
      </c>
      <c r="D229" s="33" t="s">
        <v>1595</v>
      </c>
      <c r="E229" s="33" t="s">
        <v>1596</v>
      </c>
      <c r="F229" s="33" t="s">
        <v>1597</v>
      </c>
      <c r="G229" s="32" t="s">
        <v>174</v>
      </c>
      <c r="H229" s="19" t="s">
        <v>1598</v>
      </c>
      <c r="I229" s="33" t="s">
        <v>1597</v>
      </c>
      <c r="J229" s="19"/>
      <c r="K229" s="32" t="s">
        <v>283</v>
      </c>
      <c r="L229" s="73"/>
      <c r="M229" s="73"/>
      <c r="N229" s="90" t="s">
        <v>1599</v>
      </c>
      <c r="O229" s="90" t="s">
        <v>1600</v>
      </c>
      <c r="P229" s="203" t="s">
        <v>258</v>
      </c>
      <c r="Q229" s="203" t="str">
        <f>BRD_EPIC2[[#This Row],[system type]]&amp;BRD_EPIC2[[#This Row],[system type2]]</f>
        <v>Front-End &amp; Back-End &amp; QA &amp; PM &amp; DM &amp; UI</v>
      </c>
      <c r="R229" s="203" t="s">
        <v>2239</v>
      </c>
      <c r="S229" s="203"/>
      <c r="T229" s="203"/>
      <c r="U229" s="203">
        <v>15</v>
      </c>
      <c r="V229" s="203">
        <f>$U229*DE_Cost!$B$1*8</f>
        <v>144</v>
      </c>
      <c r="W229" s="204">
        <f>$U229*DE_Cost!$B$1</f>
        <v>18</v>
      </c>
      <c r="X229" s="204"/>
      <c r="Y229" s="204"/>
      <c r="Z229" s="204">
        <f t="shared" si="7"/>
        <v>6</v>
      </c>
      <c r="AA229" s="203" t="s">
        <v>150</v>
      </c>
      <c r="AB229" s="203" t="s">
        <v>1192</v>
      </c>
      <c r="AC229" s="203"/>
      <c r="AD229" s="204">
        <f t="shared" si="6"/>
        <v>90</v>
      </c>
    </row>
    <row r="230" spans="1:30" ht="54">
      <c r="A230" s="57" t="s">
        <v>140</v>
      </c>
      <c r="B230" s="50" t="s">
        <v>1584</v>
      </c>
      <c r="C230" s="33" t="s">
        <v>1594</v>
      </c>
      <c r="D230" s="33" t="s">
        <v>1601</v>
      </c>
      <c r="E230" s="33" t="s">
        <v>1602</v>
      </c>
      <c r="F230" s="33"/>
      <c r="G230" s="69" t="s">
        <v>174</v>
      </c>
      <c r="H230" s="24" t="s">
        <v>1603</v>
      </c>
      <c r="I230" s="33"/>
      <c r="J230" s="19"/>
      <c r="K230" s="70" t="s">
        <v>283</v>
      </c>
      <c r="L230" s="73"/>
      <c r="M230" s="73"/>
      <c r="N230" s="90" t="s">
        <v>1604</v>
      </c>
      <c r="O230" s="90"/>
      <c r="P230" s="203" t="s">
        <v>384</v>
      </c>
      <c r="Q230" s="203" t="str">
        <f>BRD_EPIC2[[#This Row],[system type]]&amp;BRD_EPIC2[[#This Row],[system type2]]</f>
        <v>Back-End&amp; QA &amp; PM &amp; DM</v>
      </c>
      <c r="R230" s="203" t="s">
        <v>2243</v>
      </c>
      <c r="S230" s="203"/>
      <c r="T230" s="203"/>
      <c r="U230" s="203">
        <v>5</v>
      </c>
      <c r="V230" s="203">
        <f>$U230*DE_Cost!$B$1*8</f>
        <v>48</v>
      </c>
      <c r="W230" s="204">
        <f>$U230*DE_Cost!$B$1</f>
        <v>6</v>
      </c>
      <c r="X230" s="204"/>
      <c r="Y230" s="204"/>
      <c r="Z230" s="204">
        <f t="shared" si="7"/>
        <v>4</v>
      </c>
      <c r="AA230" s="203" t="s">
        <v>42</v>
      </c>
      <c r="AB230" s="203"/>
      <c r="AC230" s="203"/>
      <c r="AD230" s="204">
        <f t="shared" si="6"/>
        <v>20</v>
      </c>
    </row>
    <row r="231" spans="1:30" ht="108">
      <c r="A231" s="57" t="s">
        <v>140</v>
      </c>
      <c r="B231" s="50" t="s">
        <v>1584</v>
      </c>
      <c r="C231" s="33" t="s">
        <v>1594</v>
      </c>
      <c r="D231" s="60" t="s">
        <v>1605</v>
      </c>
      <c r="E231" s="33" t="s">
        <v>1606</v>
      </c>
      <c r="F231" s="86"/>
      <c r="G231" s="69" t="s">
        <v>1607</v>
      </c>
      <c r="H231" s="24" t="s">
        <v>1608</v>
      </c>
      <c r="I231" s="86"/>
      <c r="J231" s="19"/>
      <c r="K231" s="70" t="s">
        <v>283</v>
      </c>
      <c r="L231" s="73"/>
      <c r="M231" s="73"/>
      <c r="N231" s="90" t="s">
        <v>1609</v>
      </c>
      <c r="O231" s="90" t="s">
        <v>1610</v>
      </c>
      <c r="P231" s="203" t="s">
        <v>384</v>
      </c>
      <c r="Q231" s="203" t="str">
        <f>BRD_EPIC2[[#This Row],[system type]]&amp;BRD_EPIC2[[#This Row],[system type2]]</f>
        <v>Back-End&amp; QA &amp; PM &amp; DM</v>
      </c>
      <c r="R231" s="203" t="s">
        <v>2243</v>
      </c>
      <c r="S231" s="203"/>
      <c r="T231" s="203"/>
      <c r="U231" s="203">
        <v>8</v>
      </c>
      <c r="V231" s="203">
        <f>$U231*DE_Cost!$B$1*8</f>
        <v>76.8</v>
      </c>
      <c r="W231" s="204">
        <f>$U231*DE_Cost!$B$1</f>
        <v>9.6</v>
      </c>
      <c r="X231" s="204"/>
      <c r="Y231" s="204"/>
      <c r="Z231" s="204">
        <f t="shared" si="7"/>
        <v>4</v>
      </c>
      <c r="AA231" s="203" t="s">
        <v>42</v>
      </c>
      <c r="AB231" s="203"/>
      <c r="AC231" s="203"/>
      <c r="AD231" s="204">
        <f t="shared" si="6"/>
        <v>32</v>
      </c>
    </row>
    <row r="232" spans="1:30" ht="180">
      <c r="A232" s="56" t="s">
        <v>140</v>
      </c>
      <c r="B232" s="50" t="s">
        <v>1584</v>
      </c>
      <c r="C232" s="33" t="s">
        <v>1594</v>
      </c>
      <c r="D232" s="12" t="s">
        <v>1611</v>
      </c>
      <c r="E232" s="12" t="s">
        <v>1612</v>
      </c>
      <c r="F232" s="12" t="s">
        <v>1613</v>
      </c>
      <c r="G232" s="32" t="s">
        <v>174</v>
      </c>
      <c r="H232" s="19" t="s">
        <v>1614</v>
      </c>
      <c r="I232" s="12" t="s">
        <v>1615</v>
      </c>
      <c r="J232" s="19" t="s">
        <v>1616</v>
      </c>
      <c r="K232" s="32" t="s">
        <v>283</v>
      </c>
      <c r="L232" s="73"/>
      <c r="M232" s="73"/>
      <c r="N232" s="90" t="s">
        <v>1617</v>
      </c>
      <c r="O232" s="90" t="s">
        <v>1618</v>
      </c>
      <c r="P232" s="203" t="s">
        <v>384</v>
      </c>
      <c r="Q232" s="203" t="str">
        <f>BRD_EPIC2[[#This Row],[system type]]&amp;BRD_EPIC2[[#This Row],[system type2]]</f>
        <v>Back-End&amp; QA &amp; PM &amp; DM</v>
      </c>
      <c r="R232" s="203" t="s">
        <v>2243</v>
      </c>
      <c r="S232" s="203"/>
      <c r="T232" s="203"/>
      <c r="U232" s="203">
        <v>10</v>
      </c>
      <c r="V232" s="203">
        <f>$U232*DE_Cost!$B$1*8</f>
        <v>96</v>
      </c>
      <c r="W232" s="204">
        <f>$U232*DE_Cost!$B$1</f>
        <v>12</v>
      </c>
      <c r="X232" s="204"/>
      <c r="Y232" s="204"/>
      <c r="Z232" s="204">
        <f t="shared" si="7"/>
        <v>4</v>
      </c>
      <c r="AA232" s="203" t="s">
        <v>150</v>
      </c>
      <c r="AB232" s="203" t="s">
        <v>1619</v>
      </c>
      <c r="AC232" s="203"/>
      <c r="AD232" s="204">
        <f t="shared" si="6"/>
        <v>40</v>
      </c>
    </row>
    <row r="233" spans="1:30" ht="216">
      <c r="A233" s="57" t="s">
        <v>140</v>
      </c>
      <c r="B233" s="50" t="s">
        <v>1584</v>
      </c>
      <c r="C233" s="33" t="s">
        <v>1594</v>
      </c>
      <c r="D233" s="33" t="s">
        <v>1620</v>
      </c>
      <c r="E233" s="33" t="s">
        <v>1621</v>
      </c>
      <c r="F233" s="33" t="s">
        <v>1613</v>
      </c>
      <c r="G233" s="32" t="s">
        <v>174</v>
      </c>
      <c r="H233" s="24" t="s">
        <v>1622</v>
      </c>
      <c r="I233" s="33" t="s">
        <v>1615</v>
      </c>
      <c r="J233" s="19" t="s">
        <v>1623</v>
      </c>
      <c r="K233" s="32" t="s">
        <v>283</v>
      </c>
      <c r="L233" s="73"/>
      <c r="M233" s="73"/>
      <c r="N233" s="90" t="s">
        <v>1624</v>
      </c>
      <c r="O233" s="90" t="s">
        <v>1618</v>
      </c>
      <c r="P233" s="203" t="s">
        <v>384</v>
      </c>
      <c r="Q233" s="203" t="str">
        <f>BRD_EPIC2[[#This Row],[system type]]&amp;BRD_EPIC2[[#This Row],[system type2]]</f>
        <v>Back-End&amp; QA &amp; PM &amp; DM</v>
      </c>
      <c r="R233" s="203" t="s">
        <v>2243</v>
      </c>
      <c r="S233" s="203"/>
      <c r="T233" s="203"/>
      <c r="U233" s="203">
        <v>5</v>
      </c>
      <c r="V233" s="203">
        <f>$U233*DE_Cost!$B$1*8</f>
        <v>48</v>
      </c>
      <c r="W233" s="204">
        <f>$U233*DE_Cost!$B$1</f>
        <v>6</v>
      </c>
      <c r="X233" s="204"/>
      <c r="Y233" s="204"/>
      <c r="Z233" s="204">
        <f t="shared" si="7"/>
        <v>4</v>
      </c>
      <c r="AA233" s="203" t="s">
        <v>42</v>
      </c>
      <c r="AB233" s="203"/>
      <c r="AC233" s="203"/>
      <c r="AD233" s="204">
        <f t="shared" si="6"/>
        <v>20</v>
      </c>
    </row>
    <row r="234" spans="1:30" ht="126">
      <c r="A234" s="57" t="s">
        <v>140</v>
      </c>
      <c r="B234" s="50" t="s">
        <v>1584</v>
      </c>
      <c r="C234" s="33" t="s">
        <v>1594</v>
      </c>
      <c r="D234" s="60" t="s">
        <v>1625</v>
      </c>
      <c r="E234" s="33" t="s">
        <v>1626</v>
      </c>
      <c r="F234" s="86" t="s">
        <v>1613</v>
      </c>
      <c r="G234" s="32" t="s">
        <v>174</v>
      </c>
      <c r="H234" s="24" t="s">
        <v>1627</v>
      </c>
      <c r="I234" s="33" t="s">
        <v>1628</v>
      </c>
      <c r="J234" s="19"/>
      <c r="K234" s="70" t="s">
        <v>318</v>
      </c>
      <c r="L234" s="73"/>
      <c r="M234" s="73"/>
      <c r="N234" s="90" t="s">
        <v>1629</v>
      </c>
      <c r="O234" s="90" t="s">
        <v>1630</v>
      </c>
      <c r="P234" s="203" t="s">
        <v>384</v>
      </c>
      <c r="Q234" s="203" t="str">
        <f>BRD_EPIC2[[#This Row],[system type]]&amp;BRD_EPIC2[[#This Row],[system type2]]</f>
        <v>Back-End&amp; QA &amp; PM &amp; DM</v>
      </c>
      <c r="R234" s="203" t="s">
        <v>2243</v>
      </c>
      <c r="S234" s="203"/>
      <c r="T234" s="203"/>
      <c r="U234" s="203">
        <v>10</v>
      </c>
      <c r="V234" s="203">
        <f>$U234*DE_Cost!$B$1*8</f>
        <v>96</v>
      </c>
      <c r="W234" s="204">
        <f>$U234*DE_Cost!$B$1</f>
        <v>12</v>
      </c>
      <c r="X234" s="204"/>
      <c r="Y234" s="204"/>
      <c r="Z234" s="204">
        <f t="shared" si="7"/>
        <v>4</v>
      </c>
      <c r="AA234" s="203" t="s">
        <v>42</v>
      </c>
      <c r="AB234" s="203"/>
      <c r="AC234" s="203"/>
      <c r="AD234" s="204">
        <f t="shared" si="6"/>
        <v>40</v>
      </c>
    </row>
    <row r="235" spans="1:30" ht="324">
      <c r="A235" s="77" t="s">
        <v>140</v>
      </c>
      <c r="B235" s="78" t="s">
        <v>1584</v>
      </c>
      <c r="C235" s="79" t="s">
        <v>1594</v>
      </c>
      <c r="D235" s="79" t="s">
        <v>1631</v>
      </c>
      <c r="E235" s="79" t="s">
        <v>1632</v>
      </c>
      <c r="F235" s="79" t="s">
        <v>1633</v>
      </c>
      <c r="G235" s="64" t="s">
        <v>174</v>
      </c>
      <c r="H235" s="244" t="s">
        <v>1634</v>
      </c>
      <c r="I235" s="79" t="s">
        <v>1633</v>
      </c>
      <c r="J235" s="68" t="s">
        <v>1635</v>
      </c>
      <c r="K235" s="64" t="s">
        <v>283</v>
      </c>
      <c r="L235" s="75"/>
      <c r="M235" s="75"/>
      <c r="N235" s="90" t="s">
        <v>1636</v>
      </c>
      <c r="O235" s="90" t="s">
        <v>1637</v>
      </c>
      <c r="P235" s="203" t="s">
        <v>384</v>
      </c>
      <c r="Q235" s="203" t="str">
        <f>BRD_EPIC2[[#This Row],[system type]]&amp;BRD_EPIC2[[#This Row],[system type2]]</f>
        <v>Back-End&amp; QA &amp; PM &amp; DM</v>
      </c>
      <c r="R235" s="203" t="s">
        <v>2243</v>
      </c>
      <c r="S235" s="203"/>
      <c r="T235" s="203"/>
      <c r="U235" s="203">
        <v>5</v>
      </c>
      <c r="V235" s="203">
        <f>$U235*DE_Cost!$B$1*8</f>
        <v>48</v>
      </c>
      <c r="W235" s="204">
        <f>$U235*DE_Cost!$B$1</f>
        <v>6</v>
      </c>
      <c r="X235" s="204"/>
      <c r="Y235" s="204"/>
      <c r="Z235" s="204">
        <f t="shared" si="7"/>
        <v>4</v>
      </c>
      <c r="AA235" s="203" t="s">
        <v>42</v>
      </c>
      <c r="AB235" s="203"/>
      <c r="AC235" s="203"/>
      <c r="AD235" s="204">
        <f t="shared" si="6"/>
        <v>20</v>
      </c>
    </row>
    <row r="236" spans="1:30" ht="360">
      <c r="A236" s="57" t="s">
        <v>140</v>
      </c>
      <c r="B236" s="46" t="s">
        <v>1584</v>
      </c>
      <c r="C236" s="12" t="s">
        <v>1594</v>
      </c>
      <c r="D236" s="33" t="s">
        <v>1638</v>
      </c>
      <c r="E236" s="33" t="s">
        <v>1639</v>
      </c>
      <c r="F236" s="33"/>
      <c r="G236" s="32" t="s">
        <v>174</v>
      </c>
      <c r="H236" s="241" t="s">
        <v>1640</v>
      </c>
      <c r="I236" s="33"/>
      <c r="J236" s="19" t="s">
        <v>1641</v>
      </c>
      <c r="K236" s="32" t="s">
        <v>283</v>
      </c>
      <c r="L236" s="73"/>
      <c r="M236" s="73"/>
      <c r="N236" s="90" t="s">
        <v>1642</v>
      </c>
      <c r="O236" s="32" t="s">
        <v>1643</v>
      </c>
      <c r="P236" s="203" t="s">
        <v>384</v>
      </c>
      <c r="Q236" s="203" t="str">
        <f>BRD_EPIC2[[#This Row],[system type]]&amp;BRD_EPIC2[[#This Row],[system type2]]</f>
        <v>Back-End&amp; QA &amp; PM &amp; DM</v>
      </c>
      <c r="R236" s="203" t="s">
        <v>2243</v>
      </c>
      <c r="S236" s="203"/>
      <c r="T236" s="203"/>
      <c r="U236" s="203">
        <v>15</v>
      </c>
      <c r="V236" s="203">
        <f>$U236*DE_Cost!$B$1*8</f>
        <v>144</v>
      </c>
      <c r="W236" s="204">
        <f>$U236*DE_Cost!$B$1</f>
        <v>18</v>
      </c>
      <c r="X236" s="204"/>
      <c r="Y236" s="204"/>
      <c r="Z236" s="204">
        <f t="shared" si="7"/>
        <v>4</v>
      </c>
      <c r="AA236" s="203" t="s">
        <v>42</v>
      </c>
      <c r="AB236" s="203"/>
      <c r="AC236" s="203"/>
      <c r="AD236" s="204">
        <f t="shared" si="6"/>
        <v>60</v>
      </c>
    </row>
    <row r="237" spans="1:30" ht="409.6">
      <c r="A237" s="56" t="s">
        <v>140</v>
      </c>
      <c r="B237" s="50" t="s">
        <v>1584</v>
      </c>
      <c r="C237" s="33" t="s">
        <v>1594</v>
      </c>
      <c r="D237" s="33" t="s">
        <v>1644</v>
      </c>
      <c r="E237" s="33" t="s">
        <v>1645</v>
      </c>
      <c r="F237" s="33" t="s">
        <v>1646</v>
      </c>
      <c r="G237" s="32" t="s">
        <v>174</v>
      </c>
      <c r="H237" s="241" t="s">
        <v>1647</v>
      </c>
      <c r="I237" s="33" t="s">
        <v>1646</v>
      </c>
      <c r="J237" s="19" t="s">
        <v>1648</v>
      </c>
      <c r="K237" s="32" t="s">
        <v>283</v>
      </c>
      <c r="L237" s="73"/>
      <c r="M237" s="73"/>
      <c r="N237" s="90" t="s">
        <v>1649</v>
      </c>
      <c r="O237" s="90" t="s">
        <v>1650</v>
      </c>
      <c r="P237" s="203" t="s">
        <v>384</v>
      </c>
      <c r="Q237" s="203" t="str">
        <f>BRD_EPIC2[[#This Row],[system type]]&amp;BRD_EPIC2[[#This Row],[system type2]]</f>
        <v>Back-End&amp; QA &amp; PM &amp; DM</v>
      </c>
      <c r="R237" s="203" t="s">
        <v>2243</v>
      </c>
      <c r="S237" s="203"/>
      <c r="T237" s="203"/>
      <c r="U237" s="203">
        <v>15</v>
      </c>
      <c r="V237" s="203">
        <f>$U237*DE_Cost!$B$1*8</f>
        <v>144</v>
      </c>
      <c r="W237" s="204">
        <f>$U237*DE_Cost!$B$1</f>
        <v>18</v>
      </c>
      <c r="X237" s="204"/>
      <c r="Y237" s="204"/>
      <c r="Z237" s="204">
        <f t="shared" si="7"/>
        <v>4</v>
      </c>
      <c r="AA237" s="203" t="s">
        <v>42</v>
      </c>
      <c r="AB237" s="203"/>
      <c r="AC237" s="203"/>
      <c r="AD237" s="204">
        <f t="shared" si="6"/>
        <v>60</v>
      </c>
    </row>
    <row r="238" spans="1:30" ht="108">
      <c r="A238" s="56" t="s">
        <v>140</v>
      </c>
      <c r="B238" s="50" t="s">
        <v>1584</v>
      </c>
      <c r="C238" s="33" t="s">
        <v>1594</v>
      </c>
      <c r="D238" s="33" t="s">
        <v>1651</v>
      </c>
      <c r="E238" s="33" t="s">
        <v>1652</v>
      </c>
      <c r="F238" s="33" t="s">
        <v>1653</v>
      </c>
      <c r="G238" s="32" t="s">
        <v>174</v>
      </c>
      <c r="H238" s="241" t="s">
        <v>1654</v>
      </c>
      <c r="I238" s="33" t="s">
        <v>1655</v>
      </c>
      <c r="J238" s="19"/>
      <c r="K238" s="32" t="s">
        <v>283</v>
      </c>
      <c r="L238" s="73"/>
      <c r="M238" s="73"/>
      <c r="N238" s="90" t="s">
        <v>1656</v>
      </c>
      <c r="O238" s="90"/>
      <c r="P238" s="203" t="s">
        <v>384</v>
      </c>
      <c r="Q238" s="203" t="str">
        <f>BRD_EPIC2[[#This Row],[system type]]&amp;BRD_EPIC2[[#This Row],[system type2]]</f>
        <v>Back-End&amp; QA &amp; PM &amp; DM</v>
      </c>
      <c r="R238" s="203" t="s">
        <v>2243</v>
      </c>
      <c r="S238" s="203"/>
      <c r="T238" s="203"/>
      <c r="U238" s="203">
        <v>10</v>
      </c>
      <c r="V238" s="203">
        <f>$U238*DE_Cost!$B$1*8</f>
        <v>96</v>
      </c>
      <c r="W238" s="204">
        <f>$U238*DE_Cost!$B$1</f>
        <v>12</v>
      </c>
      <c r="X238" s="204"/>
      <c r="Y238" s="204"/>
      <c r="Z238" s="204">
        <f t="shared" si="7"/>
        <v>4</v>
      </c>
      <c r="AA238" s="203" t="s">
        <v>42</v>
      </c>
      <c r="AB238" s="203"/>
      <c r="AC238" s="203"/>
      <c r="AD238" s="204">
        <f t="shared" si="6"/>
        <v>40</v>
      </c>
    </row>
    <row r="239" spans="1:30" ht="108" hidden="1">
      <c r="A239" s="57" t="s">
        <v>140</v>
      </c>
      <c r="B239" s="50" t="s">
        <v>1584</v>
      </c>
      <c r="C239" s="33" t="s">
        <v>1594</v>
      </c>
      <c r="D239" s="12" t="s">
        <v>1657</v>
      </c>
      <c r="E239" s="12" t="s">
        <v>1658</v>
      </c>
      <c r="F239" s="12" t="s">
        <v>1659</v>
      </c>
      <c r="G239" s="32" t="s">
        <v>174</v>
      </c>
      <c r="H239" s="19" t="s">
        <v>1660</v>
      </c>
      <c r="I239" s="12" t="s">
        <v>1659</v>
      </c>
      <c r="J239" s="19"/>
      <c r="K239" s="32" t="s">
        <v>346</v>
      </c>
      <c r="L239" s="73"/>
      <c r="M239" s="73"/>
      <c r="N239" s="90"/>
      <c r="O239" s="90"/>
      <c r="P239" s="203"/>
      <c r="Q239" s="203" t="str">
        <f>BRD_EPIC2[[#This Row],[system type]]&amp;BRD_EPIC2[[#This Row],[system type2]]</f>
        <v xml:space="preserve"> &amp; QA &amp; PM &amp; DM &amp; UI</v>
      </c>
      <c r="R239" s="203" t="s">
        <v>2239</v>
      </c>
      <c r="S239" s="203"/>
      <c r="T239" s="203"/>
      <c r="U239" s="203"/>
      <c r="V239" s="203"/>
      <c r="W239" s="204"/>
      <c r="X239" s="204"/>
      <c r="Y239" s="204"/>
      <c r="Z239" s="204">
        <f t="shared" si="7"/>
        <v>5</v>
      </c>
      <c r="AA239" s="203" t="s">
        <v>42</v>
      </c>
      <c r="AB239" s="203"/>
      <c r="AC239" s="203"/>
      <c r="AD239" s="204">
        <f t="shared" si="6"/>
        <v>0</v>
      </c>
    </row>
    <row r="240" spans="1:30" ht="409.6">
      <c r="A240" s="56" t="s">
        <v>140</v>
      </c>
      <c r="B240" s="50" t="s">
        <v>1584</v>
      </c>
      <c r="C240" s="33" t="s">
        <v>1594</v>
      </c>
      <c r="D240" s="33" t="s">
        <v>1661</v>
      </c>
      <c r="E240" s="33" t="s">
        <v>1662</v>
      </c>
      <c r="F240" s="33" t="s">
        <v>1663</v>
      </c>
      <c r="G240" s="32" t="s">
        <v>174</v>
      </c>
      <c r="H240" s="19" t="s">
        <v>1664</v>
      </c>
      <c r="I240" s="33" t="s">
        <v>1665</v>
      </c>
      <c r="J240" s="19" t="s">
        <v>1666</v>
      </c>
      <c r="K240" s="32" t="s">
        <v>283</v>
      </c>
      <c r="L240" s="73"/>
      <c r="M240" s="73"/>
      <c r="N240" s="90" t="s">
        <v>1667</v>
      </c>
      <c r="O240" s="90" t="s">
        <v>1668</v>
      </c>
      <c r="P240" s="203" t="s">
        <v>384</v>
      </c>
      <c r="Q240" s="203" t="str">
        <f>BRD_EPIC2[[#This Row],[system type]]&amp;BRD_EPIC2[[#This Row],[system type2]]</f>
        <v>Back-End&amp; QA &amp; PM &amp; DM</v>
      </c>
      <c r="R240" s="203" t="s">
        <v>2243</v>
      </c>
      <c r="S240" s="203"/>
      <c r="T240" s="203"/>
      <c r="U240" s="203">
        <v>10</v>
      </c>
      <c r="V240" s="203">
        <f>$U240*DE_Cost!$B$1*8</f>
        <v>96</v>
      </c>
      <c r="W240" s="204">
        <f>$U240*DE_Cost!$B$1</f>
        <v>12</v>
      </c>
      <c r="X240" s="204"/>
      <c r="Y240" s="204"/>
      <c r="Z240" s="204">
        <f t="shared" si="7"/>
        <v>4</v>
      </c>
      <c r="AA240" s="203" t="s">
        <v>42</v>
      </c>
      <c r="AB240" s="203"/>
      <c r="AC240" s="203"/>
      <c r="AD240" s="204">
        <f t="shared" si="6"/>
        <v>40</v>
      </c>
    </row>
    <row r="241" spans="1:30" ht="144">
      <c r="A241" s="56" t="s">
        <v>140</v>
      </c>
      <c r="B241" s="50" t="s">
        <v>1584</v>
      </c>
      <c r="C241" s="33" t="s">
        <v>1594</v>
      </c>
      <c r="D241" s="12" t="s">
        <v>1669</v>
      </c>
      <c r="E241" s="12" t="s">
        <v>1670</v>
      </c>
      <c r="F241" s="12"/>
      <c r="G241" s="32" t="s">
        <v>174</v>
      </c>
      <c r="H241" s="24" t="s">
        <v>1671</v>
      </c>
      <c r="I241" s="12"/>
      <c r="J241" s="19" t="s">
        <v>1672</v>
      </c>
      <c r="K241" s="32" t="s">
        <v>283</v>
      </c>
      <c r="L241" s="73"/>
      <c r="M241" s="73"/>
      <c r="N241" s="90" t="s">
        <v>1673</v>
      </c>
      <c r="O241" s="90" t="s">
        <v>1674</v>
      </c>
      <c r="P241" s="203" t="s">
        <v>384</v>
      </c>
      <c r="Q241" s="203" t="str">
        <f>BRD_EPIC2[[#This Row],[system type]]&amp;BRD_EPIC2[[#This Row],[system type2]]</f>
        <v>Back-End&amp; QA &amp; PM &amp; DM</v>
      </c>
      <c r="R241" s="203" t="s">
        <v>2243</v>
      </c>
      <c r="S241" s="203"/>
      <c r="T241" s="203"/>
      <c r="U241" s="203">
        <v>5</v>
      </c>
      <c r="V241" s="203">
        <f>$U241*DE_Cost!$B$1*8</f>
        <v>48</v>
      </c>
      <c r="W241" s="204">
        <f>$U241*DE_Cost!$B$1</f>
        <v>6</v>
      </c>
      <c r="X241" s="204"/>
      <c r="Y241" s="204"/>
      <c r="Z241" s="204">
        <f t="shared" si="7"/>
        <v>4</v>
      </c>
      <c r="AA241" s="203" t="s">
        <v>42</v>
      </c>
      <c r="AB241" s="203"/>
      <c r="AC241" s="203"/>
      <c r="AD241" s="204">
        <f t="shared" si="6"/>
        <v>20</v>
      </c>
    </row>
    <row r="242" spans="1:30" ht="108" hidden="1">
      <c r="A242" s="56" t="s">
        <v>140</v>
      </c>
      <c r="B242" s="50" t="s">
        <v>1584</v>
      </c>
      <c r="C242" s="33" t="s">
        <v>1594</v>
      </c>
      <c r="D242" s="12" t="s">
        <v>1675</v>
      </c>
      <c r="E242" s="12" t="s">
        <v>1676</v>
      </c>
      <c r="F242" s="12"/>
      <c r="G242" s="32" t="s">
        <v>174</v>
      </c>
      <c r="H242" s="24" t="s">
        <v>1677</v>
      </c>
      <c r="I242" s="12"/>
      <c r="J242" s="19"/>
      <c r="K242" s="32" t="s">
        <v>346</v>
      </c>
      <c r="L242" s="73"/>
      <c r="M242" s="73"/>
      <c r="N242" s="90"/>
      <c r="O242" s="90"/>
      <c r="P242" s="203"/>
      <c r="Q242" s="203" t="str">
        <f>BRD_EPIC2[[#This Row],[system type]]&amp;BRD_EPIC2[[#This Row],[system type2]]</f>
        <v xml:space="preserve"> &amp; QA &amp; PM &amp; DM &amp; UI</v>
      </c>
      <c r="R242" s="203" t="s">
        <v>2239</v>
      </c>
      <c r="S242" s="203"/>
      <c r="T242" s="203"/>
      <c r="U242" s="203"/>
      <c r="V242" s="203"/>
      <c r="W242" s="204"/>
      <c r="X242" s="204"/>
      <c r="Y242" s="204"/>
      <c r="Z242" s="204">
        <f t="shared" si="7"/>
        <v>5</v>
      </c>
      <c r="AA242" s="203" t="s">
        <v>42</v>
      </c>
      <c r="AB242" s="203"/>
      <c r="AC242" s="203"/>
      <c r="AD242" s="204">
        <f t="shared" si="6"/>
        <v>0</v>
      </c>
    </row>
    <row r="243" spans="1:30" ht="90" hidden="1">
      <c r="A243" s="56" t="s">
        <v>140</v>
      </c>
      <c r="B243" s="50" t="s">
        <v>1584</v>
      </c>
      <c r="C243" s="33" t="s">
        <v>1594</v>
      </c>
      <c r="D243" s="33" t="s">
        <v>1678</v>
      </c>
      <c r="E243" s="33" t="s">
        <v>1679</v>
      </c>
      <c r="F243" s="33"/>
      <c r="G243" s="32" t="s">
        <v>174</v>
      </c>
      <c r="H243" s="24" t="s">
        <v>1680</v>
      </c>
      <c r="I243" s="33"/>
      <c r="J243" s="19"/>
      <c r="K243" s="32" t="s">
        <v>346</v>
      </c>
      <c r="L243" s="73"/>
      <c r="M243" s="73"/>
      <c r="N243" s="90"/>
      <c r="O243" s="90"/>
      <c r="P243" s="203"/>
      <c r="Q243" s="203" t="str">
        <f>BRD_EPIC2[[#This Row],[system type]]&amp;BRD_EPIC2[[#This Row],[system type2]]</f>
        <v xml:space="preserve"> &amp; QA &amp; PM &amp; DM &amp; UI</v>
      </c>
      <c r="R243" s="203" t="s">
        <v>2239</v>
      </c>
      <c r="S243" s="203"/>
      <c r="T243" s="203"/>
      <c r="U243" s="203"/>
      <c r="V243" s="203"/>
      <c r="W243" s="204"/>
      <c r="X243" s="204"/>
      <c r="Y243" s="204"/>
      <c r="Z243" s="204">
        <f t="shared" si="7"/>
        <v>5</v>
      </c>
      <c r="AA243" s="203" t="s">
        <v>42</v>
      </c>
      <c r="AB243" s="203"/>
      <c r="AC243" s="203"/>
      <c r="AD243" s="204">
        <f t="shared" si="6"/>
        <v>0</v>
      </c>
    </row>
    <row r="244" spans="1:30" ht="90" hidden="1">
      <c r="A244" s="56" t="s">
        <v>140</v>
      </c>
      <c r="B244" s="50" t="s">
        <v>1584</v>
      </c>
      <c r="C244" s="33" t="s">
        <v>1594</v>
      </c>
      <c r="D244" s="33" t="s">
        <v>1681</v>
      </c>
      <c r="E244" s="33" t="s">
        <v>1682</v>
      </c>
      <c r="F244" s="33"/>
      <c r="G244" s="32" t="s">
        <v>174</v>
      </c>
      <c r="H244" s="24" t="s">
        <v>1683</v>
      </c>
      <c r="I244" s="33"/>
      <c r="J244" s="19"/>
      <c r="K244" s="32" t="s">
        <v>346</v>
      </c>
      <c r="L244" s="73"/>
      <c r="M244" s="73"/>
      <c r="N244" s="90"/>
      <c r="O244" s="90"/>
      <c r="P244" s="203"/>
      <c r="Q244" s="203" t="str">
        <f>BRD_EPIC2[[#This Row],[system type]]&amp;BRD_EPIC2[[#This Row],[system type2]]</f>
        <v xml:space="preserve"> &amp; QA &amp; PM &amp; DM &amp; UI</v>
      </c>
      <c r="R244" s="203" t="s">
        <v>2239</v>
      </c>
      <c r="S244" s="203"/>
      <c r="T244" s="203"/>
      <c r="U244" s="203"/>
      <c r="V244" s="203"/>
      <c r="W244" s="204"/>
      <c r="X244" s="204"/>
      <c r="Y244" s="204"/>
      <c r="Z244" s="204">
        <f t="shared" si="7"/>
        <v>5</v>
      </c>
      <c r="AA244" s="203" t="s">
        <v>42</v>
      </c>
      <c r="AB244" s="203"/>
      <c r="AC244" s="203"/>
      <c r="AD244" s="204">
        <f t="shared" si="6"/>
        <v>0</v>
      </c>
    </row>
    <row r="245" spans="1:30" ht="108" hidden="1">
      <c r="A245" s="56" t="s">
        <v>140</v>
      </c>
      <c r="B245" s="50" t="s">
        <v>1584</v>
      </c>
      <c r="C245" s="33" t="s">
        <v>1594</v>
      </c>
      <c r="D245" s="33" t="s">
        <v>1684</v>
      </c>
      <c r="E245" s="33" t="s">
        <v>1685</v>
      </c>
      <c r="F245" s="33" t="s">
        <v>1686</v>
      </c>
      <c r="G245" s="32" t="s">
        <v>174</v>
      </c>
      <c r="H245" s="24" t="s">
        <v>1687</v>
      </c>
      <c r="I245" s="33" t="s">
        <v>1686</v>
      </c>
      <c r="J245" s="19"/>
      <c r="K245" s="32" t="s">
        <v>346</v>
      </c>
      <c r="L245" s="73"/>
      <c r="M245" s="73"/>
      <c r="N245" s="90"/>
      <c r="O245" s="90"/>
      <c r="P245" s="203"/>
      <c r="Q245" s="203" t="str">
        <f>BRD_EPIC2[[#This Row],[system type]]&amp;BRD_EPIC2[[#This Row],[system type2]]</f>
        <v xml:space="preserve"> &amp; QA &amp; PM &amp; DM &amp; UI</v>
      </c>
      <c r="R245" s="203" t="s">
        <v>2239</v>
      </c>
      <c r="S245" s="203"/>
      <c r="T245" s="203"/>
      <c r="U245" s="203"/>
      <c r="V245" s="203"/>
      <c r="W245" s="204"/>
      <c r="X245" s="204"/>
      <c r="Y245" s="204"/>
      <c r="Z245" s="204">
        <f t="shared" si="7"/>
        <v>5</v>
      </c>
      <c r="AA245" s="203" t="s">
        <v>42</v>
      </c>
      <c r="AB245" s="203"/>
      <c r="AC245" s="203"/>
      <c r="AD245" s="204">
        <f t="shared" si="6"/>
        <v>0</v>
      </c>
    </row>
    <row r="246" spans="1:30" ht="72" hidden="1">
      <c r="A246" s="56" t="s">
        <v>140</v>
      </c>
      <c r="B246" s="50" t="s">
        <v>1584</v>
      </c>
      <c r="C246" s="33" t="s">
        <v>1594</v>
      </c>
      <c r="D246" s="33" t="s">
        <v>1688</v>
      </c>
      <c r="E246" s="33" t="s">
        <v>1689</v>
      </c>
      <c r="F246" s="33"/>
      <c r="G246" s="32" t="s">
        <v>174</v>
      </c>
      <c r="H246" s="244" t="s">
        <v>1690</v>
      </c>
      <c r="I246" s="33"/>
      <c r="J246" s="19"/>
      <c r="K246" s="32" t="s">
        <v>346</v>
      </c>
      <c r="L246" s="73"/>
      <c r="M246" s="73"/>
      <c r="N246" s="90"/>
      <c r="O246" s="90"/>
      <c r="P246" s="203"/>
      <c r="Q246" s="203" t="str">
        <f>BRD_EPIC2[[#This Row],[system type]]&amp;BRD_EPIC2[[#This Row],[system type2]]</f>
        <v xml:space="preserve"> &amp; QA &amp; PM &amp; DM &amp; UI</v>
      </c>
      <c r="R246" s="203" t="s">
        <v>2239</v>
      </c>
      <c r="S246" s="203"/>
      <c r="T246" s="203"/>
      <c r="U246" s="203"/>
      <c r="V246" s="203"/>
      <c r="W246" s="204"/>
      <c r="X246" s="204"/>
      <c r="Y246" s="204"/>
      <c r="Z246" s="204">
        <f t="shared" si="7"/>
        <v>5</v>
      </c>
      <c r="AA246" s="203" t="s">
        <v>42</v>
      </c>
      <c r="AB246" s="203"/>
      <c r="AC246" s="203"/>
      <c r="AD246" s="204">
        <f t="shared" si="6"/>
        <v>0</v>
      </c>
    </row>
    <row r="247" spans="1:30" ht="409.6">
      <c r="A247" s="56" t="s">
        <v>140</v>
      </c>
      <c r="B247" s="50" t="s">
        <v>1584</v>
      </c>
      <c r="C247" s="33" t="s">
        <v>1594</v>
      </c>
      <c r="D247" s="33" t="s">
        <v>1691</v>
      </c>
      <c r="E247" s="33" t="s">
        <v>1692</v>
      </c>
      <c r="F247" s="33"/>
      <c r="G247" s="32" t="s">
        <v>174</v>
      </c>
      <c r="H247" s="241" t="s">
        <v>1693</v>
      </c>
      <c r="I247" s="33"/>
      <c r="J247" s="19" t="s">
        <v>1694</v>
      </c>
      <c r="K247" s="32" t="s">
        <v>283</v>
      </c>
      <c r="L247" s="73"/>
      <c r="M247" s="73"/>
      <c r="N247" s="90" t="s">
        <v>1695</v>
      </c>
      <c r="O247" s="90"/>
      <c r="P247" s="203" t="s">
        <v>384</v>
      </c>
      <c r="Q247" s="203" t="str">
        <f>BRD_EPIC2[[#This Row],[system type]]&amp;BRD_EPIC2[[#This Row],[system type2]]</f>
        <v>Back-End&amp; QA &amp; PM &amp; DM</v>
      </c>
      <c r="R247" s="203" t="s">
        <v>2243</v>
      </c>
      <c r="S247" s="203"/>
      <c r="T247" s="203"/>
      <c r="U247" s="203">
        <v>15</v>
      </c>
      <c r="V247" s="203">
        <f>$U247*DE_Cost!$B$1*8</f>
        <v>144</v>
      </c>
      <c r="W247" s="204">
        <f>$U247*DE_Cost!$B$1</f>
        <v>18</v>
      </c>
      <c r="X247" s="204"/>
      <c r="Y247" s="204"/>
      <c r="Z247" s="204">
        <f t="shared" si="7"/>
        <v>4</v>
      </c>
      <c r="AA247" s="203" t="s">
        <v>42</v>
      </c>
      <c r="AB247" s="203"/>
      <c r="AC247" s="203"/>
      <c r="AD247" s="204">
        <f t="shared" si="6"/>
        <v>60</v>
      </c>
    </row>
    <row r="248" spans="1:30" ht="126" hidden="1">
      <c r="A248" s="57" t="s">
        <v>140</v>
      </c>
      <c r="B248" s="46" t="s">
        <v>1584</v>
      </c>
      <c r="C248" s="12" t="s">
        <v>1594</v>
      </c>
      <c r="D248" s="33" t="s">
        <v>1696</v>
      </c>
      <c r="E248" s="33" t="s">
        <v>1697</v>
      </c>
      <c r="F248" s="33" t="s">
        <v>1698</v>
      </c>
      <c r="G248" s="32" t="s">
        <v>174</v>
      </c>
      <c r="H248" s="19" t="s">
        <v>1699</v>
      </c>
      <c r="I248" s="33" t="s">
        <v>1700</v>
      </c>
      <c r="J248" s="19"/>
      <c r="K248" s="32" t="s">
        <v>346</v>
      </c>
      <c r="L248" s="73"/>
      <c r="M248" s="73"/>
      <c r="N248" s="90"/>
      <c r="O248" s="90"/>
      <c r="P248" s="203"/>
      <c r="Q248" s="203" t="str">
        <f>BRD_EPIC2[[#This Row],[system type]]&amp;BRD_EPIC2[[#This Row],[system type2]]</f>
        <v xml:space="preserve"> &amp; QA &amp; PM &amp; DM &amp; UI</v>
      </c>
      <c r="R248" s="203" t="s">
        <v>2239</v>
      </c>
      <c r="S248" s="203"/>
      <c r="T248" s="203"/>
      <c r="U248" s="203"/>
      <c r="V248" s="203"/>
      <c r="W248" s="204"/>
      <c r="X248" s="204"/>
      <c r="Y248" s="204"/>
      <c r="Z248" s="204">
        <f t="shared" si="7"/>
        <v>5</v>
      </c>
      <c r="AA248" s="203" t="s">
        <v>42</v>
      </c>
      <c r="AB248" s="203"/>
      <c r="AC248" s="203"/>
      <c r="AD248" s="204">
        <f t="shared" si="6"/>
        <v>0</v>
      </c>
    </row>
    <row r="249" spans="1:30" ht="108" hidden="1">
      <c r="A249" s="57" t="s">
        <v>140</v>
      </c>
      <c r="B249" s="46" t="s">
        <v>1584</v>
      </c>
      <c r="C249" s="12" t="s">
        <v>1594</v>
      </c>
      <c r="D249" s="33" t="s">
        <v>1702</v>
      </c>
      <c r="E249" s="33" t="s">
        <v>1703</v>
      </c>
      <c r="F249" s="33" t="s">
        <v>1704</v>
      </c>
      <c r="G249" s="32" t="s">
        <v>174</v>
      </c>
      <c r="H249" s="19" t="s">
        <v>1705</v>
      </c>
      <c r="I249" s="33" t="s">
        <v>1704</v>
      </c>
      <c r="J249" s="19"/>
      <c r="K249" s="32" t="s">
        <v>346</v>
      </c>
      <c r="L249" s="73"/>
      <c r="M249" s="73"/>
      <c r="N249" s="90"/>
      <c r="O249" s="90"/>
      <c r="P249" s="203"/>
      <c r="Q249" s="203" t="str">
        <f>BRD_EPIC2[[#This Row],[system type]]&amp;BRD_EPIC2[[#This Row],[system type2]]</f>
        <v xml:space="preserve"> &amp; QA &amp; PM &amp; DM &amp; UI</v>
      </c>
      <c r="R249" s="203" t="s">
        <v>2239</v>
      </c>
      <c r="S249" s="203"/>
      <c r="T249" s="203"/>
      <c r="U249" s="203"/>
      <c r="V249" s="203"/>
      <c r="W249" s="204"/>
      <c r="X249" s="204"/>
      <c r="Y249" s="204"/>
      <c r="Z249" s="204">
        <f t="shared" si="7"/>
        <v>5</v>
      </c>
      <c r="AA249" s="203" t="s">
        <v>42</v>
      </c>
      <c r="AB249" s="203"/>
      <c r="AC249" s="203"/>
      <c r="AD249" s="204">
        <f t="shared" si="6"/>
        <v>0</v>
      </c>
    </row>
    <row r="250" spans="1:30" ht="108" hidden="1">
      <c r="A250" s="57" t="s">
        <v>140</v>
      </c>
      <c r="B250" s="46" t="s">
        <v>1584</v>
      </c>
      <c r="C250" s="12" t="s">
        <v>1594</v>
      </c>
      <c r="D250" s="33" t="s">
        <v>1707</v>
      </c>
      <c r="E250" s="33" t="s">
        <v>1708</v>
      </c>
      <c r="F250" s="33" t="s">
        <v>1709</v>
      </c>
      <c r="G250" s="32" t="s">
        <v>174</v>
      </c>
      <c r="H250" s="19" t="s">
        <v>1710</v>
      </c>
      <c r="I250" s="33" t="s">
        <v>1709</v>
      </c>
      <c r="J250" s="19"/>
      <c r="K250" s="32" t="s">
        <v>346</v>
      </c>
      <c r="L250" s="73"/>
      <c r="M250" s="73"/>
      <c r="N250" s="90"/>
      <c r="O250" s="90"/>
      <c r="P250" s="203"/>
      <c r="Q250" s="203" t="str">
        <f>BRD_EPIC2[[#This Row],[system type]]&amp;BRD_EPIC2[[#This Row],[system type2]]</f>
        <v xml:space="preserve"> &amp; QA &amp; PM &amp; DM &amp; UI</v>
      </c>
      <c r="R250" s="203" t="s">
        <v>2239</v>
      </c>
      <c r="S250" s="203"/>
      <c r="T250" s="203"/>
      <c r="U250" s="203"/>
      <c r="V250" s="203"/>
      <c r="W250" s="204"/>
      <c r="X250" s="204"/>
      <c r="Y250" s="204"/>
      <c r="Z250" s="204">
        <f t="shared" si="7"/>
        <v>5</v>
      </c>
      <c r="AA250" s="203" t="s">
        <v>42</v>
      </c>
      <c r="AB250" s="203"/>
      <c r="AC250" s="203"/>
      <c r="AD250" s="204">
        <f t="shared" si="6"/>
        <v>0</v>
      </c>
    </row>
    <row r="251" spans="1:30" ht="108" hidden="1">
      <c r="A251" s="57" t="s">
        <v>140</v>
      </c>
      <c r="B251" s="46" t="s">
        <v>1584</v>
      </c>
      <c r="C251" s="12" t="s">
        <v>1594</v>
      </c>
      <c r="D251" s="33" t="s">
        <v>1712</v>
      </c>
      <c r="E251" s="33" t="s">
        <v>1713</v>
      </c>
      <c r="F251" s="33" t="s">
        <v>1714</v>
      </c>
      <c r="G251" s="32" t="s">
        <v>174</v>
      </c>
      <c r="H251" s="19" t="s">
        <v>1715</v>
      </c>
      <c r="I251" s="33" t="s">
        <v>1714</v>
      </c>
      <c r="J251" s="19"/>
      <c r="K251" s="32" t="s">
        <v>346</v>
      </c>
      <c r="L251" s="73"/>
      <c r="M251" s="73"/>
      <c r="N251" s="90"/>
      <c r="O251" s="90"/>
      <c r="P251" s="203"/>
      <c r="Q251" s="203" t="str">
        <f>BRD_EPIC2[[#This Row],[system type]]&amp;BRD_EPIC2[[#This Row],[system type2]]</f>
        <v xml:space="preserve"> &amp; QA &amp; PM &amp; DM &amp; UI</v>
      </c>
      <c r="R251" s="203" t="s">
        <v>2239</v>
      </c>
      <c r="S251" s="203"/>
      <c r="T251" s="203"/>
      <c r="U251" s="203"/>
      <c r="V251" s="203"/>
      <c r="W251" s="204"/>
      <c r="X251" s="204"/>
      <c r="Y251" s="204"/>
      <c r="Z251" s="204">
        <f t="shared" si="7"/>
        <v>5</v>
      </c>
      <c r="AA251" s="203" t="s">
        <v>42</v>
      </c>
      <c r="AB251" s="203"/>
      <c r="AC251" s="203"/>
      <c r="AD251" s="204">
        <f t="shared" si="6"/>
        <v>0</v>
      </c>
    </row>
    <row r="252" spans="1:30" ht="162" hidden="1">
      <c r="A252" s="57" t="s">
        <v>140</v>
      </c>
      <c r="B252" s="46" t="s">
        <v>1584</v>
      </c>
      <c r="C252" s="12" t="s">
        <v>1594</v>
      </c>
      <c r="D252" s="33" t="s">
        <v>1717</v>
      </c>
      <c r="E252" s="33" t="s">
        <v>1718</v>
      </c>
      <c r="F252" s="33" t="s">
        <v>1719</v>
      </c>
      <c r="G252" s="32" t="s">
        <v>174</v>
      </c>
      <c r="H252" s="19" t="s">
        <v>1720</v>
      </c>
      <c r="I252" s="33" t="s">
        <v>1719</v>
      </c>
      <c r="J252" s="19"/>
      <c r="K252" s="32" t="s">
        <v>346</v>
      </c>
      <c r="L252" s="73"/>
      <c r="M252" s="73"/>
      <c r="N252" s="90"/>
      <c r="O252" s="90"/>
      <c r="P252" s="203"/>
      <c r="Q252" s="203" t="str">
        <f>BRD_EPIC2[[#This Row],[system type]]&amp;BRD_EPIC2[[#This Row],[system type2]]</f>
        <v xml:space="preserve"> &amp; QA &amp; PM &amp; DM &amp; UI</v>
      </c>
      <c r="R252" s="203" t="s">
        <v>2239</v>
      </c>
      <c r="S252" s="203"/>
      <c r="T252" s="203"/>
      <c r="U252" s="203"/>
      <c r="V252" s="203"/>
      <c r="W252" s="204"/>
      <c r="X252" s="204"/>
      <c r="Y252" s="204"/>
      <c r="Z252" s="204">
        <f t="shared" si="7"/>
        <v>5</v>
      </c>
      <c r="AA252" s="203" t="s">
        <v>42</v>
      </c>
      <c r="AB252" s="203"/>
      <c r="AC252" s="203"/>
      <c r="AD252" s="204">
        <f t="shared" ref="AD252:AD315" si="8">U252 * Z252</f>
        <v>0</v>
      </c>
    </row>
    <row r="253" spans="1:30" ht="108">
      <c r="A253" s="57" t="s">
        <v>140</v>
      </c>
      <c r="B253" s="46" t="s">
        <v>1584</v>
      </c>
      <c r="C253" s="12" t="s">
        <v>1594</v>
      </c>
      <c r="D253" s="33" t="s">
        <v>1722</v>
      </c>
      <c r="E253" s="33" t="s">
        <v>1723</v>
      </c>
      <c r="F253" s="33" t="s">
        <v>1724</v>
      </c>
      <c r="G253" s="32" t="s">
        <v>174</v>
      </c>
      <c r="H253" s="241" t="s">
        <v>1725</v>
      </c>
      <c r="I253" s="33" t="s">
        <v>1726</v>
      </c>
      <c r="J253" s="19"/>
      <c r="K253" s="32" t="s">
        <v>283</v>
      </c>
      <c r="L253" s="73"/>
      <c r="M253" s="73"/>
      <c r="N253" s="90" t="s">
        <v>1727</v>
      </c>
      <c r="O253" s="90"/>
      <c r="P253" s="203" t="s">
        <v>384</v>
      </c>
      <c r="Q253" s="203" t="str">
        <f>BRD_EPIC2[[#This Row],[system type]]&amp;BRD_EPIC2[[#This Row],[system type2]]</f>
        <v>Back-End &amp; QA &amp; PM &amp; DM</v>
      </c>
      <c r="R253" s="203" t="s">
        <v>2245</v>
      </c>
      <c r="S253" s="203"/>
      <c r="T253" s="203"/>
      <c r="U253" s="203">
        <v>5</v>
      </c>
      <c r="V253" s="203">
        <f>$U253*DE_Cost!$B$1*8</f>
        <v>48</v>
      </c>
      <c r="W253" s="204">
        <f>$U253*DE_Cost!$B$1</f>
        <v>6</v>
      </c>
      <c r="X253" s="204"/>
      <c r="Y253" s="204"/>
      <c r="Z253" s="204">
        <f t="shared" si="7"/>
        <v>4</v>
      </c>
      <c r="AA253" s="203" t="s">
        <v>42</v>
      </c>
      <c r="AB253" s="203"/>
      <c r="AC253" s="203"/>
      <c r="AD253" s="204">
        <f t="shared" si="8"/>
        <v>20</v>
      </c>
    </row>
    <row r="254" spans="1:30" ht="108">
      <c r="A254" s="57" t="s">
        <v>140</v>
      </c>
      <c r="B254" s="46" t="s">
        <v>1584</v>
      </c>
      <c r="C254" s="12" t="s">
        <v>1594</v>
      </c>
      <c r="D254" s="33" t="s">
        <v>1728</v>
      </c>
      <c r="E254" s="33" t="s">
        <v>1729</v>
      </c>
      <c r="F254" s="33" t="s">
        <v>1724</v>
      </c>
      <c r="G254" s="32" t="s">
        <v>174</v>
      </c>
      <c r="H254" s="241" t="s">
        <v>1730</v>
      </c>
      <c r="I254" s="33" t="s">
        <v>1726</v>
      </c>
      <c r="J254" s="19"/>
      <c r="K254" s="32" t="s">
        <v>283</v>
      </c>
      <c r="L254" s="73"/>
      <c r="M254" s="73"/>
      <c r="N254" s="90" t="s">
        <v>1731</v>
      </c>
      <c r="O254" s="90"/>
      <c r="P254" s="203" t="s">
        <v>384</v>
      </c>
      <c r="Q254" s="203" t="str">
        <f>BRD_EPIC2[[#This Row],[system type]]&amp;BRD_EPIC2[[#This Row],[system type2]]</f>
        <v>Back-End &amp; QA &amp; PM &amp; DM</v>
      </c>
      <c r="R254" s="203" t="s">
        <v>2245</v>
      </c>
      <c r="S254" s="203"/>
      <c r="T254" s="203"/>
      <c r="U254" s="203">
        <v>5</v>
      </c>
      <c r="V254" s="203">
        <f>$U254*DE_Cost!$B$1*8</f>
        <v>48</v>
      </c>
      <c r="W254" s="204">
        <f>$U254*DE_Cost!$B$1</f>
        <v>6</v>
      </c>
      <c r="X254" s="204"/>
      <c r="Y254" s="204"/>
      <c r="Z254" s="204">
        <f t="shared" si="7"/>
        <v>4</v>
      </c>
      <c r="AA254" s="203" t="s">
        <v>42</v>
      </c>
      <c r="AB254" s="203"/>
      <c r="AC254" s="203"/>
      <c r="AD254" s="204">
        <f t="shared" si="8"/>
        <v>20</v>
      </c>
    </row>
    <row r="255" spans="1:30" ht="90">
      <c r="A255" s="57" t="s">
        <v>140</v>
      </c>
      <c r="B255" s="46" t="s">
        <v>1584</v>
      </c>
      <c r="C255" s="12" t="s">
        <v>1594</v>
      </c>
      <c r="D255" s="33" t="s">
        <v>1732</v>
      </c>
      <c r="E255" s="33" t="s">
        <v>1733</v>
      </c>
      <c r="F255" s="33" t="s">
        <v>1734</v>
      </c>
      <c r="G255" s="32" t="s">
        <v>174</v>
      </c>
      <c r="H255" s="244" t="s">
        <v>1735</v>
      </c>
      <c r="I255" s="33" t="s">
        <v>1736</v>
      </c>
      <c r="J255" s="19"/>
      <c r="K255" s="32" t="s">
        <v>283</v>
      </c>
      <c r="L255" s="73"/>
      <c r="M255" s="73"/>
      <c r="N255" s="90" t="s">
        <v>1737</v>
      </c>
      <c r="O255" s="90"/>
      <c r="P255" s="203" t="s">
        <v>384</v>
      </c>
      <c r="Q255" s="203" t="str">
        <f>BRD_EPIC2[[#This Row],[system type]]&amp;BRD_EPIC2[[#This Row],[system type2]]</f>
        <v>Back-End &amp; QA &amp; PM &amp; DM</v>
      </c>
      <c r="R255" s="203" t="s">
        <v>2245</v>
      </c>
      <c r="S255" s="203"/>
      <c r="T255" s="203"/>
      <c r="U255" s="203">
        <v>5</v>
      </c>
      <c r="V255" s="203">
        <f>$U255*DE_Cost!$B$1*8</f>
        <v>48</v>
      </c>
      <c r="W255" s="204">
        <f>$U255*DE_Cost!$B$1</f>
        <v>6</v>
      </c>
      <c r="X255" s="204"/>
      <c r="Y255" s="204"/>
      <c r="Z255" s="204">
        <f t="shared" si="7"/>
        <v>4</v>
      </c>
      <c r="AA255" s="203" t="s">
        <v>42</v>
      </c>
      <c r="AB255" s="203"/>
      <c r="AC255" s="203"/>
      <c r="AD255" s="204">
        <f t="shared" si="8"/>
        <v>20</v>
      </c>
    </row>
    <row r="256" spans="1:30" ht="108">
      <c r="A256" s="57" t="s">
        <v>140</v>
      </c>
      <c r="B256" s="46" t="s">
        <v>1584</v>
      </c>
      <c r="C256" s="12" t="s">
        <v>1594</v>
      </c>
      <c r="D256" s="33" t="s">
        <v>1738</v>
      </c>
      <c r="E256" s="33" t="s">
        <v>1739</v>
      </c>
      <c r="F256" s="33" t="s">
        <v>1734</v>
      </c>
      <c r="G256" s="32" t="s">
        <v>174</v>
      </c>
      <c r="H256" s="24" t="s">
        <v>1740</v>
      </c>
      <c r="I256" s="33" t="s">
        <v>1736</v>
      </c>
      <c r="J256" s="19"/>
      <c r="K256" s="32" t="s">
        <v>283</v>
      </c>
      <c r="L256" s="73"/>
      <c r="M256" s="73"/>
      <c r="N256" s="90" t="s">
        <v>1741</v>
      </c>
      <c r="O256" s="90"/>
      <c r="P256" s="203" t="s">
        <v>384</v>
      </c>
      <c r="Q256" s="203" t="str">
        <f>BRD_EPIC2[[#This Row],[system type]]&amp;BRD_EPIC2[[#This Row],[system type2]]</f>
        <v>Back-End &amp; QA &amp; PM &amp; DM</v>
      </c>
      <c r="R256" s="203" t="s">
        <v>2245</v>
      </c>
      <c r="S256" s="203"/>
      <c r="T256" s="203"/>
      <c r="U256" s="203">
        <v>5</v>
      </c>
      <c r="V256" s="203">
        <f>$U256*DE_Cost!$B$1*8</f>
        <v>48</v>
      </c>
      <c r="W256" s="204">
        <f>$U256*DE_Cost!$B$1</f>
        <v>6</v>
      </c>
      <c r="X256" s="204"/>
      <c r="Y256" s="204"/>
      <c r="Z256" s="204">
        <f t="shared" si="7"/>
        <v>4</v>
      </c>
      <c r="AA256" s="203" t="s">
        <v>42</v>
      </c>
      <c r="AB256" s="203"/>
      <c r="AC256" s="203"/>
      <c r="AD256" s="204">
        <f t="shared" si="8"/>
        <v>20</v>
      </c>
    </row>
    <row r="257" spans="1:30" ht="108" hidden="1">
      <c r="A257" s="57" t="s">
        <v>140</v>
      </c>
      <c r="B257" s="46" t="s">
        <v>1584</v>
      </c>
      <c r="C257" s="12" t="s">
        <v>1594</v>
      </c>
      <c r="D257" s="33" t="s">
        <v>1742</v>
      </c>
      <c r="E257" s="33" t="s">
        <v>1743</v>
      </c>
      <c r="F257" s="33" t="s">
        <v>1734</v>
      </c>
      <c r="G257" s="32" t="s">
        <v>174</v>
      </c>
      <c r="H257" s="24" t="s">
        <v>1744</v>
      </c>
      <c r="I257" s="33" t="s">
        <v>1736</v>
      </c>
      <c r="J257" s="19"/>
      <c r="K257" s="32" t="s">
        <v>346</v>
      </c>
      <c r="L257" s="73"/>
      <c r="M257" s="73"/>
      <c r="N257" s="90"/>
      <c r="O257" s="90"/>
      <c r="P257" s="203"/>
      <c r="Q257" s="203" t="str">
        <f>BRD_EPIC2[[#This Row],[system type]]&amp;BRD_EPIC2[[#This Row],[system type2]]</f>
        <v xml:space="preserve"> &amp; QA &amp; PM &amp; DM &amp; UI</v>
      </c>
      <c r="R257" s="203" t="s">
        <v>2239</v>
      </c>
      <c r="S257" s="203"/>
      <c r="T257" s="203"/>
      <c r="U257" s="203"/>
      <c r="V257" s="203"/>
      <c r="W257" s="204"/>
      <c r="X257" s="204"/>
      <c r="Y257" s="204"/>
      <c r="Z257" s="204">
        <f t="shared" si="7"/>
        <v>5</v>
      </c>
      <c r="AA257" s="203" t="s">
        <v>42</v>
      </c>
      <c r="AB257" s="203"/>
      <c r="AC257" s="203"/>
      <c r="AD257" s="204">
        <f t="shared" si="8"/>
        <v>0</v>
      </c>
    </row>
    <row r="258" spans="1:30" ht="90" hidden="1">
      <c r="A258" s="57" t="s">
        <v>140</v>
      </c>
      <c r="B258" s="46" t="s">
        <v>1584</v>
      </c>
      <c r="C258" s="12" t="s">
        <v>1594</v>
      </c>
      <c r="D258" s="33" t="s">
        <v>1745</v>
      </c>
      <c r="E258" s="33" t="s">
        <v>1746</v>
      </c>
      <c r="F258" s="33" t="s">
        <v>1747</v>
      </c>
      <c r="G258" s="32" t="s">
        <v>174</v>
      </c>
      <c r="H258" s="24" t="s">
        <v>1748</v>
      </c>
      <c r="I258" s="33" t="s">
        <v>1749</v>
      </c>
      <c r="J258" s="19"/>
      <c r="K258" s="32" t="s">
        <v>346</v>
      </c>
      <c r="L258" s="73"/>
      <c r="M258" s="73"/>
      <c r="N258" s="90"/>
      <c r="O258" s="90"/>
      <c r="P258" s="203"/>
      <c r="Q258" s="203" t="str">
        <f>BRD_EPIC2[[#This Row],[system type]]&amp;BRD_EPIC2[[#This Row],[system type2]]</f>
        <v xml:space="preserve"> &amp; QA &amp; PM &amp; DM &amp; UI</v>
      </c>
      <c r="R258" s="203" t="s">
        <v>2239</v>
      </c>
      <c r="S258" s="203"/>
      <c r="T258" s="203"/>
      <c r="U258" s="203"/>
      <c r="V258" s="203"/>
      <c r="W258" s="204"/>
      <c r="X258" s="204"/>
      <c r="Y258" s="204"/>
      <c r="Z258" s="204">
        <f t="shared" si="7"/>
        <v>5</v>
      </c>
      <c r="AA258" s="203" t="s">
        <v>42</v>
      </c>
      <c r="AB258" s="203"/>
      <c r="AC258" s="203"/>
      <c r="AD258" s="204">
        <f t="shared" si="8"/>
        <v>0</v>
      </c>
    </row>
    <row r="259" spans="1:30" ht="54">
      <c r="A259" s="57" t="s">
        <v>140</v>
      </c>
      <c r="B259" s="46" t="s">
        <v>1584</v>
      </c>
      <c r="C259" s="12" t="s">
        <v>1594</v>
      </c>
      <c r="D259" s="33" t="s">
        <v>1750</v>
      </c>
      <c r="E259" s="33" t="s">
        <v>1751</v>
      </c>
      <c r="F259" s="33" t="s">
        <v>1752</v>
      </c>
      <c r="G259" s="32" t="s">
        <v>174</v>
      </c>
      <c r="H259" s="244" t="s">
        <v>1753</v>
      </c>
      <c r="I259" s="33" t="s">
        <v>1754</v>
      </c>
      <c r="J259" s="19"/>
      <c r="K259" s="32" t="s">
        <v>1755</v>
      </c>
      <c r="L259" s="73"/>
      <c r="M259" s="73"/>
      <c r="N259" s="90" t="s">
        <v>1756</v>
      </c>
      <c r="O259" s="90"/>
      <c r="P259" s="203" t="s">
        <v>384</v>
      </c>
      <c r="Q259" s="203" t="str">
        <f>BRD_EPIC2[[#This Row],[system type]]&amp;BRD_EPIC2[[#This Row],[system type2]]</f>
        <v>Back-End &amp; QA &amp; PM &amp; DM</v>
      </c>
      <c r="R259" s="203" t="s">
        <v>2245</v>
      </c>
      <c r="S259" s="203"/>
      <c r="T259" s="203"/>
      <c r="U259" s="203">
        <v>10</v>
      </c>
      <c r="V259" s="203">
        <f>$U259*DE_Cost!$B$1*8</f>
        <v>96</v>
      </c>
      <c r="W259" s="204">
        <f>$U259*DE_Cost!$B$1</f>
        <v>12</v>
      </c>
      <c r="X259" s="204"/>
      <c r="Y259" s="204"/>
      <c r="Z259" s="204">
        <f t="shared" si="7"/>
        <v>4</v>
      </c>
      <c r="AA259" s="203" t="s">
        <v>42</v>
      </c>
      <c r="AB259" s="203"/>
      <c r="AC259" s="203"/>
      <c r="AD259" s="204">
        <f t="shared" si="8"/>
        <v>40</v>
      </c>
    </row>
    <row r="260" spans="1:30" ht="126" hidden="1">
      <c r="A260" s="57" t="s">
        <v>140</v>
      </c>
      <c r="B260" s="46" t="s">
        <v>1584</v>
      </c>
      <c r="C260" s="12" t="s">
        <v>1594</v>
      </c>
      <c r="D260" s="33" t="s">
        <v>1757</v>
      </c>
      <c r="E260" s="33" t="s">
        <v>1758</v>
      </c>
      <c r="F260" s="33" t="s">
        <v>1759</v>
      </c>
      <c r="G260" s="32" t="s">
        <v>174</v>
      </c>
      <c r="H260" s="24" t="s">
        <v>1760</v>
      </c>
      <c r="I260" s="33" t="s">
        <v>1759</v>
      </c>
      <c r="J260" s="19"/>
      <c r="K260" s="32" t="s">
        <v>346</v>
      </c>
      <c r="L260" s="73"/>
      <c r="M260" s="73"/>
      <c r="N260" s="90"/>
      <c r="O260" s="90"/>
      <c r="P260" s="203"/>
      <c r="Q260" s="203" t="str">
        <f>BRD_EPIC2[[#This Row],[system type]]&amp;BRD_EPIC2[[#This Row],[system type2]]</f>
        <v xml:space="preserve"> &amp; QA &amp; PM &amp; DM &amp; UI</v>
      </c>
      <c r="R260" s="203" t="s">
        <v>2239</v>
      </c>
      <c r="S260" s="203"/>
      <c r="T260" s="203"/>
      <c r="U260" s="203"/>
      <c r="V260" s="203"/>
      <c r="W260" s="204"/>
      <c r="X260" s="204"/>
      <c r="Y260" s="204"/>
      <c r="Z260" s="204">
        <f t="shared" si="7"/>
        <v>5</v>
      </c>
      <c r="AA260" s="203" t="s">
        <v>42</v>
      </c>
      <c r="AB260" s="203"/>
      <c r="AC260" s="203"/>
      <c r="AD260" s="204">
        <f t="shared" si="8"/>
        <v>0</v>
      </c>
    </row>
    <row r="261" spans="1:30" ht="108">
      <c r="A261" s="56" t="s">
        <v>140</v>
      </c>
      <c r="B261" s="50" t="s">
        <v>1584</v>
      </c>
      <c r="C261" s="33" t="s">
        <v>1594</v>
      </c>
      <c r="D261" s="33" t="s">
        <v>1762</v>
      </c>
      <c r="E261" s="216" t="s">
        <v>1763</v>
      </c>
      <c r="F261" s="12"/>
      <c r="G261" s="32" t="s">
        <v>174</v>
      </c>
      <c r="H261" s="217" t="s">
        <v>1764</v>
      </c>
      <c r="I261" s="12"/>
      <c r="J261" s="19"/>
      <c r="K261" s="32" t="s">
        <v>318</v>
      </c>
      <c r="L261" s="73" t="s">
        <v>1765</v>
      </c>
      <c r="M261" s="73"/>
      <c r="N261" s="90" t="s">
        <v>1766</v>
      </c>
      <c r="O261" s="90"/>
      <c r="P261" s="203" t="s">
        <v>384</v>
      </c>
      <c r="Q261" s="203" t="str">
        <f>BRD_EPIC2[[#This Row],[system type]]&amp;BRD_EPIC2[[#This Row],[system type2]]</f>
        <v>Back-End &amp; QA &amp; PM &amp; DM</v>
      </c>
      <c r="R261" s="203" t="s">
        <v>2245</v>
      </c>
      <c r="S261" s="203"/>
      <c r="T261" s="203"/>
      <c r="U261" s="203">
        <v>10</v>
      </c>
      <c r="V261" s="203">
        <f>$U261*DE_Cost!$B$1*8</f>
        <v>96</v>
      </c>
      <c r="W261" s="204">
        <f>$U261*DE_Cost!$B$1</f>
        <v>12</v>
      </c>
      <c r="X261" s="204"/>
      <c r="Y261" s="204"/>
      <c r="Z261" s="204">
        <f t="shared" si="7"/>
        <v>4</v>
      </c>
      <c r="AA261" s="203" t="s">
        <v>150</v>
      </c>
      <c r="AB261" s="203" t="s">
        <v>1767</v>
      </c>
      <c r="AC261" s="203">
        <v>1103</v>
      </c>
      <c r="AD261" s="204">
        <f t="shared" si="8"/>
        <v>40</v>
      </c>
    </row>
    <row r="262" spans="1:30" ht="72">
      <c r="A262" s="56" t="s">
        <v>1768</v>
      </c>
      <c r="B262" s="50" t="s">
        <v>1584</v>
      </c>
      <c r="C262" s="33" t="s">
        <v>1594</v>
      </c>
      <c r="D262" s="33" t="s">
        <v>1769</v>
      </c>
      <c r="E262" s="216" t="s">
        <v>1770</v>
      </c>
      <c r="F262" s="12"/>
      <c r="G262" s="32" t="s">
        <v>174</v>
      </c>
      <c r="H262" s="217" t="s">
        <v>1771</v>
      </c>
      <c r="I262" s="12"/>
      <c r="J262" s="19"/>
      <c r="K262" s="32" t="s">
        <v>318</v>
      </c>
      <c r="L262" s="73" t="s">
        <v>1765</v>
      </c>
      <c r="M262" s="73"/>
      <c r="N262" s="90" t="s">
        <v>1772</v>
      </c>
      <c r="O262" s="90"/>
      <c r="P262" s="203" t="s">
        <v>384</v>
      </c>
      <c r="Q262" s="203" t="str">
        <f>BRD_EPIC2[[#This Row],[system type]]&amp;BRD_EPIC2[[#This Row],[system type2]]</f>
        <v>Back-End &amp; QA &amp; PM &amp; DM</v>
      </c>
      <c r="R262" s="203" t="s">
        <v>2245</v>
      </c>
      <c r="S262" s="203"/>
      <c r="T262" s="203"/>
      <c r="U262" s="203">
        <v>10</v>
      </c>
      <c r="V262" s="203">
        <f>$U262*DE_Cost!$B$1*8</f>
        <v>96</v>
      </c>
      <c r="W262" s="204">
        <f>$U262*DE_Cost!$B$1</f>
        <v>12</v>
      </c>
      <c r="X262" s="204"/>
      <c r="Y262" s="204"/>
      <c r="Z262" s="204">
        <f t="shared" si="7"/>
        <v>4</v>
      </c>
      <c r="AA262" s="203" t="s">
        <v>150</v>
      </c>
      <c r="AB262" s="203" t="s">
        <v>1767</v>
      </c>
      <c r="AC262" s="203">
        <v>1103</v>
      </c>
      <c r="AD262" s="204">
        <f t="shared" si="8"/>
        <v>40</v>
      </c>
    </row>
    <row r="263" spans="1:30" ht="126" hidden="1">
      <c r="A263" s="56" t="s">
        <v>140</v>
      </c>
      <c r="B263" s="50" t="s">
        <v>1584</v>
      </c>
      <c r="C263" s="33" t="s">
        <v>1594</v>
      </c>
      <c r="D263" s="33" t="s">
        <v>1773</v>
      </c>
      <c r="E263" s="33" t="s">
        <v>1774</v>
      </c>
      <c r="F263" s="12" t="s">
        <v>1659</v>
      </c>
      <c r="G263" s="32" t="s">
        <v>174</v>
      </c>
      <c r="H263" s="241" t="s">
        <v>1775</v>
      </c>
      <c r="I263" s="12" t="s">
        <v>1659</v>
      </c>
      <c r="J263" s="19"/>
      <c r="K263" s="32" t="s">
        <v>346</v>
      </c>
      <c r="L263" s="73"/>
      <c r="M263" s="73"/>
      <c r="N263" s="90"/>
      <c r="O263" s="90"/>
      <c r="P263" s="203"/>
      <c r="Q263" s="203" t="str">
        <f>BRD_EPIC2[[#This Row],[system type]]&amp;BRD_EPIC2[[#This Row],[system type2]]</f>
        <v xml:space="preserve"> &amp; QA &amp; PM &amp; DM &amp; UI</v>
      </c>
      <c r="R263" s="203" t="s">
        <v>2239</v>
      </c>
      <c r="S263" s="203"/>
      <c r="T263" s="203"/>
      <c r="U263" s="203"/>
      <c r="V263" s="203"/>
      <c r="W263" s="204"/>
      <c r="X263" s="204"/>
      <c r="Y263" s="204"/>
      <c r="Z263" s="204">
        <f t="shared" si="7"/>
        <v>5</v>
      </c>
      <c r="AA263" s="203" t="s">
        <v>42</v>
      </c>
      <c r="AB263" s="203"/>
      <c r="AC263" s="203"/>
      <c r="AD263" s="204">
        <f t="shared" si="8"/>
        <v>0</v>
      </c>
    </row>
    <row r="264" spans="1:30" ht="126">
      <c r="A264" s="56" t="s">
        <v>140</v>
      </c>
      <c r="B264" s="50" t="s">
        <v>1584</v>
      </c>
      <c r="C264" s="33" t="s">
        <v>1594</v>
      </c>
      <c r="D264" s="33" t="s">
        <v>1777</v>
      </c>
      <c r="E264" s="33" t="s">
        <v>1778</v>
      </c>
      <c r="F264" s="12" t="s">
        <v>1779</v>
      </c>
      <c r="G264" s="32" t="s">
        <v>174</v>
      </c>
      <c r="H264" s="19" t="s">
        <v>1780</v>
      </c>
      <c r="I264" s="12" t="s">
        <v>1781</v>
      </c>
      <c r="J264" s="19"/>
      <c r="K264" s="32" t="s">
        <v>283</v>
      </c>
      <c r="L264" s="73"/>
      <c r="M264" s="73"/>
      <c r="N264" s="90" t="s">
        <v>1782</v>
      </c>
      <c r="O264" s="90"/>
      <c r="P264" s="203" t="s">
        <v>384</v>
      </c>
      <c r="Q264" s="203" t="str">
        <f>BRD_EPIC2[[#This Row],[system type]]&amp;BRD_EPIC2[[#This Row],[system type2]]</f>
        <v>Back-End &amp; QA &amp; PM &amp; DM</v>
      </c>
      <c r="R264" s="203" t="s">
        <v>2245</v>
      </c>
      <c r="S264" s="203"/>
      <c r="T264" s="203"/>
      <c r="U264" s="203">
        <v>20</v>
      </c>
      <c r="V264" s="203">
        <f>$U264*DE_Cost!$B$1*8</f>
        <v>192</v>
      </c>
      <c r="W264" s="204">
        <f>$U264*DE_Cost!$B$1</f>
        <v>24</v>
      </c>
      <c r="X264" s="204"/>
      <c r="Y264" s="204"/>
      <c r="Z264" s="204">
        <f t="shared" si="7"/>
        <v>4</v>
      </c>
      <c r="AA264" s="203" t="s">
        <v>42</v>
      </c>
      <c r="AB264" s="203"/>
      <c r="AC264" s="203"/>
      <c r="AD264" s="204">
        <f t="shared" si="8"/>
        <v>80</v>
      </c>
    </row>
    <row r="265" spans="1:30" ht="126" hidden="1">
      <c r="A265" s="56" t="s">
        <v>140</v>
      </c>
      <c r="B265" s="50" t="s">
        <v>1584</v>
      </c>
      <c r="C265" s="33" t="s">
        <v>1594</v>
      </c>
      <c r="D265" s="33" t="s">
        <v>1783</v>
      </c>
      <c r="E265" s="33" t="s">
        <v>1784</v>
      </c>
      <c r="F265" s="12" t="s">
        <v>1659</v>
      </c>
      <c r="G265" s="32" t="s">
        <v>174</v>
      </c>
      <c r="H265" s="19" t="s">
        <v>1785</v>
      </c>
      <c r="I265" s="12" t="s">
        <v>1659</v>
      </c>
      <c r="J265" s="19"/>
      <c r="K265" s="32" t="s">
        <v>346</v>
      </c>
      <c r="L265" s="73"/>
      <c r="M265" s="73"/>
      <c r="N265" s="90"/>
      <c r="O265" s="90"/>
      <c r="P265" s="203"/>
      <c r="Q265" s="203" t="str">
        <f>BRD_EPIC2[[#This Row],[system type]]&amp;BRD_EPIC2[[#This Row],[system type2]]</f>
        <v xml:space="preserve"> &amp; QA &amp; PM &amp; DM &amp; UI</v>
      </c>
      <c r="R265" s="203" t="s">
        <v>2239</v>
      </c>
      <c r="S265" s="203"/>
      <c r="T265" s="203"/>
      <c r="U265" s="203"/>
      <c r="V265" s="203"/>
      <c r="W265" s="204"/>
      <c r="X265" s="204"/>
      <c r="Y265" s="204"/>
      <c r="Z265" s="204">
        <f t="shared" si="7"/>
        <v>5</v>
      </c>
      <c r="AA265" s="203" t="s">
        <v>42</v>
      </c>
      <c r="AB265" s="203"/>
      <c r="AC265" s="203"/>
      <c r="AD265" s="204">
        <f t="shared" si="8"/>
        <v>0</v>
      </c>
    </row>
    <row r="266" spans="1:30" ht="126" hidden="1">
      <c r="A266" s="56" t="s">
        <v>140</v>
      </c>
      <c r="B266" s="50" t="s">
        <v>1584</v>
      </c>
      <c r="C266" s="33" t="s">
        <v>1594</v>
      </c>
      <c r="D266" s="33" t="s">
        <v>1787</v>
      </c>
      <c r="E266" s="33" t="s">
        <v>1788</v>
      </c>
      <c r="F266" s="12" t="s">
        <v>1659</v>
      </c>
      <c r="G266" s="32" t="s">
        <v>174</v>
      </c>
      <c r="H266" s="19" t="s">
        <v>1789</v>
      </c>
      <c r="I266" s="12" t="s">
        <v>1659</v>
      </c>
      <c r="J266" s="19"/>
      <c r="K266" s="32" t="s">
        <v>346</v>
      </c>
      <c r="L266" s="73"/>
      <c r="M266" s="73"/>
      <c r="N266" s="90"/>
      <c r="O266" s="90"/>
      <c r="P266" s="203"/>
      <c r="Q266" s="203" t="str">
        <f>BRD_EPIC2[[#This Row],[system type]]&amp;BRD_EPIC2[[#This Row],[system type2]]</f>
        <v xml:space="preserve"> &amp; QA &amp; PM &amp; DM &amp; UI</v>
      </c>
      <c r="R266" s="203" t="s">
        <v>2239</v>
      </c>
      <c r="S266" s="203"/>
      <c r="T266" s="203"/>
      <c r="U266" s="203"/>
      <c r="V266" s="203"/>
      <c r="W266" s="204"/>
      <c r="X266" s="204"/>
      <c r="Y266" s="204"/>
      <c r="Z266" s="204">
        <f t="shared" si="7"/>
        <v>5</v>
      </c>
      <c r="AA266" s="203" t="s">
        <v>42</v>
      </c>
      <c r="AB266" s="203"/>
      <c r="AC266" s="203"/>
      <c r="AD266" s="204">
        <f t="shared" si="8"/>
        <v>0</v>
      </c>
    </row>
    <row r="267" spans="1:30" ht="108" hidden="1">
      <c r="A267" s="56" t="s">
        <v>140</v>
      </c>
      <c r="B267" s="50" t="s">
        <v>1584</v>
      </c>
      <c r="C267" s="33" t="s">
        <v>1594</v>
      </c>
      <c r="D267" s="33" t="s">
        <v>1791</v>
      </c>
      <c r="E267" s="33" t="s">
        <v>1792</v>
      </c>
      <c r="F267" s="12" t="s">
        <v>1659</v>
      </c>
      <c r="G267" s="32" t="s">
        <v>174</v>
      </c>
      <c r="H267" s="24" t="s">
        <v>1793</v>
      </c>
      <c r="I267" s="12" t="s">
        <v>1659</v>
      </c>
      <c r="J267" s="19"/>
      <c r="K267" s="32" t="s">
        <v>346</v>
      </c>
      <c r="L267" s="73"/>
      <c r="M267" s="73"/>
      <c r="N267" s="90"/>
      <c r="O267" s="90"/>
      <c r="P267" s="203"/>
      <c r="Q267" s="203" t="str">
        <f>BRD_EPIC2[[#This Row],[system type]]&amp;BRD_EPIC2[[#This Row],[system type2]]</f>
        <v xml:space="preserve"> &amp; QA &amp; PM &amp; DM &amp; UI</v>
      </c>
      <c r="R267" s="203" t="s">
        <v>2239</v>
      </c>
      <c r="S267" s="203"/>
      <c r="T267" s="203"/>
      <c r="U267" s="203"/>
      <c r="V267" s="203"/>
      <c r="W267" s="204"/>
      <c r="X267" s="204"/>
      <c r="Y267" s="204"/>
      <c r="Z267" s="204">
        <f t="shared" si="7"/>
        <v>5</v>
      </c>
      <c r="AA267" s="203" t="s">
        <v>42</v>
      </c>
      <c r="AB267" s="203"/>
      <c r="AC267" s="203"/>
      <c r="AD267" s="204">
        <f t="shared" si="8"/>
        <v>0</v>
      </c>
    </row>
    <row r="268" spans="1:30" ht="54">
      <c r="A268" s="56" t="s">
        <v>140</v>
      </c>
      <c r="B268" s="50" t="s">
        <v>1584</v>
      </c>
      <c r="C268" s="33" t="s">
        <v>1594</v>
      </c>
      <c r="D268" s="33" t="s">
        <v>1795</v>
      </c>
      <c r="E268" s="33" t="s">
        <v>1796</v>
      </c>
      <c r="F268" s="12"/>
      <c r="G268" s="32" t="s">
        <v>174</v>
      </c>
      <c r="H268" s="24" t="s">
        <v>1797</v>
      </c>
      <c r="I268" s="12"/>
      <c r="J268" s="19"/>
      <c r="K268" s="32" t="s">
        <v>283</v>
      </c>
      <c r="L268" s="73"/>
      <c r="M268" s="73"/>
      <c r="N268" s="90" t="s">
        <v>1798</v>
      </c>
      <c r="O268" s="90" t="s">
        <v>1799</v>
      </c>
      <c r="P268" s="203" t="s">
        <v>164</v>
      </c>
      <c r="Q268" s="203" t="str">
        <f>BRD_EPIC2[[#This Row],[system type]]&amp;BRD_EPIC2[[#This Row],[system type2]]</f>
        <v>Android &amp; Back-End &amp; QA &amp; PM &amp; DM &amp; UI</v>
      </c>
      <c r="R268" s="203" t="s">
        <v>2239</v>
      </c>
      <c r="S268" s="203"/>
      <c r="T268" s="203"/>
      <c r="U268" s="203">
        <v>30</v>
      </c>
      <c r="V268" s="203">
        <f>$U268*DE_Cost!$B$1*8</f>
        <v>288</v>
      </c>
      <c r="W268" s="204">
        <f>$U268*DE_Cost!$B$1</f>
        <v>36</v>
      </c>
      <c r="X268" s="204"/>
      <c r="Y268" s="204"/>
      <c r="Z268" s="204">
        <f t="shared" si="7"/>
        <v>6</v>
      </c>
      <c r="AA268" s="203" t="s">
        <v>150</v>
      </c>
      <c r="AB268" s="203" t="s">
        <v>1800</v>
      </c>
      <c r="AC268" s="203"/>
      <c r="AD268" s="204">
        <f t="shared" si="8"/>
        <v>180</v>
      </c>
    </row>
    <row r="269" spans="1:30" ht="90" hidden="1">
      <c r="A269" s="56" t="s">
        <v>140</v>
      </c>
      <c r="B269" s="50" t="s">
        <v>1584</v>
      </c>
      <c r="C269" s="33" t="s">
        <v>1594</v>
      </c>
      <c r="D269" s="33" t="s">
        <v>1801</v>
      </c>
      <c r="E269" s="33" t="s">
        <v>1802</v>
      </c>
      <c r="F269" s="12" t="s">
        <v>1803</v>
      </c>
      <c r="G269" s="32" t="s">
        <v>174</v>
      </c>
      <c r="H269" s="24" t="s">
        <v>1804</v>
      </c>
      <c r="I269" s="12" t="s">
        <v>1803</v>
      </c>
      <c r="J269" s="19"/>
      <c r="K269" s="32" t="s">
        <v>346</v>
      </c>
      <c r="L269" s="73"/>
      <c r="M269" s="73"/>
      <c r="N269" s="90"/>
      <c r="O269" s="90"/>
      <c r="P269" s="203"/>
      <c r="Q269" s="203" t="str">
        <f>BRD_EPIC2[[#This Row],[system type]]&amp;BRD_EPIC2[[#This Row],[system type2]]</f>
        <v xml:space="preserve"> &amp; QA &amp; PM &amp; DM &amp; UI</v>
      </c>
      <c r="R269" s="203" t="s">
        <v>2239</v>
      </c>
      <c r="S269" s="203"/>
      <c r="T269" s="203"/>
      <c r="U269" s="203"/>
      <c r="V269" s="203"/>
      <c r="W269" s="204"/>
      <c r="X269" s="204"/>
      <c r="Y269" s="204"/>
      <c r="Z269" s="204">
        <f t="shared" si="7"/>
        <v>5</v>
      </c>
      <c r="AA269" s="203" t="s">
        <v>42</v>
      </c>
      <c r="AB269" s="203"/>
      <c r="AC269" s="203"/>
      <c r="AD269" s="204">
        <f t="shared" si="8"/>
        <v>0</v>
      </c>
    </row>
    <row r="270" spans="1:30" ht="252">
      <c r="A270" s="56" t="s">
        <v>140</v>
      </c>
      <c r="B270" s="50" t="s">
        <v>1584</v>
      </c>
      <c r="C270" s="33" t="s">
        <v>1594</v>
      </c>
      <c r="D270" s="33" t="s">
        <v>1806</v>
      </c>
      <c r="E270" s="33" t="s">
        <v>1807</v>
      </c>
      <c r="F270" s="12"/>
      <c r="G270" s="32" t="s">
        <v>174</v>
      </c>
      <c r="H270" s="24" t="s">
        <v>1808</v>
      </c>
      <c r="I270" s="12"/>
      <c r="J270" s="19" t="s">
        <v>1809</v>
      </c>
      <c r="K270" s="32" t="s">
        <v>283</v>
      </c>
      <c r="L270" s="73"/>
      <c r="M270" s="73"/>
      <c r="N270" s="90" t="s">
        <v>1810</v>
      </c>
      <c r="O270" s="90"/>
      <c r="P270" s="203" t="s">
        <v>384</v>
      </c>
      <c r="Q270" s="203" t="str">
        <f>BRD_EPIC2[[#This Row],[system type]]&amp;BRD_EPIC2[[#This Row],[system type2]]</f>
        <v>Back-End &amp; QA &amp; PM &amp; DM</v>
      </c>
      <c r="R270" s="203" t="s">
        <v>2245</v>
      </c>
      <c r="S270" s="203"/>
      <c r="T270" s="203"/>
      <c r="U270" s="203">
        <v>10</v>
      </c>
      <c r="V270" s="203">
        <f>$U270*DE_Cost!$B$1*8</f>
        <v>96</v>
      </c>
      <c r="W270" s="204">
        <f>$U270*DE_Cost!$B$1</f>
        <v>12</v>
      </c>
      <c r="X270" s="204"/>
      <c r="Y270" s="204"/>
      <c r="Z270" s="204">
        <f t="shared" si="7"/>
        <v>4</v>
      </c>
      <c r="AA270" s="203" t="s">
        <v>42</v>
      </c>
      <c r="AB270" s="203"/>
      <c r="AC270" s="203">
        <v>1103</v>
      </c>
      <c r="AD270" s="204">
        <f t="shared" si="8"/>
        <v>40</v>
      </c>
    </row>
    <row r="271" spans="1:30" ht="72">
      <c r="A271" s="56" t="s">
        <v>1811</v>
      </c>
      <c r="B271" s="50" t="s">
        <v>1812</v>
      </c>
      <c r="C271" s="33" t="s">
        <v>1813</v>
      </c>
      <c r="D271" s="33" t="s">
        <v>1814</v>
      </c>
      <c r="E271" s="33" t="s">
        <v>1815</v>
      </c>
      <c r="F271" s="12" t="s">
        <v>1816</v>
      </c>
      <c r="G271" s="32"/>
      <c r="H271" s="241" t="s">
        <v>1817</v>
      </c>
      <c r="I271" s="12" t="s">
        <v>1818</v>
      </c>
      <c r="J271" s="19"/>
      <c r="K271" s="32"/>
      <c r="L271" s="73"/>
      <c r="M271" s="73"/>
      <c r="N271" s="90" t="s">
        <v>1819</v>
      </c>
      <c r="O271" s="90" t="s">
        <v>1818</v>
      </c>
      <c r="P271" s="203" t="s">
        <v>258</v>
      </c>
      <c r="Q271" s="203" t="str">
        <f>BRD_EPIC2[[#This Row],[system type]]&amp;BRD_EPIC2[[#This Row],[system type2]]</f>
        <v>Front-End &amp; Back-End &amp; QA &amp; PM &amp; DM &amp; UI</v>
      </c>
      <c r="R271" s="203" t="s">
        <v>2239</v>
      </c>
      <c r="S271" s="203"/>
      <c r="T271" s="203"/>
      <c r="U271" s="203">
        <v>10</v>
      </c>
      <c r="V271" s="203">
        <f>$U271*DE_Cost!$B$1*8</f>
        <v>96</v>
      </c>
      <c r="W271" s="204">
        <f>$U271*DE_Cost!$B$1</f>
        <v>12</v>
      </c>
      <c r="X271" s="204"/>
      <c r="Y271" s="204"/>
      <c r="Z271" s="204">
        <f t="shared" si="7"/>
        <v>6</v>
      </c>
      <c r="AA271" s="203" t="s">
        <v>42</v>
      </c>
      <c r="AB271" s="203"/>
      <c r="AC271" s="203"/>
      <c r="AD271" s="204">
        <f t="shared" si="8"/>
        <v>60</v>
      </c>
    </row>
    <row r="272" spans="1:30" ht="144">
      <c r="A272" s="56" t="s">
        <v>1811</v>
      </c>
      <c r="B272" s="50" t="s">
        <v>1812</v>
      </c>
      <c r="C272" s="33" t="s">
        <v>1813</v>
      </c>
      <c r="D272" s="33" t="s">
        <v>1820</v>
      </c>
      <c r="E272" s="33" t="s">
        <v>1821</v>
      </c>
      <c r="F272" s="12" t="s">
        <v>1822</v>
      </c>
      <c r="G272" s="32"/>
      <c r="H272" s="19" t="s">
        <v>1823</v>
      </c>
      <c r="I272" s="12" t="s">
        <v>1824</v>
      </c>
      <c r="J272" s="19"/>
      <c r="K272" s="32"/>
      <c r="L272" s="73"/>
      <c r="M272" s="73"/>
      <c r="N272" s="90" t="s">
        <v>1825</v>
      </c>
      <c r="O272" s="90" t="s">
        <v>1826</v>
      </c>
      <c r="P272" s="203" t="s">
        <v>164</v>
      </c>
      <c r="Q272" s="203" t="str">
        <f>BRD_EPIC2[[#This Row],[system type]]&amp;BRD_EPIC2[[#This Row],[system type2]]</f>
        <v>Android &amp; Back-End &amp; QA &amp; PM &amp; DM &amp; UI</v>
      </c>
      <c r="R272" s="203" t="s">
        <v>2239</v>
      </c>
      <c r="S272" s="203"/>
      <c r="T272" s="203"/>
      <c r="U272" s="203">
        <v>10</v>
      </c>
      <c r="V272" s="203">
        <f>$U272*DE_Cost!$B$1*8</f>
        <v>96</v>
      </c>
      <c r="W272" s="204">
        <f>$U272*DE_Cost!$B$1</f>
        <v>12</v>
      </c>
      <c r="X272" s="204"/>
      <c r="Y272" s="204"/>
      <c r="Z272" s="204">
        <f t="shared" si="7"/>
        <v>6</v>
      </c>
      <c r="AA272" s="203" t="s">
        <v>42</v>
      </c>
      <c r="AB272" s="203"/>
      <c r="AC272" s="203"/>
      <c r="AD272" s="204">
        <f t="shared" si="8"/>
        <v>60</v>
      </c>
    </row>
    <row r="273" spans="1:30" ht="270">
      <c r="A273" s="56" t="s">
        <v>1811</v>
      </c>
      <c r="B273" s="50" t="s">
        <v>1812</v>
      </c>
      <c r="C273" s="33" t="s">
        <v>1813</v>
      </c>
      <c r="D273" s="33" t="s">
        <v>1827</v>
      </c>
      <c r="E273" s="33" t="s">
        <v>1828</v>
      </c>
      <c r="F273" s="12" t="s">
        <v>1829</v>
      </c>
      <c r="G273" s="32" t="s">
        <v>1320</v>
      </c>
      <c r="H273" s="24" t="s">
        <v>1830</v>
      </c>
      <c r="I273" s="12" t="s">
        <v>1831</v>
      </c>
      <c r="J273" s="19" t="s">
        <v>1832</v>
      </c>
      <c r="K273" s="32" t="s">
        <v>1320</v>
      </c>
      <c r="L273" s="73" t="s">
        <v>1833</v>
      </c>
      <c r="M273" s="73"/>
      <c r="N273" s="91" t="s">
        <v>1834</v>
      </c>
      <c r="O273" s="12" t="s">
        <v>1831</v>
      </c>
      <c r="P273" s="203" t="s">
        <v>164</v>
      </c>
      <c r="Q273" s="203" t="str">
        <f>BRD_EPIC2[[#This Row],[system type]]&amp;BRD_EPIC2[[#This Row],[system type2]]</f>
        <v>Android &amp; Back-End &amp; QA &amp; PM &amp; DM &amp; UI</v>
      </c>
      <c r="R273" s="203" t="s">
        <v>2239</v>
      </c>
      <c r="S273" s="203"/>
      <c r="T273" s="203"/>
      <c r="U273" s="203">
        <v>20</v>
      </c>
      <c r="V273" s="203">
        <f>$U273*DE_Cost!$B$1*8</f>
        <v>192</v>
      </c>
      <c r="W273" s="204">
        <f>$U273*DE_Cost!$B$1</f>
        <v>24</v>
      </c>
      <c r="X273" s="204"/>
      <c r="Y273" s="204"/>
      <c r="Z273" s="204">
        <f t="shared" si="7"/>
        <v>6</v>
      </c>
      <c r="AA273" s="203" t="s">
        <v>42</v>
      </c>
      <c r="AB273" s="203"/>
      <c r="AC273" s="203"/>
      <c r="AD273" s="204">
        <f t="shared" si="8"/>
        <v>120</v>
      </c>
    </row>
    <row r="274" spans="1:30" ht="90">
      <c r="A274" s="56" t="s">
        <v>1811</v>
      </c>
      <c r="B274" s="50" t="s">
        <v>1812</v>
      </c>
      <c r="C274" s="33" t="s">
        <v>1813</v>
      </c>
      <c r="D274" s="33" t="s">
        <v>1835</v>
      </c>
      <c r="E274" s="33" t="s">
        <v>1836</v>
      </c>
      <c r="F274" s="12" t="s">
        <v>1837</v>
      </c>
      <c r="G274" s="32"/>
      <c r="H274" s="24" t="s">
        <v>1838</v>
      </c>
      <c r="I274" s="12" t="s">
        <v>1839</v>
      </c>
      <c r="J274" s="19"/>
      <c r="K274" s="32"/>
      <c r="L274" s="73"/>
      <c r="M274" s="73"/>
      <c r="N274" s="91" t="s">
        <v>1840</v>
      </c>
      <c r="O274" s="12" t="s">
        <v>1841</v>
      </c>
      <c r="P274" s="203" t="s">
        <v>164</v>
      </c>
      <c r="Q274" s="203" t="str">
        <f>BRD_EPIC2[[#This Row],[system type]]&amp;BRD_EPIC2[[#This Row],[system type2]]</f>
        <v>Android &amp; Back-End &amp; QA &amp; PM &amp; DM &amp; UI</v>
      </c>
      <c r="R274" s="203" t="s">
        <v>2239</v>
      </c>
      <c r="S274" s="203"/>
      <c r="T274" s="203"/>
      <c r="U274" s="203">
        <v>10</v>
      </c>
      <c r="V274" s="203">
        <f>$U274*DE_Cost!$B$1*8</f>
        <v>96</v>
      </c>
      <c r="W274" s="204">
        <f>$U274*DE_Cost!$B$1</f>
        <v>12</v>
      </c>
      <c r="X274" s="204"/>
      <c r="Y274" s="204"/>
      <c r="Z274" s="204">
        <f t="shared" si="7"/>
        <v>6</v>
      </c>
      <c r="AA274" s="203" t="s">
        <v>42</v>
      </c>
      <c r="AB274" s="203"/>
      <c r="AC274" s="203"/>
      <c r="AD274" s="204">
        <f t="shared" si="8"/>
        <v>60</v>
      </c>
    </row>
    <row r="275" spans="1:30" ht="72">
      <c r="A275" s="56" t="s">
        <v>1811</v>
      </c>
      <c r="B275" s="50" t="s">
        <v>1812</v>
      </c>
      <c r="C275" s="33" t="s">
        <v>1813</v>
      </c>
      <c r="D275" s="33" t="s">
        <v>1842</v>
      </c>
      <c r="E275" s="33" t="s">
        <v>1843</v>
      </c>
      <c r="F275" s="12" t="s">
        <v>1844</v>
      </c>
      <c r="G275" s="32"/>
      <c r="H275" s="244" t="s">
        <v>1845</v>
      </c>
      <c r="I275" s="12" t="s">
        <v>1846</v>
      </c>
      <c r="J275" s="19"/>
      <c r="K275" s="32"/>
      <c r="L275" s="73"/>
      <c r="M275" s="73"/>
      <c r="N275" s="91" t="s">
        <v>1847</v>
      </c>
      <c r="O275" s="12" t="s">
        <v>1846</v>
      </c>
      <c r="P275" s="203" t="s">
        <v>258</v>
      </c>
      <c r="Q275" s="203" t="str">
        <f>BRD_EPIC2[[#This Row],[system type]]&amp;BRD_EPIC2[[#This Row],[system type2]]</f>
        <v>Front-End &amp; Back-End &amp; QA &amp; PM &amp; DM &amp; UI</v>
      </c>
      <c r="R275" s="203" t="s">
        <v>2239</v>
      </c>
      <c r="S275" s="203"/>
      <c r="T275" s="203"/>
      <c r="U275" s="203">
        <v>10</v>
      </c>
      <c r="V275" s="203">
        <f>$U275*DE_Cost!$B$1*8</f>
        <v>96</v>
      </c>
      <c r="W275" s="204">
        <f>$U275*DE_Cost!$B$1</f>
        <v>12</v>
      </c>
      <c r="X275" s="204"/>
      <c r="Y275" s="204"/>
      <c r="Z275" s="204">
        <f t="shared" si="7"/>
        <v>6</v>
      </c>
      <c r="AA275" s="203" t="s">
        <v>150</v>
      </c>
      <c r="AB275" s="203" t="s">
        <v>1848</v>
      </c>
      <c r="AC275" s="203"/>
      <c r="AD275" s="204">
        <f t="shared" si="8"/>
        <v>60</v>
      </c>
    </row>
    <row r="276" spans="1:30" ht="342">
      <c r="A276" s="56" t="s">
        <v>1811</v>
      </c>
      <c r="B276" s="50" t="s">
        <v>1812</v>
      </c>
      <c r="C276" s="33" t="s">
        <v>1849</v>
      </c>
      <c r="D276" s="33" t="s">
        <v>1850</v>
      </c>
      <c r="E276" s="33" t="s">
        <v>1851</v>
      </c>
      <c r="F276" s="12" t="s">
        <v>1852</v>
      </c>
      <c r="G276" s="32" t="s">
        <v>174</v>
      </c>
      <c r="H276" s="244" t="s">
        <v>1853</v>
      </c>
      <c r="I276" s="12" t="s">
        <v>1852</v>
      </c>
      <c r="J276" s="19" t="s">
        <v>1854</v>
      </c>
      <c r="K276" s="32" t="s">
        <v>283</v>
      </c>
      <c r="L276" s="73" t="s">
        <v>1855</v>
      </c>
      <c r="M276" s="73"/>
      <c r="N276" s="91" t="s">
        <v>1856</v>
      </c>
      <c r="O276" s="90"/>
      <c r="P276" s="203" t="s">
        <v>258</v>
      </c>
      <c r="Q276" s="203" t="str">
        <f>BRD_EPIC2[[#This Row],[system type]]&amp;BRD_EPIC2[[#This Row],[system type2]]</f>
        <v>Front-End &amp; Back-End &amp; QA &amp; PM &amp; DM &amp; UI</v>
      </c>
      <c r="R276" s="203" t="s">
        <v>2239</v>
      </c>
      <c r="S276" s="203" t="s">
        <v>1857</v>
      </c>
      <c r="T276" s="203"/>
      <c r="U276" s="203">
        <v>20</v>
      </c>
      <c r="V276" s="203">
        <f>$U276*DE_Cost!$B$1*8</f>
        <v>192</v>
      </c>
      <c r="W276" s="204">
        <f>$U276*DE_Cost!$B$1</f>
        <v>24</v>
      </c>
      <c r="X276" s="204"/>
      <c r="Y276" s="204"/>
      <c r="Z276" s="204">
        <f t="shared" si="7"/>
        <v>6</v>
      </c>
      <c r="AA276" s="203" t="s">
        <v>42</v>
      </c>
      <c r="AB276" s="203"/>
      <c r="AC276" s="203"/>
      <c r="AD276" s="204">
        <f t="shared" si="8"/>
        <v>120</v>
      </c>
    </row>
    <row r="277" spans="1:30" ht="270">
      <c r="A277" s="56" t="s">
        <v>1858</v>
      </c>
      <c r="B277" s="50" t="s">
        <v>1859</v>
      </c>
      <c r="C277" s="33" t="s">
        <v>1860</v>
      </c>
      <c r="D277" s="33" t="s">
        <v>1861</v>
      </c>
      <c r="E277" s="33" t="s">
        <v>1862</v>
      </c>
      <c r="F277" s="12" t="s">
        <v>1863</v>
      </c>
      <c r="G277" s="32" t="s">
        <v>1864</v>
      </c>
      <c r="H277" s="19" t="s">
        <v>1865</v>
      </c>
      <c r="I277" s="12" t="s">
        <v>1866</v>
      </c>
      <c r="J277" s="19" t="s">
        <v>1867</v>
      </c>
      <c r="K277" s="32" t="s">
        <v>398</v>
      </c>
      <c r="L277" s="94" t="s">
        <v>1868</v>
      </c>
      <c r="M277" s="73"/>
      <c r="N277" s="90" t="s">
        <v>1869</v>
      </c>
      <c r="O277" s="12" t="s">
        <v>1866</v>
      </c>
      <c r="P277" s="203" t="s">
        <v>321</v>
      </c>
      <c r="Q277" s="203" t="str">
        <f>BRD_EPIC2[[#This Row],[system type]]&amp;BRD_EPIC2[[#This Row],[system type2]]</f>
        <v>Android &amp; Front-End &amp; Back-End &amp; QA &amp; PM &amp; DM &amp; UI</v>
      </c>
      <c r="R277" s="203" t="s">
        <v>2239</v>
      </c>
      <c r="S277" s="203"/>
      <c r="T277" s="203"/>
      <c r="U277" s="203">
        <v>20</v>
      </c>
      <c r="V277" s="203">
        <f>$U277*DE_Cost!$B$1*8</f>
        <v>192</v>
      </c>
      <c r="W277" s="204">
        <f>$U277*DE_Cost!$B$1</f>
        <v>24</v>
      </c>
      <c r="X277" s="204"/>
      <c r="Y277" s="204"/>
      <c r="Z277" s="204">
        <f t="shared" si="7"/>
        <v>7</v>
      </c>
      <c r="AA277" s="203" t="s">
        <v>42</v>
      </c>
      <c r="AB277" s="203"/>
      <c r="AC277" s="203"/>
      <c r="AD277" s="204">
        <f t="shared" si="8"/>
        <v>140</v>
      </c>
    </row>
    <row r="278" spans="1:30" ht="38.25" customHeight="1">
      <c r="A278" s="56" t="s">
        <v>1858</v>
      </c>
      <c r="B278" s="50" t="s">
        <v>1859</v>
      </c>
      <c r="C278" s="33" t="s">
        <v>1860</v>
      </c>
      <c r="D278" s="33" t="s">
        <v>1870</v>
      </c>
      <c r="E278" s="33" t="s">
        <v>1871</v>
      </c>
      <c r="F278" s="12"/>
      <c r="G278" s="32"/>
      <c r="H278" s="19" t="s">
        <v>1872</v>
      </c>
      <c r="I278" s="12"/>
      <c r="J278" s="19"/>
      <c r="K278" s="32"/>
      <c r="L278" s="73"/>
      <c r="M278" s="73"/>
      <c r="N278" s="90" t="s">
        <v>1873</v>
      </c>
      <c r="O278" s="12"/>
      <c r="P278" s="203" t="s">
        <v>1415</v>
      </c>
      <c r="Q278" s="203" t="str">
        <f>BRD_EPIC2[[#This Row],[system type]]&amp;BRD_EPIC2[[#This Row],[system type2]]</f>
        <v>Front-End &amp; Back-End  &amp; QA &amp; PM &amp; DM &amp; UI</v>
      </c>
      <c r="R278" s="203" t="s">
        <v>2239</v>
      </c>
      <c r="S278" s="203"/>
      <c r="T278" s="203"/>
      <c r="U278" s="203">
        <v>5</v>
      </c>
      <c r="V278" s="203">
        <f>$U278*DE_Cost!$B$1*8</f>
        <v>48</v>
      </c>
      <c r="W278" s="204">
        <f>$U278*DE_Cost!$B$1</f>
        <v>6</v>
      </c>
      <c r="X278" s="204"/>
      <c r="Y278" s="204"/>
      <c r="Z278" s="204">
        <f t="shared" si="7"/>
        <v>6</v>
      </c>
      <c r="AA278" s="203" t="s">
        <v>42</v>
      </c>
      <c r="AB278" s="203"/>
      <c r="AC278" s="203"/>
      <c r="AD278" s="204">
        <f t="shared" si="8"/>
        <v>30</v>
      </c>
    </row>
    <row r="279" spans="1:30" ht="90">
      <c r="A279" s="56" t="s">
        <v>1858</v>
      </c>
      <c r="B279" s="50" t="s">
        <v>1859</v>
      </c>
      <c r="C279" s="33" t="s">
        <v>1860</v>
      </c>
      <c r="D279" s="33" t="s">
        <v>1874</v>
      </c>
      <c r="E279" s="33" t="s">
        <v>1875</v>
      </c>
      <c r="F279" s="12" t="s">
        <v>1876</v>
      </c>
      <c r="G279" s="32" t="s">
        <v>1022</v>
      </c>
      <c r="H279" s="19" t="s">
        <v>1877</v>
      </c>
      <c r="I279" s="12" t="s">
        <v>1878</v>
      </c>
      <c r="J279" s="19"/>
      <c r="K279" s="32"/>
      <c r="L279" s="73"/>
      <c r="M279" s="73"/>
      <c r="N279" s="90" t="s">
        <v>1879</v>
      </c>
      <c r="O279" s="12" t="s">
        <v>1878</v>
      </c>
      <c r="P279" s="203" t="s">
        <v>384</v>
      </c>
      <c r="Q279" s="203" t="str">
        <f>BRD_EPIC2[[#This Row],[system type]]&amp;BRD_EPIC2[[#This Row],[system type2]]</f>
        <v>Back-End &amp; QA &amp; PM &amp; DM</v>
      </c>
      <c r="R279" s="203" t="s">
        <v>2245</v>
      </c>
      <c r="S279" s="203"/>
      <c r="T279" s="203"/>
      <c r="U279" s="203">
        <v>10</v>
      </c>
      <c r="V279" s="203">
        <f>$U279*DE_Cost!$B$1*8</f>
        <v>96</v>
      </c>
      <c r="W279" s="204">
        <f>$U279*DE_Cost!$B$1</f>
        <v>12</v>
      </c>
      <c r="X279" s="204"/>
      <c r="Y279" s="204"/>
      <c r="Z279" s="204">
        <f t="shared" si="7"/>
        <v>4</v>
      </c>
      <c r="AA279" s="203" t="s">
        <v>42</v>
      </c>
      <c r="AB279" s="203"/>
      <c r="AC279" s="203"/>
      <c r="AD279" s="204">
        <f t="shared" si="8"/>
        <v>40</v>
      </c>
    </row>
    <row r="280" spans="1:30" ht="38.25" customHeight="1">
      <c r="A280" s="56" t="s">
        <v>1858</v>
      </c>
      <c r="B280" s="50" t="s">
        <v>1859</v>
      </c>
      <c r="C280" s="33" t="s">
        <v>1860</v>
      </c>
      <c r="D280" s="33" t="s">
        <v>1880</v>
      </c>
      <c r="E280" s="33" t="s">
        <v>1881</v>
      </c>
      <c r="F280" s="12" t="s">
        <v>1882</v>
      </c>
      <c r="G280" s="32"/>
      <c r="H280" s="19" t="s">
        <v>1883</v>
      </c>
      <c r="I280" s="12" t="s">
        <v>1884</v>
      </c>
      <c r="J280" s="19"/>
      <c r="K280" s="32"/>
      <c r="L280" s="73"/>
      <c r="M280" s="73"/>
      <c r="N280" s="90" t="s">
        <v>1885</v>
      </c>
      <c r="O280" s="12" t="s">
        <v>1886</v>
      </c>
      <c r="P280" s="203" t="s">
        <v>384</v>
      </c>
      <c r="Q280" s="203" t="str">
        <f>BRD_EPIC2[[#This Row],[system type]]&amp;BRD_EPIC2[[#This Row],[system type2]]</f>
        <v>Back-End &amp; QA &amp; PM &amp; DM</v>
      </c>
      <c r="R280" s="203" t="s">
        <v>2245</v>
      </c>
      <c r="S280" s="203"/>
      <c r="T280" s="203"/>
      <c r="U280" s="203">
        <v>8</v>
      </c>
      <c r="V280" s="203">
        <f>$U280*DE_Cost!$B$1*8</f>
        <v>76.8</v>
      </c>
      <c r="W280" s="204">
        <f>$U280*DE_Cost!$B$1</f>
        <v>9.6</v>
      </c>
      <c r="X280" s="204"/>
      <c r="Y280" s="204"/>
      <c r="Z280" s="204">
        <f t="shared" si="7"/>
        <v>4</v>
      </c>
      <c r="AA280" s="203" t="s">
        <v>42</v>
      </c>
      <c r="AB280" s="203"/>
      <c r="AC280" s="203"/>
      <c r="AD280" s="204">
        <f t="shared" si="8"/>
        <v>32</v>
      </c>
    </row>
    <row r="281" spans="1:30" ht="72" customHeight="1">
      <c r="A281" s="56" t="s">
        <v>1858</v>
      </c>
      <c r="B281" s="50" t="s">
        <v>1859</v>
      </c>
      <c r="C281" s="33" t="s">
        <v>1887</v>
      </c>
      <c r="D281" s="33" t="s">
        <v>1888</v>
      </c>
      <c r="E281" s="33" t="s">
        <v>1889</v>
      </c>
      <c r="F281" s="12" t="s">
        <v>1890</v>
      </c>
      <c r="G281" s="32" t="s">
        <v>1505</v>
      </c>
      <c r="H281" s="244" t="s">
        <v>1891</v>
      </c>
      <c r="I281" s="12" t="s">
        <v>1892</v>
      </c>
      <c r="J281" s="19"/>
      <c r="K281" s="32" t="s">
        <v>398</v>
      </c>
      <c r="L281" s="73"/>
      <c r="M281" s="73"/>
      <c r="N281" s="91" t="s">
        <v>1893</v>
      </c>
      <c r="O281" s="12" t="s">
        <v>1892</v>
      </c>
      <c r="P281" s="203" t="s">
        <v>384</v>
      </c>
      <c r="Q281" s="203" t="str">
        <f>BRD_EPIC2[[#This Row],[system type]]&amp;BRD_EPIC2[[#This Row],[system type2]]</f>
        <v>Back-End &amp; QA &amp; PM &amp; DM</v>
      </c>
      <c r="R281" s="203" t="s">
        <v>2245</v>
      </c>
      <c r="S281" s="203"/>
      <c r="T281" s="203"/>
      <c r="U281" s="203">
        <v>15</v>
      </c>
      <c r="V281" s="203">
        <f>$U281*DE_Cost!$B$1*8</f>
        <v>144</v>
      </c>
      <c r="W281" s="204">
        <f>$U281*DE_Cost!$B$1</f>
        <v>18</v>
      </c>
      <c r="X281" s="204"/>
      <c r="Y281" s="204"/>
      <c r="Z281" s="204">
        <f t="shared" si="7"/>
        <v>4</v>
      </c>
      <c r="AA281" s="203" t="s">
        <v>42</v>
      </c>
      <c r="AB281" s="203"/>
      <c r="AC281" s="203"/>
      <c r="AD281" s="204">
        <f t="shared" si="8"/>
        <v>60</v>
      </c>
    </row>
    <row r="282" spans="1:30" ht="38.25" customHeight="1">
      <c r="A282" s="56" t="s">
        <v>1858</v>
      </c>
      <c r="B282" s="50" t="s">
        <v>1859</v>
      </c>
      <c r="C282" s="33" t="s">
        <v>1887</v>
      </c>
      <c r="D282" s="33" t="s">
        <v>1894</v>
      </c>
      <c r="E282" s="33" t="s">
        <v>1895</v>
      </c>
      <c r="F282" s="12" t="s">
        <v>1896</v>
      </c>
      <c r="G282" s="32" t="s">
        <v>1505</v>
      </c>
      <c r="H282" s="244" t="s">
        <v>1897</v>
      </c>
      <c r="I282" s="12" t="s">
        <v>1898</v>
      </c>
      <c r="J282" s="19"/>
      <c r="K282" s="32" t="s">
        <v>398</v>
      </c>
      <c r="L282" s="73"/>
      <c r="M282" s="73"/>
      <c r="N282" s="91" t="s">
        <v>1899</v>
      </c>
      <c r="O282" s="12" t="s">
        <v>1898</v>
      </c>
      <c r="P282" s="203" t="s">
        <v>384</v>
      </c>
      <c r="Q282" s="203" t="str">
        <f>BRD_EPIC2[[#This Row],[system type]]&amp;BRD_EPIC2[[#This Row],[system type2]]</f>
        <v>Back-End &amp; QA &amp; PM &amp; DM</v>
      </c>
      <c r="R282" s="203" t="s">
        <v>2245</v>
      </c>
      <c r="S282" s="203"/>
      <c r="T282" s="203"/>
      <c r="U282" s="203">
        <v>15</v>
      </c>
      <c r="V282" s="203">
        <f>$U282*DE_Cost!$B$1*8</f>
        <v>144</v>
      </c>
      <c r="W282" s="204">
        <f>$U282*DE_Cost!$B$1</f>
        <v>18</v>
      </c>
      <c r="X282" s="204"/>
      <c r="Y282" s="204"/>
      <c r="Z282" s="204">
        <f t="shared" si="7"/>
        <v>4</v>
      </c>
      <c r="AA282" s="203" t="s">
        <v>42</v>
      </c>
      <c r="AB282" s="203"/>
      <c r="AC282" s="203"/>
      <c r="AD282" s="204">
        <f t="shared" si="8"/>
        <v>60</v>
      </c>
    </row>
    <row r="283" spans="1:30" ht="38.25" customHeight="1">
      <c r="A283" s="56" t="s">
        <v>1858</v>
      </c>
      <c r="B283" s="50" t="s">
        <v>1859</v>
      </c>
      <c r="C283" s="33" t="s">
        <v>1887</v>
      </c>
      <c r="D283" s="33" t="s">
        <v>1900</v>
      </c>
      <c r="E283" s="33" t="s">
        <v>1901</v>
      </c>
      <c r="F283" s="12" t="s">
        <v>1902</v>
      </c>
      <c r="G283" s="32" t="s">
        <v>1505</v>
      </c>
      <c r="H283" s="24" t="s">
        <v>1903</v>
      </c>
      <c r="I283" s="12" t="s">
        <v>1904</v>
      </c>
      <c r="J283" s="19" t="s">
        <v>1905</v>
      </c>
      <c r="K283" s="32" t="s">
        <v>398</v>
      </c>
      <c r="L283" s="73"/>
      <c r="M283" s="73"/>
      <c r="N283" s="91" t="s">
        <v>1906</v>
      </c>
      <c r="O283" s="12" t="s">
        <v>1907</v>
      </c>
      <c r="P283" s="203" t="s">
        <v>384</v>
      </c>
      <c r="Q283" s="203" t="str">
        <f>BRD_EPIC2[[#This Row],[system type]]&amp;BRD_EPIC2[[#This Row],[system type2]]</f>
        <v>Back-End &amp; QA &amp; PM &amp; DM</v>
      </c>
      <c r="R283" s="203" t="s">
        <v>2245</v>
      </c>
      <c r="S283" s="203"/>
      <c r="T283" s="203"/>
      <c r="U283" s="203">
        <v>15</v>
      </c>
      <c r="V283" s="203">
        <f>$U283*DE_Cost!$B$1*8</f>
        <v>144</v>
      </c>
      <c r="W283" s="204">
        <f>$U283*DE_Cost!$B$1</f>
        <v>18</v>
      </c>
      <c r="X283" s="204"/>
      <c r="Y283" s="204"/>
      <c r="Z283" s="204">
        <f t="shared" si="7"/>
        <v>4</v>
      </c>
      <c r="AA283" s="203" t="s">
        <v>42</v>
      </c>
      <c r="AB283" s="203"/>
      <c r="AC283" s="203">
        <v>1103</v>
      </c>
      <c r="AD283" s="204">
        <f t="shared" si="8"/>
        <v>60</v>
      </c>
    </row>
    <row r="284" spans="1:30" ht="101" customHeight="1">
      <c r="A284" s="56" t="s">
        <v>1858</v>
      </c>
      <c r="B284" s="50" t="s">
        <v>1859</v>
      </c>
      <c r="C284" s="33" t="s">
        <v>1887</v>
      </c>
      <c r="D284" s="33" t="s">
        <v>1908</v>
      </c>
      <c r="E284" s="33" t="s">
        <v>1909</v>
      </c>
      <c r="F284" s="12" t="s">
        <v>1910</v>
      </c>
      <c r="G284" s="32" t="s">
        <v>1505</v>
      </c>
      <c r="H284" s="244" t="s">
        <v>1911</v>
      </c>
      <c r="I284" s="12" t="s">
        <v>1912</v>
      </c>
      <c r="J284" s="19"/>
      <c r="K284" s="32" t="s">
        <v>398</v>
      </c>
      <c r="L284" s="73" t="s">
        <v>1913</v>
      </c>
      <c r="M284" s="73"/>
      <c r="N284" s="91" t="s">
        <v>1914</v>
      </c>
      <c r="O284" s="12" t="s">
        <v>1912</v>
      </c>
      <c r="P284" s="203" t="s">
        <v>384</v>
      </c>
      <c r="Q284" s="203" t="str">
        <f>BRD_EPIC2[[#This Row],[system type]]&amp;BRD_EPIC2[[#This Row],[system type2]]</f>
        <v>Back-End &amp; QA &amp; PM &amp; DM</v>
      </c>
      <c r="R284" s="203" t="s">
        <v>2245</v>
      </c>
      <c r="S284" s="203"/>
      <c r="T284" s="203"/>
      <c r="U284" s="203">
        <v>15</v>
      </c>
      <c r="V284" s="203">
        <f>$U284*DE_Cost!$B$1*8</f>
        <v>144</v>
      </c>
      <c r="W284" s="204">
        <f>$U284*DE_Cost!$B$1</f>
        <v>18</v>
      </c>
      <c r="X284" s="204"/>
      <c r="Y284" s="204"/>
      <c r="Z284" s="204">
        <f t="shared" si="7"/>
        <v>4</v>
      </c>
      <c r="AA284" s="203" t="s">
        <v>42</v>
      </c>
      <c r="AB284" s="203"/>
      <c r="AC284" s="203"/>
      <c r="AD284" s="204">
        <f t="shared" si="8"/>
        <v>60</v>
      </c>
    </row>
    <row r="285" spans="1:30" ht="408" customHeight="1">
      <c r="A285" s="56" t="s">
        <v>1915</v>
      </c>
      <c r="B285" s="50" t="s">
        <v>1916</v>
      </c>
      <c r="C285" s="33" t="s">
        <v>1917</v>
      </c>
      <c r="D285" s="33" t="s">
        <v>1918</v>
      </c>
      <c r="E285" s="33" t="s">
        <v>1919</v>
      </c>
      <c r="F285" s="12" t="s">
        <v>1920</v>
      </c>
      <c r="G285" s="32" t="s">
        <v>1566</v>
      </c>
      <c r="H285" s="244" t="s">
        <v>1921</v>
      </c>
      <c r="I285" s="12" t="s">
        <v>1922</v>
      </c>
      <c r="J285" s="19" t="s">
        <v>1923</v>
      </c>
      <c r="K285" s="32" t="s">
        <v>1566</v>
      </c>
      <c r="L285" s="73"/>
      <c r="M285" s="73"/>
      <c r="N285" s="93" t="s">
        <v>1924</v>
      </c>
      <c r="O285" s="12" t="s">
        <v>1925</v>
      </c>
      <c r="P285" s="203" t="s">
        <v>164</v>
      </c>
      <c r="Q285" s="203" t="str">
        <f>BRD_EPIC2[[#This Row],[system type]]&amp;BRD_EPIC2[[#This Row],[system type2]]</f>
        <v>Android &amp; Back-End &amp; QA &amp; PM &amp; DM &amp; UI</v>
      </c>
      <c r="R285" s="203" t="s">
        <v>2239</v>
      </c>
      <c r="S285" s="203"/>
      <c r="T285" s="203"/>
      <c r="U285" s="203">
        <v>30</v>
      </c>
      <c r="V285" s="203">
        <f>$U285*DE_Cost!$B$1*8</f>
        <v>288</v>
      </c>
      <c r="W285" s="204">
        <f>$U285*DE_Cost!$B$1</f>
        <v>36</v>
      </c>
      <c r="X285" s="204"/>
      <c r="Y285" s="204"/>
      <c r="Z285" s="204">
        <f t="shared" si="7"/>
        <v>6</v>
      </c>
      <c r="AA285" s="203" t="s">
        <v>42</v>
      </c>
      <c r="AB285" s="203"/>
      <c r="AC285" s="203"/>
      <c r="AD285" s="204">
        <f t="shared" si="8"/>
        <v>180</v>
      </c>
    </row>
    <row r="286" spans="1:30" ht="409.6">
      <c r="A286" s="56" t="s">
        <v>1915</v>
      </c>
      <c r="B286" s="50" t="s">
        <v>1916</v>
      </c>
      <c r="C286" s="33" t="s">
        <v>1917</v>
      </c>
      <c r="D286" s="33" t="s">
        <v>1926</v>
      </c>
      <c r="E286" s="33" t="s">
        <v>1927</v>
      </c>
      <c r="F286" s="12" t="s">
        <v>1928</v>
      </c>
      <c r="G286" s="32" t="s">
        <v>1929</v>
      </c>
      <c r="H286" s="244" t="s">
        <v>1930</v>
      </c>
      <c r="I286" s="12" t="s">
        <v>1931</v>
      </c>
      <c r="J286" s="19" t="s">
        <v>1932</v>
      </c>
      <c r="K286" s="32" t="s">
        <v>1562</v>
      </c>
      <c r="L286" s="73" t="s">
        <v>1933</v>
      </c>
      <c r="M286" s="73"/>
      <c r="N286" s="91" t="s">
        <v>1934</v>
      </c>
      <c r="O286" s="12" t="s">
        <v>1935</v>
      </c>
      <c r="P286" s="203" t="s">
        <v>164</v>
      </c>
      <c r="Q286" s="203" t="str">
        <f>BRD_EPIC2[[#This Row],[system type]]&amp;BRD_EPIC2[[#This Row],[system type2]]</f>
        <v>Android &amp; Back-End &amp; QA &amp; PM &amp; DM &amp; UI</v>
      </c>
      <c r="R286" s="203" t="s">
        <v>2239</v>
      </c>
      <c r="S286" s="203"/>
      <c r="T286" s="203"/>
      <c r="U286" s="203">
        <v>30</v>
      </c>
      <c r="V286" s="203">
        <f>$U286*DE_Cost!$B$1*8</f>
        <v>288</v>
      </c>
      <c r="W286" s="204">
        <f>$U286*DE_Cost!$B$1</f>
        <v>36</v>
      </c>
      <c r="X286" s="204"/>
      <c r="Y286" s="204"/>
      <c r="Z286" s="204">
        <f t="shared" si="7"/>
        <v>6</v>
      </c>
      <c r="AA286" s="203" t="s">
        <v>42</v>
      </c>
      <c r="AB286" s="203"/>
      <c r="AC286" s="203"/>
      <c r="AD286" s="204">
        <f t="shared" si="8"/>
        <v>180</v>
      </c>
    </row>
    <row r="287" spans="1:30" ht="126">
      <c r="A287" s="56" t="s">
        <v>1915</v>
      </c>
      <c r="B287" s="50" t="s">
        <v>1916</v>
      </c>
      <c r="C287" s="33" t="s">
        <v>1917</v>
      </c>
      <c r="D287" s="33" t="s">
        <v>1936</v>
      </c>
      <c r="E287" s="33" t="s">
        <v>1937</v>
      </c>
      <c r="F287" s="12" t="s">
        <v>1938</v>
      </c>
      <c r="G287" s="32" t="s">
        <v>1250</v>
      </c>
      <c r="H287" s="244" t="s">
        <v>1939</v>
      </c>
      <c r="I287" s="12" t="s">
        <v>1940</v>
      </c>
      <c r="J287" s="19"/>
      <c r="K287" s="32" t="s">
        <v>1250</v>
      </c>
      <c r="L287" s="73" t="s">
        <v>1941</v>
      </c>
      <c r="M287" s="73"/>
      <c r="N287" s="93" t="s">
        <v>1942</v>
      </c>
      <c r="O287" s="12" t="s">
        <v>1940</v>
      </c>
      <c r="P287" s="203" t="s">
        <v>164</v>
      </c>
      <c r="Q287" s="203" t="str">
        <f>BRD_EPIC2[[#This Row],[system type]]&amp;BRD_EPIC2[[#This Row],[system type2]]</f>
        <v>Android &amp; Back-End &amp; QA &amp; PM &amp; DM &amp; UI</v>
      </c>
      <c r="R287" s="203" t="s">
        <v>2239</v>
      </c>
      <c r="S287" s="203"/>
      <c r="T287" s="203"/>
      <c r="U287" s="203">
        <v>12</v>
      </c>
      <c r="V287" s="203">
        <f>$U287*DE_Cost!$B$1*8</f>
        <v>115.19999999999999</v>
      </c>
      <c r="W287" s="204">
        <f>$U287*DE_Cost!$B$1</f>
        <v>14.399999999999999</v>
      </c>
      <c r="X287" s="204"/>
      <c r="Y287" s="204"/>
      <c r="Z287" s="204">
        <f t="shared" si="7"/>
        <v>6</v>
      </c>
      <c r="AA287" s="203" t="s">
        <v>42</v>
      </c>
      <c r="AB287" s="203"/>
      <c r="AC287" s="203"/>
      <c r="AD287" s="204">
        <f t="shared" si="8"/>
        <v>72</v>
      </c>
    </row>
    <row r="288" spans="1:30" ht="409.6">
      <c r="A288" s="56" t="s">
        <v>1768</v>
      </c>
      <c r="B288" s="50" t="s">
        <v>1916</v>
      </c>
      <c r="C288" s="33" t="s">
        <v>1917</v>
      </c>
      <c r="D288" s="33" t="s">
        <v>1943</v>
      </c>
      <c r="E288" s="33" t="s">
        <v>1944</v>
      </c>
      <c r="F288" s="12" t="s">
        <v>1945</v>
      </c>
      <c r="G288" s="95" t="s">
        <v>1946</v>
      </c>
      <c r="H288" s="244" t="s">
        <v>1947</v>
      </c>
      <c r="I288" s="12" t="s">
        <v>1948</v>
      </c>
      <c r="J288" s="19" t="s">
        <v>1949</v>
      </c>
      <c r="K288" s="32" t="s">
        <v>1950</v>
      </c>
      <c r="L288" s="73" t="s">
        <v>1951</v>
      </c>
      <c r="M288" s="73"/>
      <c r="N288" s="93" t="s">
        <v>1952</v>
      </c>
      <c r="O288" s="12" t="s">
        <v>1953</v>
      </c>
      <c r="P288" s="203" t="s">
        <v>164</v>
      </c>
      <c r="Q288" s="203" t="str">
        <f>BRD_EPIC2[[#This Row],[system type]]&amp;BRD_EPIC2[[#This Row],[system type2]]</f>
        <v>Android &amp; Back-End &amp; QA &amp; PM &amp; DM &amp; UI</v>
      </c>
      <c r="R288" s="203" t="s">
        <v>2239</v>
      </c>
      <c r="S288" s="203"/>
      <c r="T288" s="203"/>
      <c r="U288" s="203">
        <v>30</v>
      </c>
      <c r="V288" s="203">
        <f>$U288*DE_Cost!$B$1*8</f>
        <v>288</v>
      </c>
      <c r="W288" s="204">
        <f>$U288*DE_Cost!$B$1</f>
        <v>36</v>
      </c>
      <c r="X288" s="204"/>
      <c r="Y288" s="204"/>
      <c r="Z288" s="204">
        <f t="shared" si="7"/>
        <v>6</v>
      </c>
      <c r="AA288" s="203" t="s">
        <v>42</v>
      </c>
      <c r="AB288" s="203"/>
      <c r="AC288" s="203"/>
      <c r="AD288" s="204">
        <f t="shared" si="8"/>
        <v>180</v>
      </c>
    </row>
    <row r="289" spans="1:30" ht="409.6">
      <c r="A289" s="56" t="s">
        <v>1768</v>
      </c>
      <c r="B289" s="50" t="s">
        <v>1916</v>
      </c>
      <c r="C289" s="33" t="s">
        <v>1917</v>
      </c>
      <c r="D289" s="33" t="s">
        <v>1954</v>
      </c>
      <c r="E289" s="33" t="s">
        <v>1955</v>
      </c>
      <c r="F289" s="12" t="s">
        <v>1956</v>
      </c>
      <c r="G289" s="95" t="s">
        <v>1320</v>
      </c>
      <c r="H289" s="244" t="s">
        <v>1957</v>
      </c>
      <c r="I289" s="12" t="s">
        <v>1958</v>
      </c>
      <c r="J289" s="19" t="s">
        <v>1959</v>
      </c>
      <c r="K289" s="32" t="s">
        <v>1320</v>
      </c>
      <c r="L289" s="73" t="s">
        <v>1960</v>
      </c>
      <c r="M289" s="73"/>
      <c r="N289" s="93" t="s">
        <v>1961</v>
      </c>
      <c r="O289" s="12" t="s">
        <v>1962</v>
      </c>
      <c r="P289" s="203" t="s">
        <v>164</v>
      </c>
      <c r="Q289" s="203" t="str">
        <f>BRD_EPIC2[[#This Row],[system type]]&amp;BRD_EPIC2[[#This Row],[system type2]]</f>
        <v>Android &amp; Back-End &amp; QA &amp; PM &amp; DM &amp; UI</v>
      </c>
      <c r="R289" s="203" t="s">
        <v>2239</v>
      </c>
      <c r="S289" s="203"/>
      <c r="T289" s="203"/>
      <c r="U289" s="203">
        <v>50</v>
      </c>
      <c r="V289" s="203">
        <f>$U289*DE_Cost!$B$1*8</f>
        <v>480</v>
      </c>
      <c r="W289" s="204">
        <f>$U289*DE_Cost!$B$1</f>
        <v>60</v>
      </c>
      <c r="X289" s="204"/>
      <c r="Y289" s="204"/>
      <c r="Z289" s="204">
        <f t="shared" si="7"/>
        <v>6</v>
      </c>
      <c r="AA289" s="203" t="s">
        <v>42</v>
      </c>
      <c r="AB289" s="203"/>
      <c r="AC289" s="203"/>
      <c r="AD289" s="204">
        <f t="shared" si="8"/>
        <v>300</v>
      </c>
    </row>
    <row r="290" spans="1:30" ht="409.6">
      <c r="A290" s="56" t="s">
        <v>1768</v>
      </c>
      <c r="B290" s="50" t="s">
        <v>1916</v>
      </c>
      <c r="C290" s="33" t="s">
        <v>1917</v>
      </c>
      <c r="D290" s="33" t="s">
        <v>1963</v>
      </c>
      <c r="E290" s="33" t="s">
        <v>1964</v>
      </c>
      <c r="F290" s="12" t="s">
        <v>1965</v>
      </c>
      <c r="G290" s="95" t="s">
        <v>1320</v>
      </c>
      <c r="H290" s="244" t="s">
        <v>1966</v>
      </c>
      <c r="I290" s="12" t="s">
        <v>1967</v>
      </c>
      <c r="J290" s="19" t="s">
        <v>1968</v>
      </c>
      <c r="K290" s="32" t="s">
        <v>1320</v>
      </c>
      <c r="L290" s="73" t="s">
        <v>1969</v>
      </c>
      <c r="M290" s="73"/>
      <c r="N290" s="93" t="s">
        <v>1966</v>
      </c>
      <c r="O290" s="12" t="s">
        <v>1970</v>
      </c>
      <c r="P290" s="203" t="s">
        <v>164</v>
      </c>
      <c r="Q290" s="203" t="str">
        <f>BRD_EPIC2[[#This Row],[system type]]&amp;BRD_EPIC2[[#This Row],[system type2]]</f>
        <v>Android &amp; Back-End &amp; QA &amp; PM &amp; DM &amp; UI</v>
      </c>
      <c r="R290" s="203" t="s">
        <v>2239</v>
      </c>
      <c r="S290" s="203"/>
      <c r="T290" s="203"/>
      <c r="U290" s="203">
        <v>10</v>
      </c>
      <c r="V290" s="203">
        <f>$U290*DE_Cost!$B$1*8</f>
        <v>96</v>
      </c>
      <c r="W290" s="204">
        <f>$U290*DE_Cost!$B$1</f>
        <v>12</v>
      </c>
      <c r="X290" s="204"/>
      <c r="Y290" s="204"/>
      <c r="Z290" s="204">
        <f t="shared" si="7"/>
        <v>6</v>
      </c>
      <c r="AA290" s="203" t="s">
        <v>42</v>
      </c>
      <c r="AB290" s="203"/>
      <c r="AC290" s="203"/>
      <c r="AD290" s="204">
        <f t="shared" si="8"/>
        <v>60</v>
      </c>
    </row>
    <row r="291" spans="1:30" ht="363">
      <c r="A291" s="56" t="s">
        <v>1915</v>
      </c>
      <c r="B291" s="50" t="s">
        <v>1916</v>
      </c>
      <c r="C291" s="33" t="s">
        <v>1917</v>
      </c>
      <c r="D291" s="33" t="s">
        <v>1971</v>
      </c>
      <c r="E291" s="33" t="s">
        <v>1972</v>
      </c>
      <c r="F291" s="12" t="s">
        <v>1973</v>
      </c>
      <c r="G291" s="32" t="s">
        <v>1579</v>
      </c>
      <c r="H291" s="244" t="s">
        <v>1974</v>
      </c>
      <c r="I291" s="12" t="s">
        <v>1975</v>
      </c>
      <c r="J291" s="19"/>
      <c r="K291" s="32"/>
      <c r="L291" s="73"/>
      <c r="M291" s="73"/>
      <c r="N291" s="93" t="s">
        <v>1974</v>
      </c>
      <c r="O291" s="12" t="s">
        <v>1976</v>
      </c>
      <c r="P291" s="203" t="s">
        <v>164</v>
      </c>
      <c r="Q291" s="203" t="str">
        <f>BRD_EPIC2[[#This Row],[system type]]&amp;BRD_EPIC2[[#This Row],[system type2]]</f>
        <v>Android &amp; Back-End &amp; QA &amp; PM &amp; DM &amp; UI</v>
      </c>
      <c r="R291" s="203" t="s">
        <v>2239</v>
      </c>
      <c r="S291" s="203"/>
      <c r="T291" s="203"/>
      <c r="U291" s="203">
        <v>30</v>
      </c>
      <c r="V291" s="203">
        <f>$U291*DE_Cost!$B$1*8</f>
        <v>288</v>
      </c>
      <c r="W291" s="204">
        <f>$U291*DE_Cost!$B$1</f>
        <v>36</v>
      </c>
      <c r="X291" s="204"/>
      <c r="Y291" s="204"/>
      <c r="Z291" s="204">
        <f t="shared" si="7"/>
        <v>6</v>
      </c>
      <c r="AA291" s="203" t="s">
        <v>42</v>
      </c>
      <c r="AB291" s="203"/>
      <c r="AC291" s="203"/>
      <c r="AD291" s="204">
        <f t="shared" si="8"/>
        <v>180</v>
      </c>
    </row>
    <row r="292" spans="1:30" ht="408" customHeight="1">
      <c r="A292" s="56" t="s">
        <v>1768</v>
      </c>
      <c r="B292" s="50" t="s">
        <v>1916</v>
      </c>
      <c r="C292" s="33" t="s">
        <v>1917</v>
      </c>
      <c r="D292" s="33" t="s">
        <v>1977</v>
      </c>
      <c r="E292" s="33" t="s">
        <v>1978</v>
      </c>
      <c r="F292" s="12" t="s">
        <v>1979</v>
      </c>
      <c r="G292" s="95" t="s">
        <v>1320</v>
      </c>
      <c r="H292" s="244" t="s">
        <v>1980</v>
      </c>
      <c r="I292" s="12" t="s">
        <v>1981</v>
      </c>
      <c r="J292" s="19" t="s">
        <v>1982</v>
      </c>
      <c r="K292" s="32" t="s">
        <v>1320</v>
      </c>
      <c r="L292" s="73" t="s">
        <v>1983</v>
      </c>
      <c r="M292" s="73"/>
      <c r="N292" s="93" t="s">
        <v>1984</v>
      </c>
      <c r="O292" s="12" t="s">
        <v>1985</v>
      </c>
      <c r="P292" s="203" t="s">
        <v>164</v>
      </c>
      <c r="Q292" s="203" t="str">
        <f>BRD_EPIC2[[#This Row],[system type]]&amp;BRD_EPIC2[[#This Row],[system type2]]</f>
        <v>Android &amp; Back-End &amp; QA &amp; PM &amp; DM &amp; UI</v>
      </c>
      <c r="R292" s="203" t="s">
        <v>2239</v>
      </c>
      <c r="S292" s="203"/>
      <c r="T292" s="203"/>
      <c r="U292" s="203">
        <v>35</v>
      </c>
      <c r="V292" s="203">
        <f>$U292*DE_Cost!$B$1*8</f>
        <v>336</v>
      </c>
      <c r="W292" s="204">
        <f>$U292*DE_Cost!$B$1</f>
        <v>42</v>
      </c>
      <c r="X292" s="204"/>
      <c r="Y292" s="204"/>
      <c r="Z292" s="204">
        <f t="shared" ref="Z292:Z355" si="9">LEN(Q292) - LEN(SUBSTITUTE(Q292, "&amp;", "")) + 1</f>
        <v>6</v>
      </c>
      <c r="AA292" s="203" t="s">
        <v>42</v>
      </c>
      <c r="AB292" s="203"/>
      <c r="AC292" s="203"/>
      <c r="AD292" s="204">
        <f t="shared" si="8"/>
        <v>210</v>
      </c>
    </row>
    <row r="293" spans="1:30" ht="114" customHeight="1">
      <c r="A293" s="56" t="s">
        <v>1768</v>
      </c>
      <c r="B293" s="50" t="s">
        <v>1916</v>
      </c>
      <c r="C293" s="33" t="s">
        <v>1986</v>
      </c>
      <c r="D293" s="33" t="s">
        <v>1987</v>
      </c>
      <c r="E293" s="33" t="s">
        <v>1988</v>
      </c>
      <c r="F293" s="12" t="s">
        <v>1989</v>
      </c>
      <c r="G293" s="32" t="s">
        <v>137</v>
      </c>
      <c r="H293" s="244" t="s">
        <v>1990</v>
      </c>
      <c r="I293" s="12" t="s">
        <v>1991</v>
      </c>
      <c r="J293" s="19"/>
      <c r="K293" s="32" t="s">
        <v>139</v>
      </c>
      <c r="L293" s="73"/>
      <c r="M293" s="73"/>
      <c r="N293" s="93" t="s">
        <v>1992</v>
      </c>
      <c r="O293" s="12" t="s">
        <v>1993</v>
      </c>
      <c r="P293" s="203" t="s">
        <v>384</v>
      </c>
      <c r="Q293" s="203" t="str">
        <f>BRD_EPIC2[[#This Row],[system type]]&amp;BRD_EPIC2[[#This Row],[system type2]]</f>
        <v>Back-End &amp; QA &amp; PM &amp; DM</v>
      </c>
      <c r="R293" s="203" t="s">
        <v>2245</v>
      </c>
      <c r="S293" s="203"/>
      <c r="T293" s="203"/>
      <c r="U293" s="203">
        <v>30</v>
      </c>
      <c r="V293" s="203">
        <f>$U293*DE_Cost!$B$1*8</f>
        <v>288</v>
      </c>
      <c r="W293" s="204">
        <f>$U293*DE_Cost!$B$1</f>
        <v>36</v>
      </c>
      <c r="X293" s="204"/>
      <c r="Y293" s="204"/>
      <c r="Z293" s="204">
        <f t="shared" si="9"/>
        <v>4</v>
      </c>
      <c r="AA293" s="203" t="s">
        <v>42</v>
      </c>
      <c r="AB293" s="203"/>
      <c r="AC293" s="203"/>
      <c r="AD293" s="204">
        <f t="shared" si="8"/>
        <v>120</v>
      </c>
    </row>
    <row r="294" spans="1:30" ht="131" customHeight="1">
      <c r="A294" s="56" t="s">
        <v>1768</v>
      </c>
      <c r="B294" s="50" t="s">
        <v>1916</v>
      </c>
      <c r="C294" s="33" t="s">
        <v>1986</v>
      </c>
      <c r="D294" s="33" t="s">
        <v>1994</v>
      </c>
      <c r="E294" s="33" t="s">
        <v>1995</v>
      </c>
      <c r="F294" s="12" t="s">
        <v>1996</v>
      </c>
      <c r="G294" s="32" t="s">
        <v>137</v>
      </c>
      <c r="H294" s="244" t="s">
        <v>1997</v>
      </c>
      <c r="I294" s="12" t="s">
        <v>1998</v>
      </c>
      <c r="J294" s="19"/>
      <c r="K294" s="32" t="s">
        <v>139</v>
      </c>
      <c r="L294" s="73"/>
      <c r="M294" s="73"/>
      <c r="N294" s="93" t="s">
        <v>1997</v>
      </c>
      <c r="O294" s="12" t="s">
        <v>1998</v>
      </c>
      <c r="P294" s="203" t="s">
        <v>384</v>
      </c>
      <c r="Q294" s="203" t="str">
        <f>BRD_EPIC2[[#This Row],[system type]]&amp;BRD_EPIC2[[#This Row],[system type2]]</f>
        <v>Back-End &amp; QA &amp; PM &amp; DM</v>
      </c>
      <c r="R294" s="203" t="s">
        <v>2245</v>
      </c>
      <c r="S294" s="203"/>
      <c r="T294" s="203"/>
      <c r="U294" s="203">
        <v>20</v>
      </c>
      <c r="V294" s="203">
        <f>$U294*DE_Cost!$B$1*8</f>
        <v>192</v>
      </c>
      <c r="W294" s="204">
        <f>$U294*DE_Cost!$B$1</f>
        <v>24</v>
      </c>
      <c r="X294" s="204"/>
      <c r="Y294" s="204"/>
      <c r="Z294" s="204">
        <f t="shared" si="9"/>
        <v>4</v>
      </c>
      <c r="AA294" s="203" t="s">
        <v>42</v>
      </c>
      <c r="AB294" s="203"/>
      <c r="AC294" s="203"/>
      <c r="AD294" s="204">
        <f t="shared" si="8"/>
        <v>80</v>
      </c>
    </row>
    <row r="295" spans="1:30" ht="101" customHeight="1">
      <c r="A295" s="56" t="s">
        <v>1768</v>
      </c>
      <c r="B295" s="50" t="s">
        <v>1916</v>
      </c>
      <c r="C295" s="33" t="s">
        <v>1986</v>
      </c>
      <c r="D295" s="33" t="s">
        <v>1999</v>
      </c>
      <c r="E295" s="33" t="s">
        <v>2000</v>
      </c>
      <c r="F295" s="12" t="s">
        <v>2001</v>
      </c>
      <c r="G295" s="32" t="s">
        <v>137</v>
      </c>
      <c r="H295" s="244" t="s">
        <v>2002</v>
      </c>
      <c r="I295" s="12" t="s">
        <v>2003</v>
      </c>
      <c r="J295" s="19"/>
      <c r="K295" s="32" t="s">
        <v>139</v>
      </c>
      <c r="L295" s="73"/>
      <c r="M295" s="73"/>
      <c r="N295" s="93" t="s">
        <v>2004</v>
      </c>
      <c r="O295" s="12" t="s">
        <v>2005</v>
      </c>
      <c r="P295" s="203" t="s">
        <v>384</v>
      </c>
      <c r="Q295" s="203" t="str">
        <f>BRD_EPIC2[[#This Row],[system type]]&amp;BRD_EPIC2[[#This Row],[system type2]]</f>
        <v>Back-End &amp; QA &amp; PM &amp; DM</v>
      </c>
      <c r="R295" s="203" t="s">
        <v>2245</v>
      </c>
      <c r="S295" s="203"/>
      <c r="T295" s="203"/>
      <c r="U295" s="203">
        <v>20</v>
      </c>
      <c r="V295" s="203">
        <f>$U295*DE_Cost!$B$1*8</f>
        <v>192</v>
      </c>
      <c r="W295" s="204">
        <f>$U295*DE_Cost!$B$1</f>
        <v>24</v>
      </c>
      <c r="X295" s="204"/>
      <c r="Y295" s="204"/>
      <c r="Z295" s="204">
        <f t="shared" si="9"/>
        <v>4</v>
      </c>
      <c r="AA295" s="203" t="s">
        <v>42</v>
      </c>
      <c r="AB295" s="203"/>
      <c r="AC295" s="203"/>
      <c r="AD295" s="204">
        <f t="shared" si="8"/>
        <v>80</v>
      </c>
    </row>
    <row r="296" spans="1:30" ht="409" customHeight="1">
      <c r="A296" s="56" t="s">
        <v>1768</v>
      </c>
      <c r="B296" s="50" t="s">
        <v>1916</v>
      </c>
      <c r="C296" s="33" t="s">
        <v>1986</v>
      </c>
      <c r="D296" s="33" t="s">
        <v>2006</v>
      </c>
      <c r="E296" s="33" t="s">
        <v>2007</v>
      </c>
      <c r="F296" s="12" t="s">
        <v>2008</v>
      </c>
      <c r="G296" s="32" t="s">
        <v>137</v>
      </c>
      <c r="H296" s="244" t="s">
        <v>2009</v>
      </c>
      <c r="I296" s="12" t="s">
        <v>2010</v>
      </c>
      <c r="J296" s="19" t="s">
        <v>2011</v>
      </c>
      <c r="K296" s="32"/>
      <c r="L296" s="73"/>
      <c r="M296" s="73"/>
      <c r="N296" s="93" t="s">
        <v>2009</v>
      </c>
      <c r="O296" s="12" t="s">
        <v>2012</v>
      </c>
      <c r="P296" s="203" t="s">
        <v>384</v>
      </c>
      <c r="Q296" s="203" t="str">
        <f>BRD_EPIC2[[#This Row],[system type]]&amp;BRD_EPIC2[[#This Row],[system type2]]</f>
        <v>Back-End &amp; QA &amp; PM &amp; DM</v>
      </c>
      <c r="R296" s="203" t="s">
        <v>2245</v>
      </c>
      <c r="S296" s="203"/>
      <c r="T296" s="203"/>
      <c r="U296" s="203">
        <v>40</v>
      </c>
      <c r="V296" s="203">
        <f>$U296*DE_Cost!$B$1*8</f>
        <v>384</v>
      </c>
      <c r="W296" s="204">
        <f>$U296*DE_Cost!$B$1</f>
        <v>48</v>
      </c>
      <c r="X296" s="204"/>
      <c r="Y296" s="204"/>
      <c r="Z296" s="204">
        <f t="shared" si="9"/>
        <v>4</v>
      </c>
      <c r="AA296" s="203" t="s">
        <v>42</v>
      </c>
      <c r="AB296" s="203"/>
      <c r="AC296" s="203"/>
      <c r="AD296" s="204">
        <f t="shared" si="8"/>
        <v>160</v>
      </c>
    </row>
    <row r="297" spans="1:30" ht="38.25" hidden="1" customHeight="1">
      <c r="A297" s="14"/>
      <c r="B297" s="20"/>
      <c r="C297" s="19"/>
      <c r="D297" s="60"/>
      <c r="E297" s="33"/>
      <c r="F297" s="32"/>
      <c r="G297" s="32"/>
      <c r="H297" s="244"/>
      <c r="I297" s="19"/>
      <c r="J297" s="19"/>
      <c r="K297" s="32"/>
      <c r="L297" s="73"/>
      <c r="M297" s="73"/>
      <c r="N297" s="90"/>
      <c r="O297" s="90"/>
      <c r="P297" s="32"/>
      <c r="Q297" s="32" t="str">
        <f>BRD_EPIC2[[#This Row],[system type]]&amp;BRD_EPIC2[[#This Row],[system type2]]</f>
        <v/>
      </c>
      <c r="R297" s="32"/>
      <c r="S297" s="32"/>
      <c r="T297" s="203"/>
      <c r="U297" s="203"/>
      <c r="V297" s="203">
        <f>$U297*DE_Cost!$B$1*8</f>
        <v>0</v>
      </c>
      <c r="W297" s="204">
        <f>$U297*DE_Cost!$B$1</f>
        <v>0</v>
      </c>
      <c r="X297" s="204"/>
      <c r="Y297" s="204"/>
      <c r="Z297" s="204">
        <f t="shared" si="9"/>
        <v>1</v>
      </c>
      <c r="AA297" s="203"/>
      <c r="AB297" s="203"/>
      <c r="AC297" s="203"/>
      <c r="AD297" s="204">
        <f t="shared" si="8"/>
        <v>0</v>
      </c>
    </row>
    <row r="298" spans="1:30" ht="38.25" hidden="1" customHeight="1">
      <c r="A298" s="14"/>
      <c r="B298" s="20"/>
      <c r="C298" s="19"/>
      <c r="D298" s="60"/>
      <c r="E298" s="33"/>
      <c r="F298" s="88"/>
      <c r="G298" s="69"/>
      <c r="H298" s="244"/>
      <c r="I298" s="24"/>
      <c r="J298" s="19"/>
      <c r="K298" s="70"/>
      <c r="L298" s="73"/>
      <c r="M298" s="73"/>
      <c r="N298" s="90"/>
      <c r="O298" s="90"/>
      <c r="P298" s="32"/>
      <c r="Q298" s="32" t="str">
        <f>BRD_EPIC2[[#This Row],[system type]]&amp;BRD_EPIC2[[#This Row],[system type2]]</f>
        <v/>
      </c>
      <c r="R298" s="32"/>
      <c r="S298" s="32"/>
      <c r="T298" s="203"/>
      <c r="U298" s="203"/>
      <c r="V298" s="203">
        <f>$U298*DE_Cost!$B$1*8</f>
        <v>0</v>
      </c>
      <c r="W298" s="204">
        <f>$U298*DE_Cost!$B$1</f>
        <v>0</v>
      </c>
      <c r="X298" s="204"/>
      <c r="Y298" s="204"/>
      <c r="Z298" s="204">
        <f t="shared" si="9"/>
        <v>1</v>
      </c>
      <c r="AA298" s="203"/>
      <c r="AB298" s="203"/>
      <c r="AC298" s="203"/>
      <c r="AD298" s="204">
        <f t="shared" si="8"/>
        <v>0</v>
      </c>
    </row>
    <row r="299" spans="1:30" ht="38.25" hidden="1" customHeight="1">
      <c r="A299" s="14"/>
      <c r="B299" s="20"/>
      <c r="C299" s="19"/>
      <c r="D299" s="60"/>
      <c r="E299" s="33"/>
      <c r="F299" s="88"/>
      <c r="G299" s="69"/>
      <c r="H299" s="244"/>
      <c r="I299" s="24"/>
      <c r="J299" s="19"/>
      <c r="K299" s="70"/>
      <c r="L299" s="73"/>
      <c r="M299" s="73"/>
      <c r="N299" s="90"/>
      <c r="O299" s="90"/>
      <c r="P299" s="32"/>
      <c r="Q299" s="32" t="str">
        <f>BRD_EPIC2[[#This Row],[system type]]&amp;BRD_EPIC2[[#This Row],[system type2]]</f>
        <v/>
      </c>
      <c r="R299" s="32"/>
      <c r="S299" s="32"/>
      <c r="T299" s="203"/>
      <c r="U299" s="203"/>
      <c r="V299" s="203">
        <f>$U299*DE_Cost!$B$1*8</f>
        <v>0</v>
      </c>
      <c r="W299" s="204">
        <f>$U299*DE_Cost!$B$1</f>
        <v>0</v>
      </c>
      <c r="X299" s="204"/>
      <c r="Y299" s="204"/>
      <c r="Z299" s="204">
        <f t="shared" si="9"/>
        <v>1</v>
      </c>
      <c r="AA299" s="203"/>
      <c r="AB299" s="203"/>
      <c r="AC299" s="203"/>
      <c r="AD299" s="204">
        <f t="shared" si="8"/>
        <v>0</v>
      </c>
    </row>
    <row r="300" spans="1:30" ht="38.25" hidden="1" customHeight="1">
      <c r="A300" s="14"/>
      <c r="B300" s="20"/>
      <c r="C300" s="19"/>
      <c r="D300" s="60"/>
      <c r="E300" s="33"/>
      <c r="F300" s="88"/>
      <c r="G300" s="69"/>
      <c r="H300" s="244"/>
      <c r="I300" s="24"/>
      <c r="J300" s="19"/>
      <c r="K300" s="70"/>
      <c r="L300" s="73"/>
      <c r="M300" s="73"/>
      <c r="N300" s="90"/>
      <c r="O300" s="90"/>
      <c r="P300" s="32"/>
      <c r="Q300" s="32" t="str">
        <f>BRD_EPIC2[[#This Row],[system type]]&amp;BRD_EPIC2[[#This Row],[system type2]]</f>
        <v/>
      </c>
      <c r="R300" s="32"/>
      <c r="S300" s="32"/>
      <c r="T300" s="203"/>
      <c r="U300" s="203"/>
      <c r="V300" s="203">
        <f>$U300*DE_Cost!$B$1*8</f>
        <v>0</v>
      </c>
      <c r="W300" s="204">
        <f>$U300*DE_Cost!$B$1</f>
        <v>0</v>
      </c>
      <c r="X300" s="204"/>
      <c r="Y300" s="204"/>
      <c r="Z300" s="204">
        <f t="shared" si="9"/>
        <v>1</v>
      </c>
      <c r="AA300" s="203"/>
      <c r="AB300" s="203"/>
      <c r="AC300" s="203"/>
      <c r="AD300" s="204">
        <f t="shared" si="8"/>
        <v>0</v>
      </c>
    </row>
    <row r="301" spans="1:30" ht="38.25" hidden="1" customHeight="1">
      <c r="A301" s="14"/>
      <c r="B301" s="20"/>
      <c r="C301" s="19"/>
      <c r="D301" s="60"/>
      <c r="E301" s="33"/>
      <c r="F301" s="88"/>
      <c r="G301" s="69"/>
      <c r="H301" s="24"/>
      <c r="I301" s="24"/>
      <c r="J301" s="19"/>
      <c r="K301" s="70"/>
      <c r="L301" s="73"/>
      <c r="M301" s="73"/>
      <c r="N301" s="90"/>
      <c r="O301" s="90"/>
      <c r="P301" s="32"/>
      <c r="Q301" s="32" t="str">
        <f>BRD_EPIC2[[#This Row],[system type]]&amp;BRD_EPIC2[[#This Row],[system type2]]</f>
        <v/>
      </c>
      <c r="R301" s="32"/>
      <c r="S301" s="32"/>
      <c r="T301" s="203"/>
      <c r="U301" s="203"/>
      <c r="V301" s="203">
        <f>$U301*DE_Cost!$B$1*8</f>
        <v>0</v>
      </c>
      <c r="W301" s="204">
        <f>$U301*DE_Cost!$B$1</f>
        <v>0</v>
      </c>
      <c r="X301" s="204"/>
      <c r="Y301" s="204"/>
      <c r="Z301" s="204">
        <f t="shared" si="9"/>
        <v>1</v>
      </c>
      <c r="AA301" s="203"/>
      <c r="AB301" s="203"/>
      <c r="AC301" s="203"/>
      <c r="AD301" s="204">
        <f t="shared" si="8"/>
        <v>0</v>
      </c>
    </row>
    <row r="302" spans="1:30" ht="38.25" hidden="1" customHeight="1">
      <c r="A302" s="14"/>
      <c r="B302" s="20"/>
      <c r="C302" s="19"/>
      <c r="D302" s="60"/>
      <c r="E302" s="33"/>
      <c r="F302" s="88"/>
      <c r="G302" s="69"/>
      <c r="H302" s="24"/>
      <c r="I302" s="24"/>
      <c r="J302" s="19"/>
      <c r="K302" s="70"/>
      <c r="L302" s="73"/>
      <c r="M302" s="73"/>
      <c r="N302" s="90"/>
      <c r="O302" s="90"/>
      <c r="P302" s="32"/>
      <c r="Q302" s="32" t="str">
        <f>BRD_EPIC2[[#This Row],[system type]]&amp;BRD_EPIC2[[#This Row],[system type2]]</f>
        <v/>
      </c>
      <c r="R302" s="32"/>
      <c r="S302" s="32"/>
      <c r="T302" s="203"/>
      <c r="U302" s="203"/>
      <c r="V302" s="203">
        <f>$U302*DE_Cost!$B$1*8</f>
        <v>0</v>
      </c>
      <c r="W302" s="204">
        <f>$U302*DE_Cost!$B$1</f>
        <v>0</v>
      </c>
      <c r="X302" s="204"/>
      <c r="Y302" s="204"/>
      <c r="Z302" s="204">
        <f t="shared" si="9"/>
        <v>1</v>
      </c>
      <c r="AA302" s="203"/>
      <c r="AB302" s="203"/>
      <c r="AC302" s="203"/>
      <c r="AD302" s="204">
        <f t="shared" si="8"/>
        <v>0</v>
      </c>
    </row>
    <row r="303" spans="1:30" ht="38.25" hidden="1" customHeight="1">
      <c r="A303" s="14"/>
      <c r="B303" s="20"/>
      <c r="C303" s="19"/>
      <c r="D303" s="60"/>
      <c r="E303" s="33"/>
      <c r="F303" s="88"/>
      <c r="G303" s="69"/>
      <c r="H303" s="24"/>
      <c r="I303" s="24"/>
      <c r="J303" s="19"/>
      <c r="K303" s="70"/>
      <c r="L303" s="73"/>
      <c r="M303" s="73"/>
      <c r="N303" s="90"/>
      <c r="O303" s="90"/>
      <c r="P303" s="32"/>
      <c r="Q303" s="32" t="str">
        <f>BRD_EPIC2[[#This Row],[system type]]&amp;BRD_EPIC2[[#This Row],[system type2]]</f>
        <v/>
      </c>
      <c r="R303" s="32"/>
      <c r="S303" s="32"/>
      <c r="T303" s="203"/>
      <c r="U303" s="203"/>
      <c r="V303" s="203">
        <f>$U303*DE_Cost!$B$1*8</f>
        <v>0</v>
      </c>
      <c r="W303" s="204">
        <f>$U303*DE_Cost!$B$1</f>
        <v>0</v>
      </c>
      <c r="X303" s="204"/>
      <c r="Y303" s="204"/>
      <c r="Z303" s="204">
        <f t="shared" si="9"/>
        <v>1</v>
      </c>
      <c r="AA303" s="203"/>
      <c r="AB303" s="203"/>
      <c r="AC303" s="203"/>
      <c r="AD303" s="204">
        <f t="shared" si="8"/>
        <v>0</v>
      </c>
    </row>
    <row r="304" spans="1:30" ht="38.25" hidden="1" customHeight="1">
      <c r="A304" s="14"/>
      <c r="B304" s="20"/>
      <c r="C304" s="19"/>
      <c r="D304" s="60"/>
      <c r="E304" s="33"/>
      <c r="F304" s="88"/>
      <c r="G304" s="69"/>
      <c r="H304" s="24"/>
      <c r="I304" s="24"/>
      <c r="J304" s="19"/>
      <c r="K304" s="70"/>
      <c r="L304" s="73"/>
      <c r="M304" s="73"/>
      <c r="N304" s="90"/>
      <c r="O304" s="90"/>
      <c r="P304" s="32"/>
      <c r="Q304" s="32" t="str">
        <f>BRD_EPIC2[[#This Row],[system type]]&amp;BRD_EPIC2[[#This Row],[system type2]]</f>
        <v/>
      </c>
      <c r="R304" s="32"/>
      <c r="S304" s="32"/>
      <c r="T304" s="203"/>
      <c r="U304" s="203"/>
      <c r="V304" s="203">
        <f>$U304*DE_Cost!$B$1*8</f>
        <v>0</v>
      </c>
      <c r="W304" s="204">
        <f>$U304*DE_Cost!$B$1</f>
        <v>0</v>
      </c>
      <c r="X304" s="204"/>
      <c r="Y304" s="204"/>
      <c r="Z304" s="204">
        <f t="shared" si="9"/>
        <v>1</v>
      </c>
      <c r="AA304" s="203"/>
      <c r="AB304" s="203"/>
      <c r="AC304" s="203"/>
      <c r="AD304" s="204">
        <f t="shared" si="8"/>
        <v>0</v>
      </c>
    </row>
    <row r="305" spans="1:30" ht="38.25" hidden="1" customHeight="1">
      <c r="A305" s="14"/>
      <c r="B305" s="20"/>
      <c r="C305" s="19"/>
      <c r="D305" s="60"/>
      <c r="E305" s="33"/>
      <c r="F305" s="88"/>
      <c r="G305" s="69"/>
      <c r="H305" s="24"/>
      <c r="I305" s="24"/>
      <c r="J305" s="19"/>
      <c r="K305" s="70"/>
      <c r="L305" s="73"/>
      <c r="M305" s="73"/>
      <c r="N305" s="90"/>
      <c r="O305" s="90"/>
      <c r="P305" s="32"/>
      <c r="Q305" s="32" t="str">
        <f>BRD_EPIC2[[#This Row],[system type]]&amp;BRD_EPIC2[[#This Row],[system type2]]</f>
        <v/>
      </c>
      <c r="R305" s="32"/>
      <c r="S305" s="32"/>
      <c r="T305" s="203"/>
      <c r="U305" s="203"/>
      <c r="V305" s="203">
        <f>$U305*DE_Cost!$B$1*8</f>
        <v>0</v>
      </c>
      <c r="W305" s="204">
        <f>$U305*DE_Cost!$B$1</f>
        <v>0</v>
      </c>
      <c r="X305" s="204"/>
      <c r="Y305" s="204"/>
      <c r="Z305" s="204">
        <f t="shared" si="9"/>
        <v>1</v>
      </c>
      <c r="AA305" s="203"/>
      <c r="AB305" s="203"/>
      <c r="AC305" s="203"/>
      <c r="AD305" s="204">
        <f t="shared" si="8"/>
        <v>0</v>
      </c>
    </row>
    <row r="306" spans="1:30" ht="38.25" hidden="1" customHeight="1">
      <c r="A306" s="14"/>
      <c r="B306" s="20"/>
      <c r="C306" s="19"/>
      <c r="D306" s="60"/>
      <c r="E306" s="33"/>
      <c r="F306" s="88"/>
      <c r="G306" s="69"/>
      <c r="H306" s="24"/>
      <c r="I306" s="24"/>
      <c r="J306" s="19"/>
      <c r="K306" s="70"/>
      <c r="L306" s="73"/>
      <c r="M306" s="73"/>
      <c r="N306" s="90"/>
      <c r="O306" s="90"/>
      <c r="P306" s="32"/>
      <c r="Q306" s="32" t="str">
        <f>BRD_EPIC2[[#This Row],[system type]]&amp;BRD_EPIC2[[#This Row],[system type2]]</f>
        <v/>
      </c>
      <c r="R306" s="32"/>
      <c r="S306" s="32"/>
      <c r="T306" s="203"/>
      <c r="U306" s="203"/>
      <c r="V306" s="203">
        <f>$U306*DE_Cost!$B$1*8</f>
        <v>0</v>
      </c>
      <c r="W306" s="204">
        <f>$U306*DE_Cost!$B$1</f>
        <v>0</v>
      </c>
      <c r="X306" s="204"/>
      <c r="Y306" s="204"/>
      <c r="Z306" s="204">
        <f t="shared" si="9"/>
        <v>1</v>
      </c>
      <c r="AA306" s="203"/>
      <c r="AB306" s="203"/>
      <c r="AC306" s="203"/>
      <c r="AD306" s="204">
        <f t="shared" si="8"/>
        <v>0</v>
      </c>
    </row>
    <row r="307" spans="1:30" ht="38.25" hidden="1" customHeight="1">
      <c r="A307" s="14"/>
      <c r="B307" s="20"/>
      <c r="C307" s="19"/>
      <c r="D307" s="60"/>
      <c r="E307" s="33"/>
      <c r="F307" s="88"/>
      <c r="G307" s="69"/>
      <c r="H307" s="24"/>
      <c r="I307" s="24"/>
      <c r="J307" s="19"/>
      <c r="K307" s="70"/>
      <c r="L307" s="73"/>
      <c r="M307" s="73"/>
      <c r="N307" s="90"/>
      <c r="O307" s="90"/>
      <c r="P307" s="32"/>
      <c r="Q307" s="32" t="str">
        <f>BRD_EPIC2[[#This Row],[system type]]&amp;BRD_EPIC2[[#This Row],[system type2]]</f>
        <v/>
      </c>
      <c r="R307" s="32"/>
      <c r="S307" s="32"/>
      <c r="T307" s="203"/>
      <c r="U307" s="203"/>
      <c r="V307" s="203">
        <f>$U307*DE_Cost!$B$1*8</f>
        <v>0</v>
      </c>
      <c r="W307" s="204">
        <f>$U307*DE_Cost!$B$1</f>
        <v>0</v>
      </c>
      <c r="X307" s="204"/>
      <c r="Y307" s="204"/>
      <c r="Z307" s="204">
        <f t="shared" si="9"/>
        <v>1</v>
      </c>
      <c r="AA307" s="203"/>
      <c r="AB307" s="203"/>
      <c r="AC307" s="203"/>
      <c r="AD307" s="204">
        <f t="shared" si="8"/>
        <v>0</v>
      </c>
    </row>
    <row r="308" spans="1:30" ht="38.25" hidden="1" customHeight="1">
      <c r="A308" s="14"/>
      <c r="B308" s="20"/>
      <c r="C308" s="19"/>
      <c r="D308" s="60"/>
      <c r="E308" s="33"/>
      <c r="F308" s="88"/>
      <c r="G308" s="69"/>
      <c r="H308" s="24"/>
      <c r="I308" s="24"/>
      <c r="J308" s="19"/>
      <c r="K308" s="70"/>
      <c r="L308" s="73"/>
      <c r="M308" s="73"/>
      <c r="N308" s="90"/>
      <c r="O308" s="90"/>
      <c r="P308" s="32"/>
      <c r="Q308" s="32" t="str">
        <f>BRD_EPIC2[[#This Row],[system type]]&amp;BRD_EPIC2[[#This Row],[system type2]]</f>
        <v/>
      </c>
      <c r="R308" s="32"/>
      <c r="S308" s="32"/>
      <c r="T308" s="203"/>
      <c r="U308" s="203"/>
      <c r="V308" s="203">
        <f>$U308*DE_Cost!$B$1*8</f>
        <v>0</v>
      </c>
      <c r="W308" s="204">
        <f>$U308*DE_Cost!$B$1</f>
        <v>0</v>
      </c>
      <c r="X308" s="204"/>
      <c r="Y308" s="204"/>
      <c r="Z308" s="204">
        <f t="shared" si="9"/>
        <v>1</v>
      </c>
      <c r="AA308" s="203"/>
      <c r="AB308" s="203"/>
      <c r="AC308" s="203"/>
      <c r="AD308" s="204">
        <f t="shared" si="8"/>
        <v>0</v>
      </c>
    </row>
    <row r="309" spans="1:30" ht="38.25" hidden="1" customHeight="1">
      <c r="A309" s="14"/>
      <c r="B309" s="20"/>
      <c r="C309" s="19"/>
      <c r="D309" s="60"/>
      <c r="E309" s="33"/>
      <c r="F309" s="88"/>
      <c r="G309" s="69"/>
      <c r="H309" s="24"/>
      <c r="I309" s="24"/>
      <c r="J309" s="19"/>
      <c r="K309" s="70"/>
      <c r="L309" s="73"/>
      <c r="M309" s="73"/>
      <c r="N309" s="90"/>
      <c r="O309" s="90"/>
      <c r="P309" s="32"/>
      <c r="Q309" s="32" t="str">
        <f>BRD_EPIC2[[#This Row],[system type]]&amp;BRD_EPIC2[[#This Row],[system type2]]</f>
        <v/>
      </c>
      <c r="R309" s="32"/>
      <c r="S309" s="32"/>
      <c r="T309" s="203"/>
      <c r="U309" s="203"/>
      <c r="V309" s="203">
        <f>$U309*DE_Cost!$B$1*8</f>
        <v>0</v>
      </c>
      <c r="W309" s="204">
        <f>$U309*DE_Cost!$B$1</f>
        <v>0</v>
      </c>
      <c r="X309" s="204"/>
      <c r="Y309" s="204"/>
      <c r="Z309" s="204">
        <f t="shared" si="9"/>
        <v>1</v>
      </c>
      <c r="AA309" s="203"/>
      <c r="AB309" s="203"/>
      <c r="AC309" s="203"/>
      <c r="AD309" s="204">
        <f t="shared" si="8"/>
        <v>0</v>
      </c>
    </row>
    <row r="310" spans="1:30" ht="38.25" hidden="1" customHeight="1">
      <c r="A310" s="14"/>
      <c r="B310" s="20"/>
      <c r="C310" s="19"/>
      <c r="D310" s="60"/>
      <c r="E310" s="33"/>
      <c r="F310" s="88"/>
      <c r="G310" s="69"/>
      <c r="H310" s="24"/>
      <c r="I310" s="24"/>
      <c r="J310" s="19"/>
      <c r="K310" s="70"/>
      <c r="L310" s="73"/>
      <c r="M310" s="73"/>
      <c r="N310" s="90"/>
      <c r="O310" s="90"/>
      <c r="P310" s="32"/>
      <c r="Q310" s="32" t="str">
        <f>BRD_EPIC2[[#This Row],[system type]]&amp;BRD_EPIC2[[#This Row],[system type2]]</f>
        <v/>
      </c>
      <c r="R310" s="32"/>
      <c r="S310" s="32"/>
      <c r="T310" s="203"/>
      <c r="U310" s="203"/>
      <c r="V310" s="203">
        <f>$U310*DE_Cost!$B$1*8</f>
        <v>0</v>
      </c>
      <c r="W310" s="204">
        <f>$U310*DE_Cost!$B$1</f>
        <v>0</v>
      </c>
      <c r="X310" s="204"/>
      <c r="Y310" s="204"/>
      <c r="Z310" s="204">
        <f t="shared" si="9"/>
        <v>1</v>
      </c>
      <c r="AA310" s="203"/>
      <c r="AB310" s="203"/>
      <c r="AC310" s="203"/>
      <c r="AD310" s="204">
        <f t="shared" si="8"/>
        <v>0</v>
      </c>
    </row>
    <row r="311" spans="1:30" ht="38.25" hidden="1" customHeight="1">
      <c r="A311" s="14"/>
      <c r="B311" s="20"/>
      <c r="C311" s="19"/>
      <c r="D311" s="60"/>
      <c r="E311" s="33"/>
      <c r="F311" s="88"/>
      <c r="G311" s="69"/>
      <c r="H311" s="24"/>
      <c r="I311" s="24"/>
      <c r="J311" s="19"/>
      <c r="K311" s="70"/>
      <c r="L311" s="73"/>
      <c r="M311" s="73"/>
      <c r="N311" s="90"/>
      <c r="O311" s="90"/>
      <c r="P311" s="32"/>
      <c r="Q311" s="32" t="str">
        <f>BRD_EPIC2[[#This Row],[system type]]&amp;BRD_EPIC2[[#This Row],[system type2]]</f>
        <v/>
      </c>
      <c r="R311" s="32"/>
      <c r="S311" s="32"/>
      <c r="T311" s="203"/>
      <c r="U311" s="203"/>
      <c r="V311" s="203">
        <f>$U311*DE_Cost!$B$1*8</f>
        <v>0</v>
      </c>
      <c r="W311" s="204">
        <f>$U311*DE_Cost!$B$1</f>
        <v>0</v>
      </c>
      <c r="X311" s="204"/>
      <c r="Y311" s="204"/>
      <c r="Z311" s="204">
        <f t="shared" si="9"/>
        <v>1</v>
      </c>
      <c r="AA311" s="203"/>
      <c r="AB311" s="203"/>
      <c r="AC311" s="203"/>
      <c r="AD311" s="204">
        <f t="shared" si="8"/>
        <v>0</v>
      </c>
    </row>
    <row r="312" spans="1:30" ht="38.25" hidden="1" customHeight="1">
      <c r="A312" s="14"/>
      <c r="B312" s="20"/>
      <c r="C312" s="19"/>
      <c r="D312" s="60"/>
      <c r="E312" s="33"/>
      <c r="F312" s="88"/>
      <c r="G312" s="69"/>
      <c r="H312" s="24"/>
      <c r="I312" s="24"/>
      <c r="J312" s="19"/>
      <c r="K312" s="70"/>
      <c r="L312" s="73"/>
      <c r="M312" s="73"/>
      <c r="N312" s="90"/>
      <c r="O312" s="90"/>
      <c r="P312" s="32"/>
      <c r="Q312" s="32" t="str">
        <f>BRD_EPIC2[[#This Row],[system type]]&amp;BRD_EPIC2[[#This Row],[system type2]]</f>
        <v/>
      </c>
      <c r="R312" s="32"/>
      <c r="S312" s="32"/>
      <c r="T312" s="203"/>
      <c r="U312" s="203"/>
      <c r="V312" s="203">
        <f>$U312*DE_Cost!$B$1*8</f>
        <v>0</v>
      </c>
      <c r="W312" s="204">
        <f>$U312*DE_Cost!$B$1</f>
        <v>0</v>
      </c>
      <c r="X312" s="204"/>
      <c r="Y312" s="204"/>
      <c r="Z312" s="204">
        <f t="shared" si="9"/>
        <v>1</v>
      </c>
      <c r="AA312" s="203"/>
      <c r="AB312" s="203"/>
      <c r="AC312" s="203"/>
      <c r="AD312" s="204">
        <f t="shared" si="8"/>
        <v>0</v>
      </c>
    </row>
    <row r="313" spans="1:30" ht="38.25" hidden="1" customHeight="1">
      <c r="A313" s="14"/>
      <c r="B313" s="20"/>
      <c r="C313" s="19"/>
      <c r="D313" s="60"/>
      <c r="E313" s="33"/>
      <c r="F313" s="88"/>
      <c r="G313" s="69"/>
      <c r="H313" s="24"/>
      <c r="I313" s="24"/>
      <c r="J313" s="19"/>
      <c r="K313" s="70"/>
      <c r="L313" s="73"/>
      <c r="M313" s="73"/>
      <c r="N313" s="90"/>
      <c r="O313" s="90"/>
      <c r="P313" s="32"/>
      <c r="Q313" s="32" t="str">
        <f>BRD_EPIC2[[#This Row],[system type]]&amp;BRD_EPIC2[[#This Row],[system type2]]</f>
        <v/>
      </c>
      <c r="R313" s="32"/>
      <c r="S313" s="32"/>
      <c r="T313" s="203"/>
      <c r="U313" s="203"/>
      <c r="V313" s="203">
        <f>$U313*DE_Cost!$B$1*8</f>
        <v>0</v>
      </c>
      <c r="W313" s="204">
        <f>$U313*DE_Cost!$B$1</f>
        <v>0</v>
      </c>
      <c r="X313" s="204"/>
      <c r="Y313" s="204"/>
      <c r="Z313" s="204">
        <f t="shared" si="9"/>
        <v>1</v>
      </c>
      <c r="AA313" s="203"/>
      <c r="AB313" s="203"/>
      <c r="AC313" s="203"/>
      <c r="AD313" s="204">
        <f t="shared" si="8"/>
        <v>0</v>
      </c>
    </row>
    <row r="314" spans="1:30" ht="38.25" hidden="1" customHeight="1">
      <c r="A314" s="14"/>
      <c r="B314" s="20"/>
      <c r="C314" s="19"/>
      <c r="D314" s="60"/>
      <c r="E314" s="33"/>
      <c r="F314" s="88"/>
      <c r="G314" s="69"/>
      <c r="H314" s="24"/>
      <c r="I314" s="24"/>
      <c r="J314" s="19"/>
      <c r="K314" s="70"/>
      <c r="L314" s="73"/>
      <c r="M314" s="73"/>
      <c r="N314" s="90"/>
      <c r="O314" s="90"/>
      <c r="P314" s="32"/>
      <c r="Q314" s="32" t="str">
        <f>BRD_EPIC2[[#This Row],[system type]]&amp;BRD_EPIC2[[#This Row],[system type2]]</f>
        <v/>
      </c>
      <c r="R314" s="32"/>
      <c r="S314" s="32"/>
      <c r="T314" s="203"/>
      <c r="U314" s="203"/>
      <c r="V314" s="203">
        <f>$U314*DE_Cost!$B$1*8</f>
        <v>0</v>
      </c>
      <c r="W314" s="204">
        <f>$U314*DE_Cost!$B$1</f>
        <v>0</v>
      </c>
      <c r="X314" s="204"/>
      <c r="Y314" s="204"/>
      <c r="Z314" s="204">
        <f t="shared" si="9"/>
        <v>1</v>
      </c>
      <c r="AA314" s="203"/>
      <c r="AB314" s="203"/>
      <c r="AC314" s="203"/>
      <c r="AD314" s="204">
        <f t="shared" si="8"/>
        <v>0</v>
      </c>
    </row>
    <row r="315" spans="1:30" ht="38.25" hidden="1" customHeight="1">
      <c r="A315" s="14"/>
      <c r="B315" s="20"/>
      <c r="C315" s="19"/>
      <c r="D315" s="60"/>
      <c r="E315" s="33"/>
      <c r="F315" s="88"/>
      <c r="G315" s="69"/>
      <c r="H315" s="24"/>
      <c r="I315" s="24"/>
      <c r="J315" s="19"/>
      <c r="K315" s="70"/>
      <c r="L315" s="73"/>
      <c r="M315" s="73"/>
      <c r="N315" s="90"/>
      <c r="O315" s="90"/>
      <c r="P315" s="32"/>
      <c r="Q315" s="32" t="str">
        <f>BRD_EPIC2[[#This Row],[system type]]&amp;BRD_EPIC2[[#This Row],[system type2]]</f>
        <v/>
      </c>
      <c r="R315" s="32"/>
      <c r="S315" s="32"/>
      <c r="T315" s="203"/>
      <c r="U315" s="203"/>
      <c r="V315" s="203">
        <f>$U315*DE_Cost!$B$1*8</f>
        <v>0</v>
      </c>
      <c r="W315" s="204">
        <f>$U315*DE_Cost!$B$1</f>
        <v>0</v>
      </c>
      <c r="X315" s="204"/>
      <c r="Y315" s="204"/>
      <c r="Z315" s="204">
        <f t="shared" si="9"/>
        <v>1</v>
      </c>
      <c r="AA315" s="203"/>
      <c r="AB315" s="203"/>
      <c r="AC315" s="203"/>
      <c r="AD315" s="204">
        <f t="shared" si="8"/>
        <v>0</v>
      </c>
    </row>
    <row r="316" spans="1:30" ht="38.25" hidden="1" customHeight="1">
      <c r="A316" s="14"/>
      <c r="B316" s="20"/>
      <c r="C316" s="19"/>
      <c r="D316" s="60"/>
      <c r="E316" s="33"/>
      <c r="F316" s="88"/>
      <c r="G316" s="69"/>
      <c r="H316" s="24"/>
      <c r="I316" s="24"/>
      <c r="J316" s="19"/>
      <c r="K316" s="70"/>
      <c r="L316" s="73"/>
      <c r="M316" s="73"/>
      <c r="N316" s="90"/>
      <c r="O316" s="90"/>
      <c r="P316" s="32"/>
      <c r="Q316" s="32" t="str">
        <f>BRD_EPIC2[[#This Row],[system type]]&amp;BRD_EPIC2[[#This Row],[system type2]]</f>
        <v/>
      </c>
      <c r="R316" s="32"/>
      <c r="S316" s="32"/>
      <c r="T316" s="203"/>
      <c r="U316" s="203"/>
      <c r="V316" s="203">
        <f>$U316*DE_Cost!$B$1*8</f>
        <v>0</v>
      </c>
      <c r="W316" s="204">
        <f>$U316*DE_Cost!$B$1</f>
        <v>0</v>
      </c>
      <c r="X316" s="204"/>
      <c r="Y316" s="204"/>
      <c r="Z316" s="204">
        <f t="shared" si="9"/>
        <v>1</v>
      </c>
      <c r="AA316" s="203"/>
      <c r="AB316" s="203"/>
      <c r="AC316" s="203"/>
      <c r="AD316" s="204">
        <f t="shared" ref="AD316:AD379" si="10">U316 * Z316</f>
        <v>0</v>
      </c>
    </row>
    <row r="317" spans="1:30" ht="38.25" hidden="1" customHeight="1">
      <c r="A317" s="14"/>
      <c r="B317" s="20"/>
      <c r="C317" s="19"/>
      <c r="D317" s="60"/>
      <c r="E317" s="33"/>
      <c r="F317" s="88"/>
      <c r="G317" s="69"/>
      <c r="H317" s="24"/>
      <c r="I317" s="24"/>
      <c r="J317" s="19"/>
      <c r="K317" s="70"/>
      <c r="L317" s="73"/>
      <c r="M317" s="73"/>
      <c r="N317" s="90"/>
      <c r="O317" s="90"/>
      <c r="P317" s="32"/>
      <c r="Q317" s="32" t="str">
        <f>BRD_EPIC2[[#This Row],[system type]]&amp;BRD_EPIC2[[#This Row],[system type2]]</f>
        <v/>
      </c>
      <c r="R317" s="32"/>
      <c r="S317" s="32"/>
      <c r="T317" s="203"/>
      <c r="U317" s="203"/>
      <c r="V317" s="203">
        <f>$U317*DE_Cost!$B$1*8</f>
        <v>0</v>
      </c>
      <c r="W317" s="204">
        <f>$U317*DE_Cost!$B$1</f>
        <v>0</v>
      </c>
      <c r="X317" s="204"/>
      <c r="Y317" s="204"/>
      <c r="Z317" s="204">
        <f t="shared" si="9"/>
        <v>1</v>
      </c>
      <c r="AA317" s="203"/>
      <c r="AB317" s="203"/>
      <c r="AC317" s="203"/>
      <c r="AD317" s="204">
        <f t="shared" si="10"/>
        <v>0</v>
      </c>
    </row>
    <row r="318" spans="1:30" ht="38.25" hidden="1" customHeight="1">
      <c r="A318" s="14"/>
      <c r="B318" s="20"/>
      <c r="C318" s="19"/>
      <c r="D318" s="60"/>
      <c r="E318" s="33"/>
      <c r="F318" s="88"/>
      <c r="G318" s="69"/>
      <c r="H318" s="24"/>
      <c r="I318" s="24"/>
      <c r="J318" s="19"/>
      <c r="K318" s="70"/>
      <c r="L318" s="73"/>
      <c r="M318" s="73"/>
      <c r="N318" s="90"/>
      <c r="O318" s="90"/>
      <c r="P318" s="32"/>
      <c r="Q318" s="32" t="str">
        <f>BRD_EPIC2[[#This Row],[system type]]&amp;BRD_EPIC2[[#This Row],[system type2]]</f>
        <v/>
      </c>
      <c r="R318" s="32"/>
      <c r="S318" s="32"/>
      <c r="T318" s="203"/>
      <c r="U318" s="203"/>
      <c r="V318" s="203">
        <f>$U318*DE_Cost!$B$1*8</f>
        <v>0</v>
      </c>
      <c r="W318" s="204">
        <f>$U318*DE_Cost!$B$1</f>
        <v>0</v>
      </c>
      <c r="X318" s="204"/>
      <c r="Y318" s="204"/>
      <c r="Z318" s="204">
        <f t="shared" si="9"/>
        <v>1</v>
      </c>
      <c r="AA318" s="203"/>
      <c r="AB318" s="203"/>
      <c r="AC318" s="203"/>
      <c r="AD318" s="204">
        <f t="shared" si="10"/>
        <v>0</v>
      </c>
    </row>
    <row r="319" spans="1:30" ht="38.25" hidden="1" customHeight="1">
      <c r="A319" s="14"/>
      <c r="B319" s="20"/>
      <c r="C319" s="19"/>
      <c r="D319" s="60"/>
      <c r="E319" s="33"/>
      <c r="F319" s="88"/>
      <c r="G319" s="69"/>
      <c r="H319" s="24"/>
      <c r="I319" s="24"/>
      <c r="J319" s="19"/>
      <c r="K319" s="70"/>
      <c r="L319" s="73"/>
      <c r="M319" s="73"/>
      <c r="N319" s="90"/>
      <c r="O319" s="90"/>
      <c r="P319" s="32"/>
      <c r="Q319" s="32" t="str">
        <f>BRD_EPIC2[[#This Row],[system type]]&amp;BRD_EPIC2[[#This Row],[system type2]]</f>
        <v/>
      </c>
      <c r="R319" s="32"/>
      <c r="S319" s="32"/>
      <c r="T319" s="203"/>
      <c r="U319" s="203"/>
      <c r="V319" s="203">
        <f>$U319*DE_Cost!$B$1*8</f>
        <v>0</v>
      </c>
      <c r="W319" s="204">
        <f>$U319*DE_Cost!$B$1</f>
        <v>0</v>
      </c>
      <c r="X319" s="204"/>
      <c r="Y319" s="204"/>
      <c r="Z319" s="204">
        <f t="shared" si="9"/>
        <v>1</v>
      </c>
      <c r="AA319" s="203"/>
      <c r="AB319" s="203"/>
      <c r="AC319" s="203"/>
      <c r="AD319" s="204">
        <f t="shared" si="10"/>
        <v>0</v>
      </c>
    </row>
    <row r="320" spans="1:30" ht="38.25" hidden="1" customHeight="1">
      <c r="A320" s="14"/>
      <c r="B320" s="20"/>
      <c r="C320" s="19"/>
      <c r="D320" s="60"/>
      <c r="E320" s="33"/>
      <c r="F320" s="88"/>
      <c r="G320" s="69"/>
      <c r="H320" s="24"/>
      <c r="I320" s="24"/>
      <c r="J320" s="19"/>
      <c r="K320" s="70"/>
      <c r="L320" s="73"/>
      <c r="M320" s="73"/>
      <c r="N320" s="90"/>
      <c r="O320" s="90"/>
      <c r="P320" s="32"/>
      <c r="Q320" s="32" t="str">
        <f>BRD_EPIC2[[#This Row],[system type]]&amp;BRD_EPIC2[[#This Row],[system type2]]</f>
        <v/>
      </c>
      <c r="R320" s="32"/>
      <c r="S320" s="32"/>
      <c r="T320" s="203"/>
      <c r="U320" s="203"/>
      <c r="V320" s="203">
        <f>$U320*DE_Cost!$B$1*8</f>
        <v>0</v>
      </c>
      <c r="W320" s="204">
        <f>$U320*DE_Cost!$B$1</f>
        <v>0</v>
      </c>
      <c r="X320" s="204"/>
      <c r="Y320" s="204"/>
      <c r="Z320" s="204">
        <f t="shared" si="9"/>
        <v>1</v>
      </c>
      <c r="AA320" s="203"/>
      <c r="AB320" s="203"/>
      <c r="AC320" s="203"/>
      <c r="AD320" s="204">
        <f t="shared" si="10"/>
        <v>0</v>
      </c>
    </row>
    <row r="321" spans="1:30" ht="38.25" hidden="1" customHeight="1">
      <c r="A321" s="14"/>
      <c r="B321" s="20"/>
      <c r="C321" s="19"/>
      <c r="D321" s="60"/>
      <c r="E321" s="33"/>
      <c r="F321" s="88"/>
      <c r="G321" s="69"/>
      <c r="H321" s="24"/>
      <c r="I321" s="24"/>
      <c r="J321" s="19"/>
      <c r="K321" s="70"/>
      <c r="L321" s="73"/>
      <c r="M321" s="73"/>
      <c r="N321" s="90"/>
      <c r="O321" s="90"/>
      <c r="P321" s="32"/>
      <c r="Q321" s="32" t="str">
        <f>BRD_EPIC2[[#This Row],[system type]]&amp;BRD_EPIC2[[#This Row],[system type2]]</f>
        <v/>
      </c>
      <c r="R321" s="32"/>
      <c r="S321" s="32"/>
      <c r="T321" s="203"/>
      <c r="U321" s="203"/>
      <c r="V321" s="203">
        <f>$U321*DE_Cost!$B$1*8</f>
        <v>0</v>
      </c>
      <c r="W321" s="204">
        <f>$U321*DE_Cost!$B$1</f>
        <v>0</v>
      </c>
      <c r="X321" s="204"/>
      <c r="Y321" s="204"/>
      <c r="Z321" s="204">
        <f t="shared" si="9"/>
        <v>1</v>
      </c>
      <c r="AA321" s="203"/>
      <c r="AB321" s="203"/>
      <c r="AC321" s="203"/>
      <c r="AD321" s="204">
        <f t="shared" si="10"/>
        <v>0</v>
      </c>
    </row>
    <row r="322" spans="1:30" ht="38.25" hidden="1" customHeight="1">
      <c r="A322" s="14"/>
      <c r="B322" s="20"/>
      <c r="C322" s="19"/>
      <c r="D322" s="60"/>
      <c r="E322" s="33"/>
      <c r="F322" s="88"/>
      <c r="G322" s="69"/>
      <c r="H322" s="24"/>
      <c r="I322" s="24"/>
      <c r="J322" s="19"/>
      <c r="K322" s="70"/>
      <c r="L322" s="73"/>
      <c r="M322" s="73"/>
      <c r="N322" s="90"/>
      <c r="O322" s="90"/>
      <c r="P322" s="32"/>
      <c r="Q322" s="32" t="str">
        <f>BRD_EPIC2[[#This Row],[system type]]&amp;BRD_EPIC2[[#This Row],[system type2]]</f>
        <v/>
      </c>
      <c r="R322" s="32"/>
      <c r="S322" s="32"/>
      <c r="T322" s="203"/>
      <c r="U322" s="203"/>
      <c r="V322" s="203">
        <f>$U322*DE_Cost!$B$1*8</f>
        <v>0</v>
      </c>
      <c r="W322" s="204">
        <f>$U322*DE_Cost!$B$1</f>
        <v>0</v>
      </c>
      <c r="X322" s="204"/>
      <c r="Y322" s="204"/>
      <c r="Z322" s="204">
        <f t="shared" si="9"/>
        <v>1</v>
      </c>
      <c r="AA322" s="203"/>
      <c r="AB322" s="203"/>
      <c r="AC322" s="203"/>
      <c r="AD322" s="204">
        <f t="shared" si="10"/>
        <v>0</v>
      </c>
    </row>
    <row r="323" spans="1:30" ht="38.25" hidden="1" customHeight="1">
      <c r="A323" s="14"/>
      <c r="B323" s="20"/>
      <c r="C323" s="19"/>
      <c r="D323" s="60"/>
      <c r="E323" s="33"/>
      <c r="F323" s="88"/>
      <c r="G323" s="69"/>
      <c r="H323" s="24"/>
      <c r="I323" s="24"/>
      <c r="J323" s="19"/>
      <c r="K323" s="70"/>
      <c r="L323" s="73"/>
      <c r="M323" s="73"/>
      <c r="N323" s="90"/>
      <c r="O323" s="90"/>
      <c r="P323" s="32"/>
      <c r="Q323" s="32" t="str">
        <f>BRD_EPIC2[[#This Row],[system type]]&amp;BRD_EPIC2[[#This Row],[system type2]]</f>
        <v/>
      </c>
      <c r="R323" s="32"/>
      <c r="S323" s="32"/>
      <c r="T323" s="203"/>
      <c r="U323" s="203"/>
      <c r="V323" s="203">
        <f>$U323*DE_Cost!$B$1*8</f>
        <v>0</v>
      </c>
      <c r="W323" s="204">
        <f>$U323*DE_Cost!$B$1</f>
        <v>0</v>
      </c>
      <c r="X323" s="204"/>
      <c r="Y323" s="204"/>
      <c r="Z323" s="204">
        <f t="shared" si="9"/>
        <v>1</v>
      </c>
      <c r="AA323" s="203"/>
      <c r="AB323" s="203"/>
      <c r="AC323" s="203"/>
      <c r="AD323" s="204">
        <f t="shared" si="10"/>
        <v>0</v>
      </c>
    </row>
    <row r="324" spans="1:30" ht="38.25" hidden="1" customHeight="1">
      <c r="A324" s="14"/>
      <c r="B324" s="20"/>
      <c r="C324" s="19"/>
      <c r="D324" s="60"/>
      <c r="E324" s="33"/>
      <c r="F324" s="88"/>
      <c r="G324" s="69"/>
      <c r="H324" s="24"/>
      <c r="I324" s="24"/>
      <c r="J324" s="19"/>
      <c r="K324" s="70"/>
      <c r="L324" s="73"/>
      <c r="M324" s="73"/>
      <c r="N324" s="90"/>
      <c r="O324" s="90"/>
      <c r="P324" s="32"/>
      <c r="Q324" s="32" t="str">
        <f>BRD_EPIC2[[#This Row],[system type]]&amp;BRD_EPIC2[[#This Row],[system type2]]</f>
        <v/>
      </c>
      <c r="R324" s="32"/>
      <c r="S324" s="32"/>
      <c r="T324" s="203"/>
      <c r="U324" s="203"/>
      <c r="V324" s="203">
        <f>$U324*DE_Cost!$B$1*8</f>
        <v>0</v>
      </c>
      <c r="W324" s="204">
        <f>$U324*DE_Cost!$B$1</f>
        <v>0</v>
      </c>
      <c r="X324" s="204"/>
      <c r="Y324" s="204"/>
      <c r="Z324" s="204">
        <f t="shared" si="9"/>
        <v>1</v>
      </c>
      <c r="AA324" s="203"/>
      <c r="AB324" s="203"/>
      <c r="AC324" s="203"/>
      <c r="AD324" s="204">
        <f t="shared" si="10"/>
        <v>0</v>
      </c>
    </row>
    <row r="325" spans="1:30" ht="38.25" hidden="1" customHeight="1">
      <c r="A325" s="14"/>
      <c r="B325" s="20"/>
      <c r="C325" s="19"/>
      <c r="D325" s="60"/>
      <c r="E325" s="33"/>
      <c r="F325" s="88"/>
      <c r="G325" s="69"/>
      <c r="H325" s="24"/>
      <c r="I325" s="24"/>
      <c r="J325" s="19"/>
      <c r="K325" s="70"/>
      <c r="L325" s="73"/>
      <c r="M325" s="73"/>
      <c r="N325" s="90"/>
      <c r="O325" s="90"/>
      <c r="P325" s="32"/>
      <c r="Q325" s="32" t="str">
        <f>BRD_EPIC2[[#This Row],[system type]]&amp;BRD_EPIC2[[#This Row],[system type2]]</f>
        <v/>
      </c>
      <c r="R325" s="32"/>
      <c r="S325" s="32"/>
      <c r="T325" s="203"/>
      <c r="U325" s="203"/>
      <c r="V325" s="203">
        <f>$U325*DE_Cost!$B$1*8</f>
        <v>0</v>
      </c>
      <c r="W325" s="204">
        <f>$U325*DE_Cost!$B$1</f>
        <v>0</v>
      </c>
      <c r="X325" s="204"/>
      <c r="Y325" s="204"/>
      <c r="Z325" s="204">
        <f t="shared" si="9"/>
        <v>1</v>
      </c>
      <c r="AA325" s="203"/>
      <c r="AB325" s="203"/>
      <c r="AC325" s="203"/>
      <c r="AD325" s="204">
        <f t="shared" si="10"/>
        <v>0</v>
      </c>
    </row>
    <row r="326" spans="1:30" ht="38.25" hidden="1" customHeight="1">
      <c r="A326" s="14"/>
      <c r="B326" s="20"/>
      <c r="C326" s="19"/>
      <c r="D326" s="60"/>
      <c r="E326" s="33"/>
      <c r="F326" s="88"/>
      <c r="G326" s="69"/>
      <c r="H326" s="24"/>
      <c r="I326" s="24"/>
      <c r="J326" s="19"/>
      <c r="K326" s="70"/>
      <c r="L326" s="73"/>
      <c r="M326" s="73"/>
      <c r="N326" s="90"/>
      <c r="O326" s="90"/>
      <c r="P326" s="32"/>
      <c r="Q326" s="32" t="str">
        <f>BRD_EPIC2[[#This Row],[system type]]&amp;BRD_EPIC2[[#This Row],[system type2]]</f>
        <v/>
      </c>
      <c r="R326" s="32"/>
      <c r="S326" s="32"/>
      <c r="T326" s="203"/>
      <c r="U326" s="203"/>
      <c r="V326" s="203">
        <f>$U326*DE_Cost!$B$1*8</f>
        <v>0</v>
      </c>
      <c r="W326" s="204">
        <f>$U326*DE_Cost!$B$1</f>
        <v>0</v>
      </c>
      <c r="X326" s="204"/>
      <c r="Y326" s="204"/>
      <c r="Z326" s="204">
        <f t="shared" si="9"/>
        <v>1</v>
      </c>
      <c r="AA326" s="203"/>
      <c r="AB326" s="203"/>
      <c r="AC326" s="203"/>
      <c r="AD326" s="204">
        <f t="shared" si="10"/>
        <v>0</v>
      </c>
    </row>
    <row r="327" spans="1:30" ht="38.25" hidden="1" customHeight="1">
      <c r="A327" s="14"/>
      <c r="B327" s="20"/>
      <c r="C327" s="19"/>
      <c r="D327" s="60"/>
      <c r="E327" s="33"/>
      <c r="F327" s="88"/>
      <c r="G327" s="69"/>
      <c r="H327" s="24"/>
      <c r="I327" s="24"/>
      <c r="J327" s="19"/>
      <c r="K327" s="70"/>
      <c r="L327" s="73"/>
      <c r="M327" s="73"/>
      <c r="N327" s="90"/>
      <c r="O327" s="90"/>
      <c r="P327" s="32"/>
      <c r="Q327" s="32" t="str">
        <f>BRD_EPIC2[[#This Row],[system type]]&amp;BRD_EPIC2[[#This Row],[system type2]]</f>
        <v/>
      </c>
      <c r="R327" s="32"/>
      <c r="S327" s="32"/>
      <c r="T327" s="203"/>
      <c r="U327" s="203"/>
      <c r="V327" s="203">
        <f>$U327*DE_Cost!$B$1*8</f>
        <v>0</v>
      </c>
      <c r="W327" s="204">
        <f>$U327*DE_Cost!$B$1</f>
        <v>0</v>
      </c>
      <c r="X327" s="204"/>
      <c r="Y327" s="204"/>
      <c r="Z327" s="204">
        <f t="shared" si="9"/>
        <v>1</v>
      </c>
      <c r="AA327" s="203"/>
      <c r="AB327" s="203"/>
      <c r="AC327" s="203"/>
      <c r="AD327" s="204">
        <f t="shared" si="10"/>
        <v>0</v>
      </c>
    </row>
    <row r="328" spans="1:30" ht="38.25" hidden="1" customHeight="1">
      <c r="A328" s="14"/>
      <c r="B328" s="20"/>
      <c r="C328" s="19"/>
      <c r="D328" s="60"/>
      <c r="E328" s="33"/>
      <c r="F328" s="88"/>
      <c r="G328" s="69"/>
      <c r="H328" s="24"/>
      <c r="I328" s="24"/>
      <c r="J328" s="19"/>
      <c r="K328" s="70"/>
      <c r="L328" s="73"/>
      <c r="M328" s="73"/>
      <c r="N328" s="90"/>
      <c r="O328" s="90"/>
      <c r="P328" s="32"/>
      <c r="Q328" s="32" t="str">
        <f>BRD_EPIC2[[#This Row],[system type]]&amp;BRD_EPIC2[[#This Row],[system type2]]</f>
        <v/>
      </c>
      <c r="R328" s="32"/>
      <c r="S328" s="32"/>
      <c r="T328" s="203"/>
      <c r="U328" s="203"/>
      <c r="V328" s="203">
        <f>$U328*DE_Cost!$B$1*8</f>
        <v>0</v>
      </c>
      <c r="W328" s="204">
        <f>$U328*DE_Cost!$B$1</f>
        <v>0</v>
      </c>
      <c r="X328" s="204"/>
      <c r="Y328" s="204"/>
      <c r="Z328" s="204">
        <f t="shared" si="9"/>
        <v>1</v>
      </c>
      <c r="AA328" s="203"/>
      <c r="AB328" s="203"/>
      <c r="AC328" s="203"/>
      <c r="AD328" s="204">
        <f t="shared" si="10"/>
        <v>0</v>
      </c>
    </row>
    <row r="329" spans="1:30" ht="38.25" hidden="1" customHeight="1">
      <c r="A329" s="14"/>
      <c r="B329" s="20"/>
      <c r="C329" s="19"/>
      <c r="D329" s="60"/>
      <c r="E329" s="33"/>
      <c r="F329" s="88"/>
      <c r="G329" s="69"/>
      <c r="H329" s="24"/>
      <c r="I329" s="24"/>
      <c r="J329" s="19"/>
      <c r="K329" s="70"/>
      <c r="L329" s="73"/>
      <c r="M329" s="73"/>
      <c r="N329" s="90"/>
      <c r="O329" s="90"/>
      <c r="P329" s="32"/>
      <c r="Q329" s="32" t="str">
        <f>BRD_EPIC2[[#This Row],[system type]]&amp;BRD_EPIC2[[#This Row],[system type2]]</f>
        <v/>
      </c>
      <c r="R329" s="32"/>
      <c r="S329" s="32"/>
      <c r="T329" s="203"/>
      <c r="U329" s="203"/>
      <c r="V329" s="203">
        <f>$U329*DE_Cost!$B$1*8</f>
        <v>0</v>
      </c>
      <c r="W329" s="204">
        <f>$U329*DE_Cost!$B$1</f>
        <v>0</v>
      </c>
      <c r="X329" s="204"/>
      <c r="Y329" s="204"/>
      <c r="Z329" s="204">
        <f t="shared" si="9"/>
        <v>1</v>
      </c>
      <c r="AA329" s="203"/>
      <c r="AB329" s="203"/>
      <c r="AC329" s="203"/>
      <c r="AD329" s="204">
        <f t="shared" si="10"/>
        <v>0</v>
      </c>
    </row>
    <row r="330" spans="1:30" ht="38.25" hidden="1" customHeight="1">
      <c r="A330" s="14"/>
      <c r="B330" s="20"/>
      <c r="C330" s="19"/>
      <c r="D330" s="60"/>
      <c r="E330" s="33"/>
      <c r="F330" s="88"/>
      <c r="G330" s="69"/>
      <c r="H330" s="24"/>
      <c r="I330" s="24"/>
      <c r="J330" s="19"/>
      <c r="K330" s="70"/>
      <c r="L330" s="73"/>
      <c r="M330" s="73"/>
      <c r="N330" s="90"/>
      <c r="O330" s="90"/>
      <c r="P330" s="32"/>
      <c r="Q330" s="32" t="str">
        <f>BRD_EPIC2[[#This Row],[system type]]&amp;BRD_EPIC2[[#This Row],[system type2]]</f>
        <v/>
      </c>
      <c r="R330" s="32"/>
      <c r="S330" s="32"/>
      <c r="T330" s="203"/>
      <c r="U330" s="203"/>
      <c r="V330" s="203">
        <f>$U330*DE_Cost!$B$1*8</f>
        <v>0</v>
      </c>
      <c r="W330" s="204">
        <f>$U330*DE_Cost!$B$1</f>
        <v>0</v>
      </c>
      <c r="X330" s="204"/>
      <c r="Y330" s="204"/>
      <c r="Z330" s="204">
        <f t="shared" si="9"/>
        <v>1</v>
      </c>
      <c r="AA330" s="203"/>
      <c r="AB330" s="203"/>
      <c r="AC330" s="203"/>
      <c r="AD330" s="204">
        <f t="shared" si="10"/>
        <v>0</v>
      </c>
    </row>
    <row r="331" spans="1:30" ht="38.25" hidden="1" customHeight="1">
      <c r="A331" s="14"/>
      <c r="B331" s="20"/>
      <c r="C331" s="19"/>
      <c r="D331" s="60"/>
      <c r="E331" s="33"/>
      <c r="F331" s="88"/>
      <c r="G331" s="69"/>
      <c r="H331" s="24"/>
      <c r="I331" s="24"/>
      <c r="J331" s="19"/>
      <c r="K331" s="70"/>
      <c r="L331" s="73"/>
      <c r="M331" s="73"/>
      <c r="N331" s="90"/>
      <c r="O331" s="90"/>
      <c r="P331" s="32"/>
      <c r="Q331" s="32" t="str">
        <f>BRD_EPIC2[[#This Row],[system type]]&amp;BRD_EPIC2[[#This Row],[system type2]]</f>
        <v/>
      </c>
      <c r="R331" s="32"/>
      <c r="S331" s="32"/>
      <c r="T331" s="203"/>
      <c r="U331" s="203"/>
      <c r="V331" s="203">
        <f>$U331*DE_Cost!$B$1*8</f>
        <v>0</v>
      </c>
      <c r="W331" s="204">
        <f>$U331*DE_Cost!$B$1</f>
        <v>0</v>
      </c>
      <c r="X331" s="204"/>
      <c r="Y331" s="204"/>
      <c r="Z331" s="204">
        <f t="shared" si="9"/>
        <v>1</v>
      </c>
      <c r="AA331" s="203"/>
      <c r="AB331" s="203"/>
      <c r="AC331" s="203"/>
      <c r="AD331" s="204">
        <f t="shared" si="10"/>
        <v>0</v>
      </c>
    </row>
    <row r="332" spans="1:30" ht="38.25" hidden="1" customHeight="1">
      <c r="A332" s="14"/>
      <c r="B332" s="20"/>
      <c r="C332" s="19"/>
      <c r="D332" s="60"/>
      <c r="E332" s="33"/>
      <c r="F332" s="88"/>
      <c r="G332" s="69"/>
      <c r="H332" s="24"/>
      <c r="I332" s="24"/>
      <c r="J332" s="19"/>
      <c r="K332" s="70"/>
      <c r="L332" s="73"/>
      <c r="M332" s="73"/>
      <c r="N332" s="90"/>
      <c r="O332" s="90"/>
      <c r="P332" s="32"/>
      <c r="Q332" s="32" t="str">
        <f>BRD_EPIC2[[#This Row],[system type]]&amp;BRD_EPIC2[[#This Row],[system type2]]</f>
        <v/>
      </c>
      <c r="R332" s="32"/>
      <c r="S332" s="32"/>
      <c r="T332" s="203"/>
      <c r="U332" s="203"/>
      <c r="V332" s="203">
        <f>$U332*DE_Cost!$B$1*8</f>
        <v>0</v>
      </c>
      <c r="W332" s="204">
        <f>$U332*DE_Cost!$B$1</f>
        <v>0</v>
      </c>
      <c r="X332" s="204"/>
      <c r="Y332" s="204"/>
      <c r="Z332" s="204">
        <f t="shared" si="9"/>
        <v>1</v>
      </c>
      <c r="AA332" s="203"/>
      <c r="AB332" s="203"/>
      <c r="AC332" s="203"/>
      <c r="AD332" s="204">
        <f t="shared" si="10"/>
        <v>0</v>
      </c>
    </row>
    <row r="333" spans="1:30" ht="38.25" hidden="1" customHeight="1">
      <c r="A333" s="14"/>
      <c r="B333" s="20"/>
      <c r="C333" s="19"/>
      <c r="D333" s="60"/>
      <c r="E333" s="33"/>
      <c r="F333" s="88"/>
      <c r="G333" s="69"/>
      <c r="H333" s="24"/>
      <c r="I333" s="24"/>
      <c r="J333" s="19"/>
      <c r="K333" s="70"/>
      <c r="L333" s="73"/>
      <c r="M333" s="73"/>
      <c r="N333" s="90"/>
      <c r="O333" s="90"/>
      <c r="P333" s="32"/>
      <c r="Q333" s="32" t="str">
        <f>BRD_EPIC2[[#This Row],[system type]]&amp;BRD_EPIC2[[#This Row],[system type2]]</f>
        <v/>
      </c>
      <c r="R333" s="32"/>
      <c r="S333" s="32"/>
      <c r="T333" s="203"/>
      <c r="U333" s="203"/>
      <c r="V333" s="203">
        <f>$U333*DE_Cost!$B$1*8</f>
        <v>0</v>
      </c>
      <c r="W333" s="204">
        <f>$U333*DE_Cost!$B$1</f>
        <v>0</v>
      </c>
      <c r="X333" s="204"/>
      <c r="Y333" s="204"/>
      <c r="Z333" s="204">
        <f t="shared" si="9"/>
        <v>1</v>
      </c>
      <c r="AA333" s="203"/>
      <c r="AB333" s="203"/>
      <c r="AC333" s="203"/>
      <c r="AD333" s="204">
        <f t="shared" si="10"/>
        <v>0</v>
      </c>
    </row>
    <row r="334" spans="1:30" ht="38.25" hidden="1" customHeight="1">
      <c r="A334" s="14"/>
      <c r="B334" s="20"/>
      <c r="C334" s="19"/>
      <c r="D334" s="60"/>
      <c r="E334" s="33"/>
      <c r="F334" s="88"/>
      <c r="G334" s="69"/>
      <c r="H334" s="24"/>
      <c r="I334" s="24"/>
      <c r="J334" s="19"/>
      <c r="K334" s="70"/>
      <c r="L334" s="73"/>
      <c r="M334" s="73"/>
      <c r="N334" s="90"/>
      <c r="O334" s="90"/>
      <c r="P334" s="32"/>
      <c r="Q334" s="32" t="str">
        <f>BRD_EPIC2[[#This Row],[system type]]&amp;BRD_EPIC2[[#This Row],[system type2]]</f>
        <v/>
      </c>
      <c r="R334" s="32"/>
      <c r="S334" s="32"/>
      <c r="T334" s="203"/>
      <c r="U334" s="203"/>
      <c r="V334" s="203">
        <f>$U334*DE_Cost!$B$1*8</f>
        <v>0</v>
      </c>
      <c r="W334" s="204">
        <f>$U334*DE_Cost!$B$1</f>
        <v>0</v>
      </c>
      <c r="X334" s="204"/>
      <c r="Y334" s="204"/>
      <c r="Z334" s="204">
        <f t="shared" si="9"/>
        <v>1</v>
      </c>
      <c r="AA334" s="203"/>
      <c r="AB334" s="203"/>
      <c r="AC334" s="203"/>
      <c r="AD334" s="204">
        <f t="shared" si="10"/>
        <v>0</v>
      </c>
    </row>
    <row r="335" spans="1:30" ht="38.25" hidden="1" customHeight="1">
      <c r="A335" s="14"/>
      <c r="B335" s="20"/>
      <c r="C335" s="19"/>
      <c r="D335" s="60"/>
      <c r="E335" s="33"/>
      <c r="F335" s="88"/>
      <c r="G335" s="69"/>
      <c r="H335" s="24"/>
      <c r="I335" s="24"/>
      <c r="J335" s="19"/>
      <c r="K335" s="70"/>
      <c r="L335" s="73"/>
      <c r="M335" s="73"/>
      <c r="N335" s="90"/>
      <c r="O335" s="90"/>
      <c r="P335" s="32"/>
      <c r="Q335" s="32" t="str">
        <f>BRD_EPIC2[[#This Row],[system type]]&amp;BRD_EPIC2[[#This Row],[system type2]]</f>
        <v/>
      </c>
      <c r="R335" s="32"/>
      <c r="S335" s="32"/>
      <c r="T335" s="203"/>
      <c r="U335" s="203"/>
      <c r="V335" s="203">
        <f>$U335*DE_Cost!$B$1*8</f>
        <v>0</v>
      </c>
      <c r="W335" s="204">
        <f>$U335*DE_Cost!$B$1</f>
        <v>0</v>
      </c>
      <c r="X335" s="204"/>
      <c r="Y335" s="204"/>
      <c r="Z335" s="204">
        <f t="shared" si="9"/>
        <v>1</v>
      </c>
      <c r="AA335" s="203"/>
      <c r="AB335" s="203"/>
      <c r="AC335" s="203"/>
      <c r="AD335" s="204">
        <f t="shared" si="10"/>
        <v>0</v>
      </c>
    </row>
    <row r="336" spans="1:30" ht="38.25" hidden="1" customHeight="1">
      <c r="A336" s="14"/>
      <c r="B336" s="20"/>
      <c r="C336" s="19"/>
      <c r="D336" s="60"/>
      <c r="E336" s="33"/>
      <c r="F336" s="88"/>
      <c r="G336" s="69"/>
      <c r="H336" s="24"/>
      <c r="I336" s="24"/>
      <c r="J336" s="19"/>
      <c r="K336" s="70"/>
      <c r="L336" s="73"/>
      <c r="M336" s="73"/>
      <c r="N336" s="90"/>
      <c r="O336" s="90"/>
      <c r="P336" s="32"/>
      <c r="Q336" s="32" t="str">
        <f>BRD_EPIC2[[#This Row],[system type]]&amp;BRD_EPIC2[[#This Row],[system type2]]</f>
        <v/>
      </c>
      <c r="R336" s="32"/>
      <c r="S336" s="32"/>
      <c r="T336" s="203"/>
      <c r="U336" s="203"/>
      <c r="V336" s="203">
        <f>$U336*DE_Cost!$B$1*8</f>
        <v>0</v>
      </c>
      <c r="W336" s="204">
        <f>$U336*DE_Cost!$B$1</f>
        <v>0</v>
      </c>
      <c r="X336" s="204"/>
      <c r="Y336" s="204"/>
      <c r="Z336" s="204">
        <f t="shared" si="9"/>
        <v>1</v>
      </c>
      <c r="AA336" s="203"/>
      <c r="AB336" s="203"/>
      <c r="AC336" s="203"/>
      <c r="AD336" s="204">
        <f t="shared" si="10"/>
        <v>0</v>
      </c>
    </row>
    <row r="337" spans="1:30" ht="38.25" hidden="1" customHeight="1">
      <c r="A337" s="14"/>
      <c r="B337" s="20"/>
      <c r="C337" s="19"/>
      <c r="D337" s="60"/>
      <c r="E337" s="33"/>
      <c r="F337" s="88"/>
      <c r="G337" s="69"/>
      <c r="H337" s="24"/>
      <c r="I337" s="24"/>
      <c r="J337" s="19"/>
      <c r="K337" s="70"/>
      <c r="L337" s="73"/>
      <c r="M337" s="73"/>
      <c r="N337" s="90"/>
      <c r="O337" s="90"/>
      <c r="P337" s="32"/>
      <c r="Q337" s="32" t="str">
        <f>BRD_EPIC2[[#This Row],[system type]]&amp;BRD_EPIC2[[#This Row],[system type2]]</f>
        <v/>
      </c>
      <c r="R337" s="32"/>
      <c r="S337" s="32"/>
      <c r="T337" s="203"/>
      <c r="U337" s="203"/>
      <c r="V337" s="203">
        <f>$U337*DE_Cost!$B$1*8</f>
        <v>0</v>
      </c>
      <c r="W337" s="204">
        <f>$U337*DE_Cost!$B$1</f>
        <v>0</v>
      </c>
      <c r="X337" s="204"/>
      <c r="Y337" s="204"/>
      <c r="Z337" s="204">
        <f t="shared" si="9"/>
        <v>1</v>
      </c>
      <c r="AA337" s="203"/>
      <c r="AB337" s="203"/>
      <c r="AC337" s="203"/>
      <c r="AD337" s="204">
        <f t="shared" si="10"/>
        <v>0</v>
      </c>
    </row>
    <row r="338" spans="1:30" ht="38.25" hidden="1" customHeight="1">
      <c r="A338" s="14"/>
      <c r="B338" s="20"/>
      <c r="C338" s="19"/>
      <c r="D338" s="60"/>
      <c r="E338" s="33"/>
      <c r="F338" s="88"/>
      <c r="G338" s="69"/>
      <c r="H338" s="24"/>
      <c r="I338" s="24"/>
      <c r="J338" s="19"/>
      <c r="K338" s="70"/>
      <c r="L338" s="73"/>
      <c r="M338" s="73"/>
      <c r="N338" s="90"/>
      <c r="O338" s="90"/>
      <c r="P338" s="32"/>
      <c r="Q338" s="32" t="str">
        <f>BRD_EPIC2[[#This Row],[system type]]&amp;BRD_EPIC2[[#This Row],[system type2]]</f>
        <v/>
      </c>
      <c r="R338" s="32"/>
      <c r="S338" s="32"/>
      <c r="T338" s="203"/>
      <c r="U338" s="203"/>
      <c r="V338" s="203">
        <f>$U338*DE_Cost!$B$1*8</f>
        <v>0</v>
      </c>
      <c r="W338" s="204">
        <f>$U338*DE_Cost!$B$1</f>
        <v>0</v>
      </c>
      <c r="X338" s="204"/>
      <c r="Y338" s="204"/>
      <c r="Z338" s="204">
        <f t="shared" si="9"/>
        <v>1</v>
      </c>
      <c r="AA338" s="203"/>
      <c r="AB338" s="203"/>
      <c r="AC338" s="203"/>
      <c r="AD338" s="204">
        <f t="shared" si="10"/>
        <v>0</v>
      </c>
    </row>
    <row r="339" spans="1:30" ht="38.25" hidden="1" customHeight="1">
      <c r="A339" s="14"/>
      <c r="B339" s="20"/>
      <c r="C339" s="19"/>
      <c r="D339" s="60"/>
      <c r="E339" s="33"/>
      <c r="F339" s="88"/>
      <c r="G339" s="69"/>
      <c r="H339" s="24"/>
      <c r="I339" s="24"/>
      <c r="J339" s="19"/>
      <c r="K339" s="70"/>
      <c r="L339" s="73"/>
      <c r="M339" s="73"/>
      <c r="N339" s="90"/>
      <c r="O339" s="90"/>
      <c r="P339" s="32"/>
      <c r="Q339" s="32" t="str">
        <f>BRD_EPIC2[[#This Row],[system type]]&amp;BRD_EPIC2[[#This Row],[system type2]]</f>
        <v/>
      </c>
      <c r="R339" s="32"/>
      <c r="S339" s="32"/>
      <c r="T339" s="203"/>
      <c r="U339" s="203"/>
      <c r="V339" s="203">
        <f>$U339*DE_Cost!$B$1*8</f>
        <v>0</v>
      </c>
      <c r="W339" s="204">
        <f>$U339*DE_Cost!$B$1</f>
        <v>0</v>
      </c>
      <c r="X339" s="204"/>
      <c r="Y339" s="204"/>
      <c r="Z339" s="204">
        <f t="shared" si="9"/>
        <v>1</v>
      </c>
      <c r="AA339" s="203"/>
      <c r="AB339" s="203"/>
      <c r="AC339" s="203"/>
      <c r="AD339" s="204">
        <f t="shared" si="10"/>
        <v>0</v>
      </c>
    </row>
    <row r="340" spans="1:30" ht="38.25" hidden="1" customHeight="1">
      <c r="A340" s="14"/>
      <c r="B340" s="20"/>
      <c r="C340" s="19"/>
      <c r="D340" s="60"/>
      <c r="E340" s="33"/>
      <c r="F340" s="88"/>
      <c r="G340" s="69"/>
      <c r="H340" s="24"/>
      <c r="I340" s="24"/>
      <c r="J340" s="19"/>
      <c r="K340" s="70"/>
      <c r="L340" s="73"/>
      <c r="M340" s="73"/>
      <c r="N340" s="90"/>
      <c r="O340" s="90"/>
      <c r="P340" s="32"/>
      <c r="Q340" s="32" t="str">
        <f>BRD_EPIC2[[#This Row],[system type]]&amp;BRD_EPIC2[[#This Row],[system type2]]</f>
        <v/>
      </c>
      <c r="R340" s="32"/>
      <c r="S340" s="32"/>
      <c r="T340" s="203"/>
      <c r="U340" s="203"/>
      <c r="V340" s="203">
        <f>$U340*DE_Cost!$B$1*8</f>
        <v>0</v>
      </c>
      <c r="W340" s="204">
        <f>$U340*DE_Cost!$B$1</f>
        <v>0</v>
      </c>
      <c r="X340" s="204"/>
      <c r="Y340" s="204"/>
      <c r="Z340" s="204">
        <f t="shared" si="9"/>
        <v>1</v>
      </c>
      <c r="AA340" s="203"/>
      <c r="AB340" s="203"/>
      <c r="AC340" s="203"/>
      <c r="AD340" s="204">
        <f t="shared" si="10"/>
        <v>0</v>
      </c>
    </row>
    <row r="341" spans="1:30" ht="38.25" hidden="1" customHeight="1">
      <c r="A341" s="14"/>
      <c r="B341" s="20"/>
      <c r="C341" s="19"/>
      <c r="D341" s="60"/>
      <c r="E341" s="33"/>
      <c r="F341" s="88"/>
      <c r="G341" s="69"/>
      <c r="H341" s="24"/>
      <c r="I341" s="24"/>
      <c r="J341" s="19"/>
      <c r="K341" s="70"/>
      <c r="L341" s="73"/>
      <c r="M341" s="73"/>
      <c r="N341" s="90"/>
      <c r="O341" s="90"/>
      <c r="P341" s="32"/>
      <c r="Q341" s="32" t="str">
        <f>BRD_EPIC2[[#This Row],[system type]]&amp;BRD_EPIC2[[#This Row],[system type2]]</f>
        <v/>
      </c>
      <c r="R341" s="32"/>
      <c r="S341" s="32"/>
      <c r="T341" s="203"/>
      <c r="U341" s="203"/>
      <c r="V341" s="203">
        <f>$U341*DE_Cost!$B$1*8</f>
        <v>0</v>
      </c>
      <c r="W341" s="204">
        <f>$U341*DE_Cost!$B$1</f>
        <v>0</v>
      </c>
      <c r="X341" s="204"/>
      <c r="Y341" s="204"/>
      <c r="Z341" s="204">
        <f t="shared" si="9"/>
        <v>1</v>
      </c>
      <c r="AA341" s="203"/>
      <c r="AB341" s="203"/>
      <c r="AC341" s="203"/>
      <c r="AD341" s="204">
        <f t="shared" si="10"/>
        <v>0</v>
      </c>
    </row>
    <row r="342" spans="1:30" ht="38.25" hidden="1" customHeight="1">
      <c r="A342" s="14"/>
      <c r="B342" s="20"/>
      <c r="C342" s="19"/>
      <c r="D342" s="60"/>
      <c r="E342" s="33"/>
      <c r="F342" s="88"/>
      <c r="G342" s="69"/>
      <c r="H342" s="24"/>
      <c r="I342" s="24"/>
      <c r="J342" s="19"/>
      <c r="K342" s="70"/>
      <c r="L342" s="73"/>
      <c r="M342" s="73"/>
      <c r="N342" s="90"/>
      <c r="O342" s="90"/>
      <c r="P342" s="32"/>
      <c r="Q342" s="32" t="str">
        <f>BRD_EPIC2[[#This Row],[system type]]&amp;BRD_EPIC2[[#This Row],[system type2]]</f>
        <v/>
      </c>
      <c r="R342" s="32"/>
      <c r="S342" s="32"/>
      <c r="T342" s="203"/>
      <c r="U342" s="203"/>
      <c r="V342" s="203">
        <f>$U342*DE_Cost!$B$1*8</f>
        <v>0</v>
      </c>
      <c r="W342" s="204">
        <f>$U342*DE_Cost!$B$1</f>
        <v>0</v>
      </c>
      <c r="X342" s="204"/>
      <c r="Y342" s="204"/>
      <c r="Z342" s="204">
        <f t="shared" si="9"/>
        <v>1</v>
      </c>
      <c r="AA342" s="203"/>
      <c r="AB342" s="203"/>
      <c r="AC342" s="203"/>
      <c r="AD342" s="204">
        <f t="shared" si="10"/>
        <v>0</v>
      </c>
    </row>
    <row r="343" spans="1:30" ht="38.25" hidden="1" customHeight="1">
      <c r="A343" s="14"/>
      <c r="B343" s="20"/>
      <c r="C343" s="19"/>
      <c r="D343" s="60"/>
      <c r="E343" s="33"/>
      <c r="F343" s="88"/>
      <c r="G343" s="69"/>
      <c r="H343" s="24"/>
      <c r="I343" s="24"/>
      <c r="J343" s="19"/>
      <c r="K343" s="70"/>
      <c r="L343" s="73"/>
      <c r="M343" s="73"/>
      <c r="N343" s="90"/>
      <c r="O343" s="90"/>
      <c r="P343" s="32"/>
      <c r="Q343" s="32" t="str">
        <f>BRD_EPIC2[[#This Row],[system type]]&amp;BRD_EPIC2[[#This Row],[system type2]]</f>
        <v/>
      </c>
      <c r="R343" s="32"/>
      <c r="S343" s="32"/>
      <c r="T343" s="203"/>
      <c r="U343" s="203"/>
      <c r="V343" s="203">
        <f>$U343*DE_Cost!$B$1*8</f>
        <v>0</v>
      </c>
      <c r="W343" s="204">
        <f>$U343*DE_Cost!$B$1</f>
        <v>0</v>
      </c>
      <c r="X343" s="204"/>
      <c r="Y343" s="204"/>
      <c r="Z343" s="204">
        <f t="shared" si="9"/>
        <v>1</v>
      </c>
      <c r="AA343" s="203"/>
      <c r="AB343" s="203"/>
      <c r="AC343" s="203"/>
      <c r="AD343" s="204">
        <f t="shared" si="10"/>
        <v>0</v>
      </c>
    </row>
    <row r="344" spans="1:30" ht="38.25" hidden="1" customHeight="1">
      <c r="A344" s="14"/>
      <c r="B344" s="20"/>
      <c r="C344" s="19"/>
      <c r="D344" s="60"/>
      <c r="E344" s="33"/>
      <c r="F344" s="88"/>
      <c r="G344" s="69"/>
      <c r="H344" s="24"/>
      <c r="I344" s="24"/>
      <c r="J344" s="19"/>
      <c r="K344" s="70"/>
      <c r="L344" s="73"/>
      <c r="M344" s="73"/>
      <c r="N344" s="90"/>
      <c r="O344" s="90"/>
      <c r="P344" s="32"/>
      <c r="Q344" s="32" t="str">
        <f>BRD_EPIC2[[#This Row],[system type]]&amp;BRD_EPIC2[[#This Row],[system type2]]</f>
        <v/>
      </c>
      <c r="R344" s="32"/>
      <c r="S344" s="32"/>
      <c r="T344" s="203"/>
      <c r="U344" s="203"/>
      <c r="V344" s="203">
        <f>$U344*DE_Cost!$B$1*8</f>
        <v>0</v>
      </c>
      <c r="W344" s="204">
        <f>$U344*DE_Cost!$B$1</f>
        <v>0</v>
      </c>
      <c r="X344" s="204"/>
      <c r="Y344" s="204"/>
      <c r="Z344" s="204">
        <f t="shared" si="9"/>
        <v>1</v>
      </c>
      <c r="AA344" s="203"/>
      <c r="AB344" s="203"/>
      <c r="AC344" s="203"/>
      <c r="AD344" s="204">
        <f t="shared" si="10"/>
        <v>0</v>
      </c>
    </row>
    <row r="345" spans="1:30" ht="38.25" hidden="1" customHeight="1">
      <c r="A345" s="14"/>
      <c r="B345" s="20"/>
      <c r="C345" s="19"/>
      <c r="D345" s="60"/>
      <c r="E345" s="33"/>
      <c r="F345" s="88"/>
      <c r="G345" s="69"/>
      <c r="H345" s="24"/>
      <c r="I345" s="24"/>
      <c r="J345" s="19"/>
      <c r="K345" s="70"/>
      <c r="L345" s="73"/>
      <c r="M345" s="73"/>
      <c r="N345" s="90"/>
      <c r="O345" s="90"/>
      <c r="P345" s="32"/>
      <c r="Q345" s="32" t="str">
        <f>BRD_EPIC2[[#This Row],[system type]]&amp;BRD_EPIC2[[#This Row],[system type2]]</f>
        <v/>
      </c>
      <c r="R345" s="32"/>
      <c r="S345" s="32"/>
      <c r="T345" s="203"/>
      <c r="U345" s="203"/>
      <c r="V345" s="203">
        <f>$U345*DE_Cost!$B$1*8</f>
        <v>0</v>
      </c>
      <c r="W345" s="204">
        <f>$U345*DE_Cost!$B$1</f>
        <v>0</v>
      </c>
      <c r="X345" s="204"/>
      <c r="Y345" s="204"/>
      <c r="Z345" s="204">
        <f t="shared" si="9"/>
        <v>1</v>
      </c>
      <c r="AA345" s="203"/>
      <c r="AB345" s="203"/>
      <c r="AC345" s="203"/>
      <c r="AD345" s="204">
        <f t="shared" si="10"/>
        <v>0</v>
      </c>
    </row>
    <row r="346" spans="1:30" ht="38.25" hidden="1" customHeight="1">
      <c r="A346" s="14"/>
      <c r="B346" s="20"/>
      <c r="C346" s="19"/>
      <c r="D346" s="60"/>
      <c r="E346" s="33"/>
      <c r="F346" s="88"/>
      <c r="G346" s="69"/>
      <c r="H346" s="24"/>
      <c r="I346" s="24"/>
      <c r="J346" s="19"/>
      <c r="K346" s="70"/>
      <c r="L346" s="73"/>
      <c r="M346" s="73"/>
      <c r="N346" s="90"/>
      <c r="O346" s="90"/>
      <c r="P346" s="32"/>
      <c r="Q346" s="32" t="str">
        <f>BRD_EPIC2[[#This Row],[system type]]&amp;BRD_EPIC2[[#This Row],[system type2]]</f>
        <v/>
      </c>
      <c r="R346" s="32"/>
      <c r="S346" s="32"/>
      <c r="T346" s="203"/>
      <c r="U346" s="203"/>
      <c r="V346" s="203">
        <f>$U346*DE_Cost!$B$1*8</f>
        <v>0</v>
      </c>
      <c r="W346" s="204">
        <f>$U346*DE_Cost!$B$1</f>
        <v>0</v>
      </c>
      <c r="X346" s="204"/>
      <c r="Y346" s="204"/>
      <c r="Z346" s="204">
        <f t="shared" si="9"/>
        <v>1</v>
      </c>
      <c r="AA346" s="203"/>
      <c r="AB346" s="203"/>
      <c r="AC346" s="203"/>
      <c r="AD346" s="204">
        <f t="shared" si="10"/>
        <v>0</v>
      </c>
    </row>
    <row r="347" spans="1:30" ht="38.25" hidden="1" customHeight="1">
      <c r="A347" s="14"/>
      <c r="B347" s="20"/>
      <c r="C347" s="19"/>
      <c r="D347" s="60"/>
      <c r="E347" s="33"/>
      <c r="F347" s="88"/>
      <c r="G347" s="69"/>
      <c r="H347" s="24"/>
      <c r="I347" s="24"/>
      <c r="J347" s="19"/>
      <c r="K347" s="70"/>
      <c r="L347" s="73"/>
      <c r="M347" s="73"/>
      <c r="N347" s="90"/>
      <c r="O347" s="90"/>
      <c r="P347" s="32"/>
      <c r="Q347" s="32" t="str">
        <f>BRD_EPIC2[[#This Row],[system type]]&amp;BRD_EPIC2[[#This Row],[system type2]]</f>
        <v/>
      </c>
      <c r="R347" s="32"/>
      <c r="S347" s="32"/>
      <c r="T347" s="203"/>
      <c r="U347" s="203"/>
      <c r="V347" s="203">
        <f>$U347*DE_Cost!$B$1*8</f>
        <v>0</v>
      </c>
      <c r="W347" s="204">
        <f>$U347*DE_Cost!$B$1</f>
        <v>0</v>
      </c>
      <c r="X347" s="204"/>
      <c r="Y347" s="204"/>
      <c r="Z347" s="204">
        <f t="shared" si="9"/>
        <v>1</v>
      </c>
      <c r="AA347" s="203"/>
      <c r="AB347" s="203"/>
      <c r="AC347" s="203"/>
      <c r="AD347" s="204">
        <f t="shared" si="10"/>
        <v>0</v>
      </c>
    </row>
    <row r="348" spans="1:30" ht="38.25" hidden="1" customHeight="1">
      <c r="A348" s="14"/>
      <c r="B348" s="20"/>
      <c r="C348" s="19"/>
      <c r="D348" s="60"/>
      <c r="E348" s="33"/>
      <c r="F348" s="88"/>
      <c r="G348" s="69"/>
      <c r="H348" s="24"/>
      <c r="I348" s="24"/>
      <c r="J348" s="19"/>
      <c r="K348" s="70"/>
      <c r="L348" s="73"/>
      <c r="M348" s="73"/>
      <c r="N348" s="90"/>
      <c r="O348" s="90"/>
      <c r="P348" s="32"/>
      <c r="Q348" s="32" t="str">
        <f>BRD_EPIC2[[#This Row],[system type]]&amp;BRD_EPIC2[[#This Row],[system type2]]</f>
        <v/>
      </c>
      <c r="R348" s="32"/>
      <c r="S348" s="32"/>
      <c r="T348" s="203"/>
      <c r="U348" s="203"/>
      <c r="V348" s="203">
        <f>$U348*DE_Cost!$B$1*8</f>
        <v>0</v>
      </c>
      <c r="W348" s="204">
        <f>$U348*DE_Cost!$B$1</f>
        <v>0</v>
      </c>
      <c r="X348" s="204"/>
      <c r="Y348" s="204"/>
      <c r="Z348" s="204">
        <f t="shared" si="9"/>
        <v>1</v>
      </c>
      <c r="AA348" s="203"/>
      <c r="AB348" s="203"/>
      <c r="AC348" s="203"/>
      <c r="AD348" s="204">
        <f t="shared" si="10"/>
        <v>0</v>
      </c>
    </row>
    <row r="349" spans="1:30" ht="38.25" hidden="1" customHeight="1">
      <c r="A349" s="14"/>
      <c r="B349" s="20"/>
      <c r="C349" s="19"/>
      <c r="D349" s="60"/>
      <c r="E349" s="33"/>
      <c r="F349" s="88"/>
      <c r="G349" s="69"/>
      <c r="H349" s="24"/>
      <c r="I349" s="24"/>
      <c r="J349" s="19"/>
      <c r="K349" s="70"/>
      <c r="L349" s="73"/>
      <c r="M349" s="73"/>
      <c r="N349" s="90"/>
      <c r="O349" s="90"/>
      <c r="P349" s="32"/>
      <c r="Q349" s="32" t="str">
        <f>BRD_EPIC2[[#This Row],[system type]]&amp;BRD_EPIC2[[#This Row],[system type2]]</f>
        <v/>
      </c>
      <c r="R349" s="32"/>
      <c r="S349" s="32"/>
      <c r="T349" s="203"/>
      <c r="U349" s="203"/>
      <c r="V349" s="203">
        <f>$U349*DE_Cost!$B$1*8</f>
        <v>0</v>
      </c>
      <c r="W349" s="204">
        <f>$U349*DE_Cost!$B$1</f>
        <v>0</v>
      </c>
      <c r="X349" s="204"/>
      <c r="Y349" s="204"/>
      <c r="Z349" s="204">
        <f t="shared" si="9"/>
        <v>1</v>
      </c>
      <c r="AA349" s="203"/>
      <c r="AB349" s="203"/>
      <c r="AC349" s="203"/>
      <c r="AD349" s="204">
        <f t="shared" si="10"/>
        <v>0</v>
      </c>
    </row>
    <row r="350" spans="1:30" ht="38.25" hidden="1" customHeight="1">
      <c r="A350" s="14"/>
      <c r="B350" s="20"/>
      <c r="C350" s="19"/>
      <c r="D350" s="60"/>
      <c r="E350" s="33"/>
      <c r="F350" s="88"/>
      <c r="G350" s="69"/>
      <c r="H350" s="24"/>
      <c r="I350" s="24"/>
      <c r="J350" s="19"/>
      <c r="K350" s="70"/>
      <c r="L350" s="73"/>
      <c r="M350" s="73"/>
      <c r="N350" s="90"/>
      <c r="O350" s="90"/>
      <c r="P350" s="32"/>
      <c r="Q350" s="32" t="str">
        <f>BRD_EPIC2[[#This Row],[system type]]&amp;BRD_EPIC2[[#This Row],[system type2]]</f>
        <v/>
      </c>
      <c r="R350" s="32"/>
      <c r="S350" s="32"/>
      <c r="T350" s="203"/>
      <c r="U350" s="203"/>
      <c r="V350" s="203">
        <f>$U350*DE_Cost!$B$1*8</f>
        <v>0</v>
      </c>
      <c r="W350" s="204">
        <f>$U350*DE_Cost!$B$1</f>
        <v>0</v>
      </c>
      <c r="X350" s="204"/>
      <c r="Y350" s="204"/>
      <c r="Z350" s="204">
        <f t="shared" si="9"/>
        <v>1</v>
      </c>
      <c r="AA350" s="203"/>
      <c r="AB350" s="203"/>
      <c r="AC350" s="203"/>
      <c r="AD350" s="204">
        <f t="shared" si="10"/>
        <v>0</v>
      </c>
    </row>
    <row r="351" spans="1:30" ht="38.25" hidden="1" customHeight="1">
      <c r="A351" s="14"/>
      <c r="B351" s="20"/>
      <c r="C351" s="19"/>
      <c r="D351" s="60"/>
      <c r="E351" s="33"/>
      <c r="F351" s="88"/>
      <c r="G351" s="69"/>
      <c r="H351" s="24"/>
      <c r="I351" s="24"/>
      <c r="J351" s="19"/>
      <c r="K351" s="70"/>
      <c r="L351" s="73"/>
      <c r="M351" s="73"/>
      <c r="N351" s="90"/>
      <c r="O351" s="90"/>
      <c r="P351" s="32"/>
      <c r="Q351" s="32" t="str">
        <f>BRD_EPIC2[[#This Row],[system type]]&amp;BRD_EPIC2[[#This Row],[system type2]]</f>
        <v/>
      </c>
      <c r="R351" s="32"/>
      <c r="S351" s="32"/>
      <c r="T351" s="203"/>
      <c r="U351" s="203"/>
      <c r="V351" s="203">
        <f>$U351*DE_Cost!$B$1*8</f>
        <v>0</v>
      </c>
      <c r="W351" s="204">
        <f>$U351*DE_Cost!$B$1</f>
        <v>0</v>
      </c>
      <c r="X351" s="204"/>
      <c r="Y351" s="204"/>
      <c r="Z351" s="204">
        <f t="shared" si="9"/>
        <v>1</v>
      </c>
      <c r="AA351" s="203"/>
      <c r="AB351" s="203"/>
      <c r="AC351" s="203"/>
      <c r="AD351" s="204">
        <f t="shared" si="10"/>
        <v>0</v>
      </c>
    </row>
    <row r="352" spans="1:30" ht="38.25" hidden="1" customHeight="1">
      <c r="A352" s="14"/>
      <c r="B352" s="20"/>
      <c r="C352" s="19"/>
      <c r="D352" s="60"/>
      <c r="E352" s="33"/>
      <c r="F352" s="88"/>
      <c r="G352" s="69"/>
      <c r="H352" s="24"/>
      <c r="I352" s="24"/>
      <c r="J352" s="19"/>
      <c r="K352" s="70"/>
      <c r="L352" s="73"/>
      <c r="M352" s="73"/>
      <c r="N352" s="90"/>
      <c r="O352" s="90"/>
      <c r="P352" s="32"/>
      <c r="Q352" s="32" t="str">
        <f>BRD_EPIC2[[#This Row],[system type]]&amp;BRD_EPIC2[[#This Row],[system type2]]</f>
        <v/>
      </c>
      <c r="R352" s="32"/>
      <c r="S352" s="32"/>
      <c r="T352" s="203"/>
      <c r="U352" s="203"/>
      <c r="V352" s="203">
        <f>$U352*DE_Cost!$B$1*8</f>
        <v>0</v>
      </c>
      <c r="W352" s="204">
        <f>$U352*DE_Cost!$B$1</f>
        <v>0</v>
      </c>
      <c r="X352" s="204"/>
      <c r="Y352" s="204"/>
      <c r="Z352" s="204">
        <f t="shared" si="9"/>
        <v>1</v>
      </c>
      <c r="AA352" s="203"/>
      <c r="AB352" s="203"/>
      <c r="AC352" s="203"/>
      <c r="AD352" s="204">
        <f t="shared" si="10"/>
        <v>0</v>
      </c>
    </row>
    <row r="353" spans="1:30" ht="38.25" hidden="1" customHeight="1">
      <c r="A353" s="14"/>
      <c r="B353" s="20"/>
      <c r="C353" s="19"/>
      <c r="D353" s="60"/>
      <c r="E353" s="33"/>
      <c r="F353" s="88"/>
      <c r="G353" s="69"/>
      <c r="H353" s="24"/>
      <c r="I353" s="24"/>
      <c r="J353" s="19"/>
      <c r="K353" s="70"/>
      <c r="L353" s="73"/>
      <c r="M353" s="73"/>
      <c r="N353" s="90"/>
      <c r="O353" s="90"/>
      <c r="P353" s="32"/>
      <c r="Q353" s="32" t="str">
        <f>BRD_EPIC2[[#This Row],[system type]]&amp;BRD_EPIC2[[#This Row],[system type2]]</f>
        <v/>
      </c>
      <c r="R353" s="32"/>
      <c r="S353" s="32"/>
      <c r="T353" s="203"/>
      <c r="U353" s="203"/>
      <c r="V353" s="203">
        <f>$U353*DE_Cost!$B$1*8</f>
        <v>0</v>
      </c>
      <c r="W353" s="204">
        <f>$U353*DE_Cost!$B$1</f>
        <v>0</v>
      </c>
      <c r="X353" s="204"/>
      <c r="Y353" s="204"/>
      <c r="Z353" s="204">
        <f t="shared" si="9"/>
        <v>1</v>
      </c>
      <c r="AA353" s="203"/>
      <c r="AB353" s="203"/>
      <c r="AC353" s="203"/>
      <c r="AD353" s="204">
        <f t="shared" si="10"/>
        <v>0</v>
      </c>
    </row>
    <row r="354" spans="1:30" ht="38.25" hidden="1" customHeight="1">
      <c r="A354" s="14"/>
      <c r="B354" s="20"/>
      <c r="C354" s="19"/>
      <c r="D354" s="60"/>
      <c r="E354" s="33"/>
      <c r="F354" s="88"/>
      <c r="G354" s="69"/>
      <c r="H354" s="24"/>
      <c r="I354" s="24"/>
      <c r="J354" s="19"/>
      <c r="K354" s="70"/>
      <c r="L354" s="73"/>
      <c r="M354" s="73"/>
      <c r="N354" s="90"/>
      <c r="O354" s="90"/>
      <c r="P354" s="32"/>
      <c r="Q354" s="32" t="str">
        <f>BRD_EPIC2[[#This Row],[system type]]&amp;BRD_EPIC2[[#This Row],[system type2]]</f>
        <v/>
      </c>
      <c r="R354" s="32"/>
      <c r="S354" s="32"/>
      <c r="T354" s="203"/>
      <c r="U354" s="203"/>
      <c r="V354" s="203">
        <f>$U354*DE_Cost!$B$1*8</f>
        <v>0</v>
      </c>
      <c r="W354" s="204">
        <f>$U354*DE_Cost!$B$1</f>
        <v>0</v>
      </c>
      <c r="X354" s="204"/>
      <c r="Y354" s="204"/>
      <c r="Z354" s="204">
        <f t="shared" si="9"/>
        <v>1</v>
      </c>
      <c r="AA354" s="203"/>
      <c r="AB354" s="203"/>
      <c r="AC354" s="203"/>
      <c r="AD354" s="204">
        <f t="shared" si="10"/>
        <v>0</v>
      </c>
    </row>
    <row r="355" spans="1:30" ht="38.25" hidden="1" customHeight="1">
      <c r="A355" s="14"/>
      <c r="B355" s="20"/>
      <c r="C355" s="19"/>
      <c r="D355" s="60"/>
      <c r="E355" s="33"/>
      <c r="F355" s="88"/>
      <c r="G355" s="69"/>
      <c r="H355" s="24"/>
      <c r="I355" s="24"/>
      <c r="J355" s="19"/>
      <c r="K355" s="70"/>
      <c r="L355" s="73"/>
      <c r="M355" s="73"/>
      <c r="N355" s="90"/>
      <c r="O355" s="90"/>
      <c r="P355" s="32"/>
      <c r="Q355" s="32" t="str">
        <f>BRD_EPIC2[[#This Row],[system type]]&amp;BRD_EPIC2[[#This Row],[system type2]]</f>
        <v/>
      </c>
      <c r="R355" s="32"/>
      <c r="S355" s="32"/>
      <c r="T355" s="203"/>
      <c r="U355" s="203"/>
      <c r="V355" s="203">
        <f>$U355*DE_Cost!$B$1*8</f>
        <v>0</v>
      </c>
      <c r="W355" s="204">
        <f>$U355*DE_Cost!$B$1</f>
        <v>0</v>
      </c>
      <c r="X355" s="204"/>
      <c r="Y355" s="204"/>
      <c r="Z355" s="204">
        <f t="shared" si="9"/>
        <v>1</v>
      </c>
      <c r="AA355" s="203"/>
      <c r="AB355" s="203"/>
      <c r="AC355" s="203"/>
      <c r="AD355" s="204">
        <f t="shared" si="10"/>
        <v>0</v>
      </c>
    </row>
    <row r="356" spans="1:30" ht="38.25" hidden="1" customHeight="1">
      <c r="A356" s="14"/>
      <c r="B356" s="20"/>
      <c r="C356" s="19"/>
      <c r="D356" s="60"/>
      <c r="E356" s="33"/>
      <c r="F356" s="88"/>
      <c r="G356" s="69"/>
      <c r="H356" s="24"/>
      <c r="I356" s="24"/>
      <c r="J356" s="19"/>
      <c r="K356" s="70"/>
      <c r="L356" s="73"/>
      <c r="M356" s="73"/>
      <c r="N356" s="90"/>
      <c r="O356" s="90"/>
      <c r="P356" s="32"/>
      <c r="Q356" s="32" t="str">
        <f>BRD_EPIC2[[#This Row],[system type]]&amp;BRD_EPIC2[[#This Row],[system type2]]</f>
        <v/>
      </c>
      <c r="R356" s="32"/>
      <c r="S356" s="32"/>
      <c r="T356" s="203"/>
      <c r="U356" s="203"/>
      <c r="V356" s="203">
        <f>$U356*DE_Cost!$B$1*8</f>
        <v>0</v>
      </c>
      <c r="W356" s="204">
        <f>$U356*DE_Cost!$B$1</f>
        <v>0</v>
      </c>
      <c r="X356" s="204"/>
      <c r="Y356" s="204"/>
      <c r="Z356" s="204">
        <f t="shared" ref="Z356:Z398" si="11">LEN(Q356) - LEN(SUBSTITUTE(Q356, "&amp;", "")) + 1</f>
        <v>1</v>
      </c>
      <c r="AA356" s="203"/>
      <c r="AB356" s="203"/>
      <c r="AC356" s="203"/>
      <c r="AD356" s="204">
        <f t="shared" si="10"/>
        <v>0</v>
      </c>
    </row>
    <row r="357" spans="1:30" ht="38.25" hidden="1" customHeight="1">
      <c r="A357" s="14"/>
      <c r="B357" s="20"/>
      <c r="C357" s="19"/>
      <c r="D357" s="60"/>
      <c r="E357" s="33"/>
      <c r="F357" s="88"/>
      <c r="G357" s="69"/>
      <c r="H357" s="24"/>
      <c r="I357" s="24"/>
      <c r="J357" s="19"/>
      <c r="K357" s="70"/>
      <c r="L357" s="73"/>
      <c r="M357" s="73"/>
      <c r="N357" s="90"/>
      <c r="O357" s="90"/>
      <c r="P357" s="32"/>
      <c r="Q357" s="32" t="str">
        <f>BRD_EPIC2[[#This Row],[system type]]&amp;BRD_EPIC2[[#This Row],[system type2]]</f>
        <v/>
      </c>
      <c r="R357" s="32"/>
      <c r="S357" s="32"/>
      <c r="T357" s="203"/>
      <c r="U357" s="203"/>
      <c r="V357" s="203">
        <f>$U357*DE_Cost!$B$1*8</f>
        <v>0</v>
      </c>
      <c r="W357" s="204">
        <f>$U357*DE_Cost!$B$1</f>
        <v>0</v>
      </c>
      <c r="X357" s="204"/>
      <c r="Y357" s="204"/>
      <c r="Z357" s="204">
        <f t="shared" si="11"/>
        <v>1</v>
      </c>
      <c r="AA357" s="203"/>
      <c r="AB357" s="203"/>
      <c r="AC357" s="203"/>
      <c r="AD357" s="204">
        <f t="shared" si="10"/>
        <v>0</v>
      </c>
    </row>
    <row r="358" spans="1:30" ht="38.25" hidden="1" customHeight="1">
      <c r="A358" s="14"/>
      <c r="B358" s="20"/>
      <c r="C358" s="19"/>
      <c r="D358" s="60"/>
      <c r="E358" s="33"/>
      <c r="F358" s="88"/>
      <c r="G358" s="69"/>
      <c r="H358" s="24"/>
      <c r="I358" s="24"/>
      <c r="J358" s="19"/>
      <c r="K358" s="70"/>
      <c r="L358" s="73"/>
      <c r="M358" s="73"/>
      <c r="N358" s="90"/>
      <c r="O358" s="90"/>
      <c r="P358" s="32"/>
      <c r="Q358" s="32" t="str">
        <f>BRD_EPIC2[[#This Row],[system type]]&amp;BRD_EPIC2[[#This Row],[system type2]]</f>
        <v/>
      </c>
      <c r="R358" s="32"/>
      <c r="S358" s="32"/>
      <c r="T358" s="203"/>
      <c r="U358" s="203"/>
      <c r="V358" s="203">
        <f>$U358*DE_Cost!$B$1*8</f>
        <v>0</v>
      </c>
      <c r="W358" s="204">
        <f>$U358*DE_Cost!$B$1</f>
        <v>0</v>
      </c>
      <c r="X358" s="204"/>
      <c r="Y358" s="204"/>
      <c r="Z358" s="204">
        <f t="shared" si="11"/>
        <v>1</v>
      </c>
      <c r="AA358" s="203"/>
      <c r="AB358" s="203"/>
      <c r="AC358" s="203"/>
      <c r="AD358" s="204">
        <f t="shared" si="10"/>
        <v>0</v>
      </c>
    </row>
    <row r="359" spans="1:30" ht="38.25" hidden="1" customHeight="1">
      <c r="A359" s="14"/>
      <c r="B359" s="20"/>
      <c r="C359" s="19"/>
      <c r="D359" s="60"/>
      <c r="E359" s="33"/>
      <c r="F359" s="88"/>
      <c r="G359" s="69"/>
      <c r="H359" s="24"/>
      <c r="I359" s="24"/>
      <c r="J359" s="19"/>
      <c r="K359" s="70"/>
      <c r="L359" s="73"/>
      <c r="M359" s="73"/>
      <c r="N359" s="90"/>
      <c r="O359" s="90"/>
      <c r="P359" s="32"/>
      <c r="Q359" s="32" t="str">
        <f>BRD_EPIC2[[#This Row],[system type]]&amp;BRD_EPIC2[[#This Row],[system type2]]</f>
        <v/>
      </c>
      <c r="R359" s="32"/>
      <c r="S359" s="32"/>
      <c r="T359" s="203"/>
      <c r="U359" s="203"/>
      <c r="V359" s="203">
        <f>$U359*DE_Cost!$B$1*8</f>
        <v>0</v>
      </c>
      <c r="W359" s="204">
        <f>$U359*DE_Cost!$B$1</f>
        <v>0</v>
      </c>
      <c r="X359" s="204"/>
      <c r="Y359" s="204"/>
      <c r="Z359" s="204">
        <f t="shared" si="11"/>
        <v>1</v>
      </c>
      <c r="AA359" s="203"/>
      <c r="AB359" s="203"/>
      <c r="AC359" s="203"/>
      <c r="AD359" s="204">
        <f t="shared" si="10"/>
        <v>0</v>
      </c>
    </row>
    <row r="360" spans="1:30" ht="38.25" hidden="1" customHeight="1">
      <c r="A360" s="14"/>
      <c r="B360" s="20"/>
      <c r="C360" s="19"/>
      <c r="D360" s="60"/>
      <c r="E360" s="33"/>
      <c r="F360" s="88"/>
      <c r="G360" s="69"/>
      <c r="H360" s="24"/>
      <c r="I360" s="24"/>
      <c r="J360" s="19"/>
      <c r="K360" s="70"/>
      <c r="L360" s="73"/>
      <c r="M360" s="73"/>
      <c r="N360" s="90"/>
      <c r="O360" s="90"/>
      <c r="P360" s="32"/>
      <c r="Q360" s="32" t="str">
        <f>BRD_EPIC2[[#This Row],[system type]]&amp;BRD_EPIC2[[#This Row],[system type2]]</f>
        <v/>
      </c>
      <c r="R360" s="32"/>
      <c r="S360" s="32"/>
      <c r="T360" s="203"/>
      <c r="U360" s="203"/>
      <c r="V360" s="203">
        <f>$U360*DE_Cost!$B$1*8</f>
        <v>0</v>
      </c>
      <c r="W360" s="204">
        <f>$U360*DE_Cost!$B$1</f>
        <v>0</v>
      </c>
      <c r="X360" s="204"/>
      <c r="Y360" s="204"/>
      <c r="Z360" s="204">
        <f t="shared" si="11"/>
        <v>1</v>
      </c>
      <c r="AA360" s="203"/>
      <c r="AB360" s="203"/>
      <c r="AC360" s="203"/>
      <c r="AD360" s="204">
        <f t="shared" si="10"/>
        <v>0</v>
      </c>
    </row>
    <row r="361" spans="1:30" ht="38.25" hidden="1" customHeight="1">
      <c r="A361" s="14"/>
      <c r="B361" s="20"/>
      <c r="C361" s="19"/>
      <c r="D361" s="60"/>
      <c r="E361" s="33"/>
      <c r="F361" s="88"/>
      <c r="G361" s="69"/>
      <c r="H361" s="24"/>
      <c r="I361" s="24"/>
      <c r="J361" s="19"/>
      <c r="K361" s="70"/>
      <c r="L361" s="73"/>
      <c r="M361" s="73"/>
      <c r="N361" s="90"/>
      <c r="O361" s="90"/>
      <c r="P361" s="32"/>
      <c r="Q361" s="32" t="str">
        <f>BRD_EPIC2[[#This Row],[system type]]&amp;BRD_EPIC2[[#This Row],[system type2]]</f>
        <v/>
      </c>
      <c r="R361" s="32"/>
      <c r="S361" s="32"/>
      <c r="T361" s="203"/>
      <c r="U361" s="203"/>
      <c r="V361" s="203">
        <f>$U361*DE_Cost!$B$1*8</f>
        <v>0</v>
      </c>
      <c r="W361" s="204">
        <f>$U361*DE_Cost!$B$1</f>
        <v>0</v>
      </c>
      <c r="X361" s="204"/>
      <c r="Y361" s="204"/>
      <c r="Z361" s="204">
        <f t="shared" si="11"/>
        <v>1</v>
      </c>
      <c r="AA361" s="203"/>
      <c r="AB361" s="203"/>
      <c r="AC361" s="203"/>
      <c r="AD361" s="204">
        <f t="shared" si="10"/>
        <v>0</v>
      </c>
    </row>
    <row r="362" spans="1:30" ht="38.25" hidden="1" customHeight="1">
      <c r="A362" s="14"/>
      <c r="B362" s="20"/>
      <c r="C362" s="19"/>
      <c r="D362" s="60"/>
      <c r="E362" s="33"/>
      <c r="F362" s="88"/>
      <c r="G362" s="69"/>
      <c r="H362" s="24"/>
      <c r="I362" s="24"/>
      <c r="J362" s="19"/>
      <c r="K362" s="70"/>
      <c r="L362" s="73"/>
      <c r="M362" s="73"/>
      <c r="N362" s="90"/>
      <c r="O362" s="90"/>
      <c r="P362" s="32"/>
      <c r="Q362" s="32" t="str">
        <f>BRD_EPIC2[[#This Row],[system type]]&amp;BRD_EPIC2[[#This Row],[system type2]]</f>
        <v/>
      </c>
      <c r="R362" s="32"/>
      <c r="S362" s="32"/>
      <c r="T362" s="203"/>
      <c r="U362" s="203"/>
      <c r="V362" s="203">
        <f>$U362*DE_Cost!$B$1*8</f>
        <v>0</v>
      </c>
      <c r="W362" s="204">
        <f>$U362*DE_Cost!$B$1</f>
        <v>0</v>
      </c>
      <c r="X362" s="204"/>
      <c r="Y362" s="204"/>
      <c r="Z362" s="204">
        <f t="shared" si="11"/>
        <v>1</v>
      </c>
      <c r="AA362" s="203"/>
      <c r="AB362" s="203"/>
      <c r="AC362" s="203"/>
      <c r="AD362" s="204">
        <f t="shared" si="10"/>
        <v>0</v>
      </c>
    </row>
    <row r="363" spans="1:30" ht="38.25" hidden="1" customHeight="1">
      <c r="A363" s="14"/>
      <c r="B363" s="20"/>
      <c r="C363" s="19"/>
      <c r="D363" s="60"/>
      <c r="E363" s="33"/>
      <c r="F363" s="88"/>
      <c r="G363" s="69"/>
      <c r="H363" s="24"/>
      <c r="I363" s="24"/>
      <c r="J363" s="19"/>
      <c r="K363" s="70"/>
      <c r="L363" s="73"/>
      <c r="M363" s="73"/>
      <c r="N363" s="90"/>
      <c r="O363" s="90"/>
      <c r="P363" s="32"/>
      <c r="Q363" s="32" t="str">
        <f>BRD_EPIC2[[#This Row],[system type]]&amp;BRD_EPIC2[[#This Row],[system type2]]</f>
        <v/>
      </c>
      <c r="R363" s="32"/>
      <c r="S363" s="32"/>
      <c r="T363" s="203"/>
      <c r="U363" s="203"/>
      <c r="V363" s="203">
        <f>$U363*DE_Cost!$B$1*8</f>
        <v>0</v>
      </c>
      <c r="W363" s="204">
        <f>$U363*DE_Cost!$B$1</f>
        <v>0</v>
      </c>
      <c r="X363" s="204"/>
      <c r="Y363" s="204"/>
      <c r="Z363" s="204">
        <f t="shared" si="11"/>
        <v>1</v>
      </c>
      <c r="AA363" s="203"/>
      <c r="AB363" s="203"/>
      <c r="AC363" s="203"/>
      <c r="AD363" s="204">
        <f t="shared" si="10"/>
        <v>0</v>
      </c>
    </row>
    <row r="364" spans="1:30" ht="38.25" hidden="1" customHeight="1">
      <c r="A364" s="14"/>
      <c r="B364" s="20"/>
      <c r="C364" s="19"/>
      <c r="D364" s="60"/>
      <c r="E364" s="33"/>
      <c r="F364" s="88"/>
      <c r="G364" s="69"/>
      <c r="H364" s="24"/>
      <c r="I364" s="24"/>
      <c r="J364" s="19"/>
      <c r="K364" s="70"/>
      <c r="L364" s="73"/>
      <c r="M364" s="73"/>
      <c r="N364" s="90"/>
      <c r="O364" s="90"/>
      <c r="P364" s="32"/>
      <c r="Q364" s="32" t="str">
        <f>BRD_EPIC2[[#This Row],[system type]]&amp;BRD_EPIC2[[#This Row],[system type2]]</f>
        <v/>
      </c>
      <c r="R364" s="32"/>
      <c r="S364" s="32"/>
      <c r="T364" s="203"/>
      <c r="U364" s="203"/>
      <c r="V364" s="203">
        <f>$U364*DE_Cost!$B$1*8</f>
        <v>0</v>
      </c>
      <c r="W364" s="204">
        <f>$U364*DE_Cost!$B$1</f>
        <v>0</v>
      </c>
      <c r="X364" s="204"/>
      <c r="Y364" s="204"/>
      <c r="Z364" s="204">
        <f t="shared" si="11"/>
        <v>1</v>
      </c>
      <c r="AA364" s="203"/>
      <c r="AB364" s="203"/>
      <c r="AC364" s="203"/>
      <c r="AD364" s="204">
        <f t="shared" si="10"/>
        <v>0</v>
      </c>
    </row>
    <row r="365" spans="1:30" ht="38.25" hidden="1" customHeight="1">
      <c r="A365" s="14"/>
      <c r="B365" s="20"/>
      <c r="C365" s="19"/>
      <c r="D365" s="60"/>
      <c r="E365" s="33"/>
      <c r="F365" s="88"/>
      <c r="G365" s="69"/>
      <c r="H365" s="24"/>
      <c r="I365" s="24"/>
      <c r="J365" s="19"/>
      <c r="K365" s="70"/>
      <c r="L365" s="73"/>
      <c r="M365" s="73"/>
      <c r="N365" s="90"/>
      <c r="O365" s="90"/>
      <c r="P365" s="32"/>
      <c r="Q365" s="32" t="str">
        <f>BRD_EPIC2[[#This Row],[system type]]&amp;BRD_EPIC2[[#This Row],[system type2]]</f>
        <v/>
      </c>
      <c r="R365" s="32"/>
      <c r="S365" s="32"/>
      <c r="T365" s="203"/>
      <c r="U365" s="203"/>
      <c r="V365" s="203">
        <f>$U365*DE_Cost!$B$1*8</f>
        <v>0</v>
      </c>
      <c r="W365" s="204">
        <f>$U365*DE_Cost!$B$1</f>
        <v>0</v>
      </c>
      <c r="X365" s="204"/>
      <c r="Y365" s="204"/>
      <c r="Z365" s="204">
        <f t="shared" si="11"/>
        <v>1</v>
      </c>
      <c r="AA365" s="203"/>
      <c r="AB365" s="203"/>
      <c r="AC365" s="203"/>
      <c r="AD365" s="204">
        <f t="shared" si="10"/>
        <v>0</v>
      </c>
    </row>
    <row r="366" spans="1:30" ht="38.25" hidden="1" customHeight="1">
      <c r="A366" s="14"/>
      <c r="B366" s="20"/>
      <c r="C366" s="19"/>
      <c r="D366" s="60"/>
      <c r="E366" s="33"/>
      <c r="F366" s="88"/>
      <c r="G366" s="69"/>
      <c r="H366" s="24"/>
      <c r="I366" s="24"/>
      <c r="J366" s="19"/>
      <c r="K366" s="70"/>
      <c r="L366" s="73"/>
      <c r="M366" s="73"/>
      <c r="N366" s="90"/>
      <c r="O366" s="90"/>
      <c r="P366" s="32"/>
      <c r="Q366" s="32" t="str">
        <f>BRD_EPIC2[[#This Row],[system type]]&amp;BRD_EPIC2[[#This Row],[system type2]]</f>
        <v/>
      </c>
      <c r="R366" s="32"/>
      <c r="S366" s="32"/>
      <c r="T366" s="203"/>
      <c r="U366" s="203"/>
      <c r="V366" s="203">
        <f>$U366*DE_Cost!$B$1*8</f>
        <v>0</v>
      </c>
      <c r="W366" s="204">
        <f>$U366*DE_Cost!$B$1</f>
        <v>0</v>
      </c>
      <c r="X366" s="204"/>
      <c r="Y366" s="204"/>
      <c r="Z366" s="204">
        <f t="shared" si="11"/>
        <v>1</v>
      </c>
      <c r="AA366" s="203"/>
      <c r="AB366" s="203"/>
      <c r="AC366" s="203"/>
      <c r="AD366" s="204">
        <f t="shared" si="10"/>
        <v>0</v>
      </c>
    </row>
    <row r="367" spans="1:30" ht="38.25" hidden="1" customHeight="1">
      <c r="A367" s="14"/>
      <c r="B367" s="20"/>
      <c r="C367" s="19"/>
      <c r="D367" s="60"/>
      <c r="E367" s="33"/>
      <c r="F367" s="88"/>
      <c r="G367" s="69"/>
      <c r="H367" s="24"/>
      <c r="I367" s="24"/>
      <c r="J367" s="19"/>
      <c r="K367" s="70"/>
      <c r="L367" s="73"/>
      <c r="M367" s="73"/>
      <c r="N367" s="90"/>
      <c r="O367" s="90"/>
      <c r="P367" s="32"/>
      <c r="Q367" s="32" t="str">
        <f>BRD_EPIC2[[#This Row],[system type]]&amp;BRD_EPIC2[[#This Row],[system type2]]</f>
        <v/>
      </c>
      <c r="R367" s="32"/>
      <c r="S367" s="32"/>
      <c r="T367" s="203"/>
      <c r="U367" s="203"/>
      <c r="V367" s="203">
        <f>$U367*DE_Cost!$B$1*8</f>
        <v>0</v>
      </c>
      <c r="W367" s="204">
        <f>$U367*DE_Cost!$B$1</f>
        <v>0</v>
      </c>
      <c r="X367" s="204"/>
      <c r="Y367" s="204"/>
      <c r="Z367" s="204">
        <f t="shared" si="11"/>
        <v>1</v>
      </c>
      <c r="AA367" s="203"/>
      <c r="AB367" s="203"/>
      <c r="AC367" s="203"/>
      <c r="AD367" s="204">
        <f t="shared" si="10"/>
        <v>0</v>
      </c>
    </row>
    <row r="368" spans="1:30" ht="38.25" hidden="1" customHeight="1">
      <c r="A368" s="14"/>
      <c r="B368" s="20"/>
      <c r="C368" s="19"/>
      <c r="D368" s="60"/>
      <c r="E368" s="33"/>
      <c r="F368" s="88"/>
      <c r="G368" s="69"/>
      <c r="H368" s="24"/>
      <c r="I368" s="24"/>
      <c r="J368" s="19"/>
      <c r="K368" s="70"/>
      <c r="L368" s="73"/>
      <c r="M368" s="73"/>
      <c r="N368" s="90"/>
      <c r="O368" s="90"/>
      <c r="P368" s="32"/>
      <c r="Q368" s="32" t="str">
        <f>BRD_EPIC2[[#This Row],[system type]]&amp;BRD_EPIC2[[#This Row],[system type2]]</f>
        <v/>
      </c>
      <c r="R368" s="32"/>
      <c r="S368" s="32"/>
      <c r="T368" s="203"/>
      <c r="U368" s="203"/>
      <c r="V368" s="203">
        <f>$U368*DE_Cost!$B$1*8</f>
        <v>0</v>
      </c>
      <c r="W368" s="204">
        <f>$U368*DE_Cost!$B$1</f>
        <v>0</v>
      </c>
      <c r="X368" s="204"/>
      <c r="Y368" s="204"/>
      <c r="Z368" s="204">
        <f t="shared" si="11"/>
        <v>1</v>
      </c>
      <c r="AA368" s="203"/>
      <c r="AB368" s="203"/>
      <c r="AC368" s="203"/>
      <c r="AD368" s="204">
        <f t="shared" si="10"/>
        <v>0</v>
      </c>
    </row>
    <row r="369" spans="1:30" ht="38.25" hidden="1" customHeight="1">
      <c r="A369" s="14"/>
      <c r="B369" s="20"/>
      <c r="C369" s="19"/>
      <c r="D369" s="60"/>
      <c r="E369" s="33"/>
      <c r="F369" s="88"/>
      <c r="G369" s="69"/>
      <c r="H369" s="24"/>
      <c r="I369" s="24"/>
      <c r="J369" s="19"/>
      <c r="K369" s="70"/>
      <c r="L369" s="73"/>
      <c r="M369" s="73"/>
      <c r="N369" s="90"/>
      <c r="O369" s="90"/>
      <c r="P369" s="32"/>
      <c r="Q369" s="32" t="str">
        <f>BRD_EPIC2[[#This Row],[system type]]&amp;BRD_EPIC2[[#This Row],[system type2]]</f>
        <v/>
      </c>
      <c r="R369" s="32"/>
      <c r="S369" s="32"/>
      <c r="T369" s="203"/>
      <c r="U369" s="203"/>
      <c r="V369" s="203">
        <f>$U369*DE_Cost!$B$1*8</f>
        <v>0</v>
      </c>
      <c r="W369" s="204">
        <f>$U369*DE_Cost!$B$1</f>
        <v>0</v>
      </c>
      <c r="X369" s="204"/>
      <c r="Y369" s="204"/>
      <c r="Z369" s="204">
        <f t="shared" si="11"/>
        <v>1</v>
      </c>
      <c r="AA369" s="203"/>
      <c r="AB369" s="203"/>
      <c r="AC369" s="203"/>
      <c r="AD369" s="204">
        <f t="shared" si="10"/>
        <v>0</v>
      </c>
    </row>
    <row r="370" spans="1:30" ht="38.25" hidden="1" customHeight="1">
      <c r="A370" s="14"/>
      <c r="B370" s="20"/>
      <c r="C370" s="19"/>
      <c r="D370" s="60"/>
      <c r="E370" s="33"/>
      <c r="F370" s="88"/>
      <c r="G370" s="69"/>
      <c r="H370" s="24"/>
      <c r="I370" s="24"/>
      <c r="J370" s="19"/>
      <c r="K370" s="70"/>
      <c r="L370" s="73"/>
      <c r="M370" s="73"/>
      <c r="N370" s="90"/>
      <c r="O370" s="90"/>
      <c r="P370" s="32"/>
      <c r="Q370" s="32" t="str">
        <f>BRD_EPIC2[[#This Row],[system type]]&amp;BRD_EPIC2[[#This Row],[system type2]]</f>
        <v/>
      </c>
      <c r="R370" s="32"/>
      <c r="S370" s="32"/>
      <c r="T370" s="203"/>
      <c r="U370" s="203"/>
      <c r="V370" s="203">
        <f>$U370*DE_Cost!$B$1*8</f>
        <v>0</v>
      </c>
      <c r="W370" s="204">
        <f>$U370*DE_Cost!$B$1</f>
        <v>0</v>
      </c>
      <c r="X370" s="204"/>
      <c r="Y370" s="204"/>
      <c r="Z370" s="204">
        <f t="shared" si="11"/>
        <v>1</v>
      </c>
      <c r="AA370" s="203"/>
      <c r="AB370" s="203"/>
      <c r="AC370" s="203"/>
      <c r="AD370" s="204">
        <f t="shared" si="10"/>
        <v>0</v>
      </c>
    </row>
    <row r="371" spans="1:30" ht="38.25" hidden="1" customHeight="1">
      <c r="A371" s="14"/>
      <c r="B371" s="20"/>
      <c r="C371" s="19"/>
      <c r="D371" s="60"/>
      <c r="E371" s="33"/>
      <c r="F371" s="88"/>
      <c r="G371" s="69"/>
      <c r="H371" s="24"/>
      <c r="I371" s="24"/>
      <c r="J371" s="19"/>
      <c r="K371" s="70"/>
      <c r="L371" s="73"/>
      <c r="M371" s="73"/>
      <c r="N371" s="90"/>
      <c r="O371" s="90"/>
      <c r="P371" s="32"/>
      <c r="Q371" s="32" t="str">
        <f>BRD_EPIC2[[#This Row],[system type]]&amp;BRD_EPIC2[[#This Row],[system type2]]</f>
        <v/>
      </c>
      <c r="R371" s="32"/>
      <c r="S371" s="32"/>
      <c r="T371" s="203"/>
      <c r="U371" s="203"/>
      <c r="V371" s="203">
        <f>$U371*DE_Cost!$B$1*8</f>
        <v>0</v>
      </c>
      <c r="W371" s="206">
        <f>$U371*DE_Cost!$B$1</f>
        <v>0</v>
      </c>
      <c r="X371" s="204"/>
      <c r="Y371" s="204"/>
      <c r="Z371" s="204">
        <f t="shared" si="11"/>
        <v>1</v>
      </c>
      <c r="AA371" s="205"/>
      <c r="AB371" s="203"/>
      <c r="AC371" s="203"/>
      <c r="AD371" s="204">
        <f t="shared" si="10"/>
        <v>0</v>
      </c>
    </row>
    <row r="372" spans="1:30" ht="38.25" hidden="1" customHeight="1">
      <c r="A372" s="14"/>
      <c r="B372" s="20"/>
      <c r="C372" s="19"/>
      <c r="D372" s="60"/>
      <c r="E372" s="33"/>
      <c r="F372" s="88"/>
      <c r="G372" s="69"/>
      <c r="H372" s="24"/>
      <c r="I372" s="24"/>
      <c r="J372" s="19"/>
      <c r="K372" s="70"/>
      <c r="L372" s="73"/>
      <c r="M372" s="73"/>
      <c r="N372" s="90"/>
      <c r="O372" s="90"/>
      <c r="P372" s="32"/>
      <c r="Q372" s="32" t="str">
        <f>BRD_EPIC2[[#This Row],[system type]]&amp;BRD_EPIC2[[#This Row],[system type2]]</f>
        <v/>
      </c>
      <c r="R372" s="32"/>
      <c r="S372" s="32"/>
      <c r="T372" s="203"/>
      <c r="U372" s="203"/>
      <c r="V372" s="203">
        <f>$U372*DE_Cost!$B$1*8</f>
        <v>0</v>
      </c>
      <c r="W372" s="206">
        <f>$U372*DE_Cost!$B$1</f>
        <v>0</v>
      </c>
      <c r="X372" s="204"/>
      <c r="Y372" s="204"/>
      <c r="Z372" s="204">
        <f t="shared" si="11"/>
        <v>1</v>
      </c>
      <c r="AA372" s="205"/>
      <c r="AB372" s="203"/>
      <c r="AC372" s="203"/>
      <c r="AD372" s="204">
        <f t="shared" si="10"/>
        <v>0</v>
      </c>
    </row>
    <row r="373" spans="1:30" ht="38.25" hidden="1" customHeight="1">
      <c r="A373" s="14"/>
      <c r="B373" s="20"/>
      <c r="C373" s="19"/>
      <c r="D373" s="60"/>
      <c r="E373" s="33"/>
      <c r="F373" s="88"/>
      <c r="G373" s="69"/>
      <c r="H373" s="24"/>
      <c r="I373" s="24"/>
      <c r="J373" s="19"/>
      <c r="K373" s="70"/>
      <c r="L373" s="73"/>
      <c r="M373" s="73"/>
      <c r="N373" s="90"/>
      <c r="O373" s="90"/>
      <c r="P373" s="32"/>
      <c r="Q373" s="32" t="str">
        <f>BRD_EPIC2[[#This Row],[system type]]&amp;BRD_EPIC2[[#This Row],[system type2]]</f>
        <v/>
      </c>
      <c r="R373" s="32"/>
      <c r="S373" s="32"/>
      <c r="T373" s="203"/>
      <c r="U373" s="203"/>
      <c r="V373" s="203">
        <f>$U373*DE_Cost!$B$1*8</f>
        <v>0</v>
      </c>
      <c r="W373" s="206">
        <f>$U373*DE_Cost!$B$1</f>
        <v>0</v>
      </c>
      <c r="X373" s="204"/>
      <c r="Y373" s="204"/>
      <c r="Z373" s="204">
        <f t="shared" si="11"/>
        <v>1</v>
      </c>
      <c r="AA373" s="205"/>
      <c r="AB373" s="203"/>
      <c r="AC373" s="203"/>
      <c r="AD373" s="204">
        <f t="shared" si="10"/>
        <v>0</v>
      </c>
    </row>
    <row r="374" spans="1:30" ht="38.25" hidden="1" customHeight="1">
      <c r="A374" s="14"/>
      <c r="B374" s="20"/>
      <c r="C374" s="19"/>
      <c r="D374" s="60"/>
      <c r="E374" s="33"/>
      <c r="F374" s="88"/>
      <c r="G374" s="69"/>
      <c r="H374" s="24"/>
      <c r="I374" s="24"/>
      <c r="J374" s="19"/>
      <c r="K374" s="70"/>
      <c r="L374" s="73"/>
      <c r="M374" s="73"/>
      <c r="N374" s="90"/>
      <c r="O374" s="90"/>
      <c r="P374" s="32"/>
      <c r="Q374" s="32" t="str">
        <f>BRD_EPIC2[[#This Row],[system type]]&amp;BRD_EPIC2[[#This Row],[system type2]]</f>
        <v/>
      </c>
      <c r="R374" s="32"/>
      <c r="S374" s="32"/>
      <c r="T374" s="203"/>
      <c r="U374" s="203"/>
      <c r="V374" s="203">
        <f>$U374*DE_Cost!$B$1*8</f>
        <v>0</v>
      </c>
      <c r="W374" s="206">
        <f>$U374*DE_Cost!$B$1</f>
        <v>0</v>
      </c>
      <c r="X374" s="204"/>
      <c r="Y374" s="204"/>
      <c r="Z374" s="204">
        <f t="shared" si="11"/>
        <v>1</v>
      </c>
      <c r="AA374" s="205"/>
      <c r="AB374" s="203"/>
      <c r="AC374" s="203"/>
      <c r="AD374" s="204">
        <f t="shared" si="10"/>
        <v>0</v>
      </c>
    </row>
    <row r="375" spans="1:30" ht="38.25" hidden="1" customHeight="1">
      <c r="A375" s="14"/>
      <c r="B375" s="20"/>
      <c r="C375" s="19"/>
      <c r="D375" s="60"/>
      <c r="E375" s="33"/>
      <c r="F375" s="88"/>
      <c r="G375" s="69"/>
      <c r="H375" s="24"/>
      <c r="I375" s="24"/>
      <c r="J375" s="19"/>
      <c r="K375" s="70"/>
      <c r="L375" s="73"/>
      <c r="M375" s="73"/>
      <c r="N375" s="90"/>
      <c r="O375" s="90"/>
      <c r="P375" s="32"/>
      <c r="Q375" s="32" t="str">
        <f>BRD_EPIC2[[#This Row],[system type]]&amp;BRD_EPIC2[[#This Row],[system type2]]</f>
        <v/>
      </c>
      <c r="R375" s="32"/>
      <c r="S375" s="32"/>
      <c r="T375" s="203"/>
      <c r="U375" s="203"/>
      <c r="V375" s="203">
        <f>$U375*DE_Cost!$B$1*8</f>
        <v>0</v>
      </c>
      <c r="W375" s="206">
        <f>$U375*DE_Cost!$B$1</f>
        <v>0</v>
      </c>
      <c r="X375" s="204"/>
      <c r="Y375" s="204"/>
      <c r="Z375" s="204">
        <f t="shared" si="11"/>
        <v>1</v>
      </c>
      <c r="AA375" s="205"/>
      <c r="AB375" s="203"/>
      <c r="AC375" s="203"/>
      <c r="AD375" s="204">
        <f t="shared" si="10"/>
        <v>0</v>
      </c>
    </row>
    <row r="376" spans="1:30" ht="38.25" hidden="1" customHeight="1">
      <c r="A376" s="14"/>
      <c r="B376" s="20"/>
      <c r="C376" s="19"/>
      <c r="D376" s="60"/>
      <c r="E376" s="33"/>
      <c r="F376" s="88"/>
      <c r="G376" s="69"/>
      <c r="H376" s="24"/>
      <c r="I376" s="24"/>
      <c r="J376" s="19"/>
      <c r="K376" s="70"/>
      <c r="L376" s="73"/>
      <c r="M376" s="73"/>
      <c r="N376" s="90"/>
      <c r="O376" s="90"/>
      <c r="P376" s="32"/>
      <c r="Q376" s="32" t="str">
        <f>BRD_EPIC2[[#This Row],[system type]]&amp;BRD_EPIC2[[#This Row],[system type2]]</f>
        <v/>
      </c>
      <c r="R376" s="32"/>
      <c r="S376" s="32"/>
      <c r="T376" s="203"/>
      <c r="U376" s="203"/>
      <c r="V376" s="203">
        <f>$U376*DE_Cost!$B$1*8</f>
        <v>0</v>
      </c>
      <c r="W376" s="206">
        <f>$U376*DE_Cost!$B$1</f>
        <v>0</v>
      </c>
      <c r="X376" s="204"/>
      <c r="Y376" s="204"/>
      <c r="Z376" s="204">
        <f t="shared" si="11"/>
        <v>1</v>
      </c>
      <c r="AA376" s="205"/>
      <c r="AB376" s="203"/>
      <c r="AC376" s="203"/>
      <c r="AD376" s="204">
        <f t="shared" si="10"/>
        <v>0</v>
      </c>
    </row>
    <row r="377" spans="1:30" ht="38.25" hidden="1" customHeight="1">
      <c r="A377" s="14"/>
      <c r="B377" s="20"/>
      <c r="C377" s="19"/>
      <c r="D377" s="60"/>
      <c r="E377" s="33"/>
      <c r="F377" s="88"/>
      <c r="G377" s="69"/>
      <c r="H377" s="24"/>
      <c r="I377" s="24"/>
      <c r="J377" s="19"/>
      <c r="K377" s="70"/>
      <c r="L377" s="73"/>
      <c r="M377" s="73"/>
      <c r="N377" s="90"/>
      <c r="O377" s="90"/>
      <c r="P377" s="32"/>
      <c r="Q377" s="32" t="str">
        <f>BRD_EPIC2[[#This Row],[system type]]&amp;BRD_EPIC2[[#This Row],[system type2]]</f>
        <v/>
      </c>
      <c r="R377" s="32"/>
      <c r="S377" s="32"/>
      <c r="T377" s="203"/>
      <c r="U377" s="203"/>
      <c r="V377" s="203">
        <f>$U377*DE_Cost!$B$1*8</f>
        <v>0</v>
      </c>
      <c r="W377" s="206">
        <f>$U377*DE_Cost!$B$1</f>
        <v>0</v>
      </c>
      <c r="X377" s="204"/>
      <c r="Y377" s="204"/>
      <c r="Z377" s="204">
        <f t="shared" si="11"/>
        <v>1</v>
      </c>
      <c r="AA377" s="205"/>
      <c r="AB377" s="203"/>
      <c r="AC377" s="203"/>
      <c r="AD377" s="204">
        <f t="shared" si="10"/>
        <v>0</v>
      </c>
    </row>
    <row r="378" spans="1:30" ht="38.25" hidden="1" customHeight="1">
      <c r="A378" s="14"/>
      <c r="B378" s="20"/>
      <c r="C378" s="19"/>
      <c r="D378" s="60"/>
      <c r="E378" s="33"/>
      <c r="F378" s="88"/>
      <c r="G378" s="69"/>
      <c r="H378" s="24"/>
      <c r="I378" s="24"/>
      <c r="J378" s="19"/>
      <c r="K378" s="70"/>
      <c r="L378" s="73"/>
      <c r="M378" s="73"/>
      <c r="N378" s="90"/>
      <c r="O378" s="90"/>
      <c r="P378" s="32"/>
      <c r="Q378" s="32" t="str">
        <f>BRD_EPIC2[[#This Row],[system type]]&amp;BRD_EPIC2[[#This Row],[system type2]]</f>
        <v/>
      </c>
      <c r="R378" s="32"/>
      <c r="S378" s="32"/>
      <c r="T378" s="203"/>
      <c r="U378" s="203"/>
      <c r="V378" s="203">
        <f>$U378*DE_Cost!$B$1*8</f>
        <v>0</v>
      </c>
      <c r="W378" s="206">
        <f>$U378*DE_Cost!$B$1</f>
        <v>0</v>
      </c>
      <c r="X378" s="204"/>
      <c r="Y378" s="204"/>
      <c r="Z378" s="204">
        <f t="shared" si="11"/>
        <v>1</v>
      </c>
      <c r="AA378" s="205"/>
      <c r="AB378" s="203"/>
      <c r="AC378" s="203"/>
      <c r="AD378" s="204">
        <f t="shared" si="10"/>
        <v>0</v>
      </c>
    </row>
    <row r="379" spans="1:30" ht="38.25" hidden="1" customHeight="1">
      <c r="A379" s="14"/>
      <c r="B379" s="20"/>
      <c r="C379" s="19"/>
      <c r="D379" s="60"/>
      <c r="E379" s="33"/>
      <c r="F379" s="88"/>
      <c r="G379" s="69"/>
      <c r="H379" s="24"/>
      <c r="I379" s="24"/>
      <c r="J379" s="19"/>
      <c r="K379" s="70"/>
      <c r="L379" s="73"/>
      <c r="M379" s="73"/>
      <c r="N379" s="90"/>
      <c r="O379" s="90"/>
      <c r="P379" s="32"/>
      <c r="Q379" s="32" t="str">
        <f>BRD_EPIC2[[#This Row],[system type]]&amp;BRD_EPIC2[[#This Row],[system type2]]</f>
        <v/>
      </c>
      <c r="R379" s="32"/>
      <c r="S379" s="32"/>
      <c r="T379" s="203"/>
      <c r="U379" s="203"/>
      <c r="V379" s="203">
        <f>$U379*DE_Cost!$B$1*8</f>
        <v>0</v>
      </c>
      <c r="W379" s="206">
        <f>$U379*DE_Cost!$B$1</f>
        <v>0</v>
      </c>
      <c r="X379" s="204"/>
      <c r="Y379" s="204"/>
      <c r="Z379" s="204">
        <f t="shared" si="11"/>
        <v>1</v>
      </c>
      <c r="AA379" s="205"/>
      <c r="AB379" s="203"/>
      <c r="AC379" s="203"/>
      <c r="AD379" s="204">
        <f t="shared" si="10"/>
        <v>0</v>
      </c>
    </row>
    <row r="380" spans="1:30" ht="38.25" hidden="1" customHeight="1">
      <c r="A380" s="14"/>
      <c r="B380" s="20"/>
      <c r="C380" s="19"/>
      <c r="D380" s="60"/>
      <c r="E380" s="33"/>
      <c r="F380" s="88"/>
      <c r="G380" s="69"/>
      <c r="H380" s="24"/>
      <c r="I380" s="24"/>
      <c r="J380" s="19"/>
      <c r="K380" s="70"/>
      <c r="L380" s="73"/>
      <c r="M380" s="73"/>
      <c r="N380" s="90"/>
      <c r="O380" s="90"/>
      <c r="P380" s="32"/>
      <c r="Q380" s="32" t="str">
        <f>BRD_EPIC2[[#This Row],[system type]]&amp;BRD_EPIC2[[#This Row],[system type2]]</f>
        <v/>
      </c>
      <c r="R380" s="32"/>
      <c r="S380" s="32"/>
      <c r="T380" s="203"/>
      <c r="U380" s="203"/>
      <c r="V380" s="203">
        <f>$U380*DE_Cost!$B$1*8</f>
        <v>0</v>
      </c>
      <c r="W380" s="206">
        <f>$U380*DE_Cost!$B$1</f>
        <v>0</v>
      </c>
      <c r="X380" s="204"/>
      <c r="Y380" s="204"/>
      <c r="Z380" s="204">
        <f t="shared" si="11"/>
        <v>1</v>
      </c>
      <c r="AA380" s="205"/>
      <c r="AB380" s="203"/>
      <c r="AC380" s="203"/>
      <c r="AD380" s="204">
        <f t="shared" ref="AD380:AD398" si="12">U380 * Z380</f>
        <v>0</v>
      </c>
    </row>
    <row r="381" spans="1:30" ht="38.25" hidden="1" customHeight="1">
      <c r="A381" s="14"/>
      <c r="B381" s="20"/>
      <c r="C381" s="19"/>
      <c r="D381" s="60"/>
      <c r="E381" s="33"/>
      <c r="F381" s="88"/>
      <c r="G381" s="69"/>
      <c r="H381" s="24"/>
      <c r="I381" s="24"/>
      <c r="J381" s="19"/>
      <c r="K381" s="70"/>
      <c r="L381" s="73"/>
      <c r="M381" s="73"/>
      <c r="N381" s="90"/>
      <c r="O381" s="90"/>
      <c r="P381" s="32"/>
      <c r="Q381" s="32" t="str">
        <f>BRD_EPIC2[[#This Row],[system type]]&amp;BRD_EPIC2[[#This Row],[system type2]]</f>
        <v/>
      </c>
      <c r="R381" s="32"/>
      <c r="S381" s="32"/>
      <c r="T381" s="203"/>
      <c r="U381" s="203"/>
      <c r="V381" s="203">
        <f>$U381*DE_Cost!$B$1*8</f>
        <v>0</v>
      </c>
      <c r="W381" s="206">
        <f>$U381*DE_Cost!$B$1</f>
        <v>0</v>
      </c>
      <c r="X381" s="204"/>
      <c r="Y381" s="204"/>
      <c r="Z381" s="204">
        <f t="shared" si="11"/>
        <v>1</v>
      </c>
      <c r="AA381" s="205"/>
      <c r="AB381" s="203"/>
      <c r="AC381" s="203"/>
      <c r="AD381" s="204">
        <f t="shared" si="12"/>
        <v>0</v>
      </c>
    </row>
    <row r="382" spans="1:30" ht="38.25" hidden="1" customHeight="1">
      <c r="A382" s="14"/>
      <c r="B382" s="20"/>
      <c r="C382" s="19"/>
      <c r="D382" s="60"/>
      <c r="E382" s="33"/>
      <c r="F382" s="88"/>
      <c r="G382" s="69"/>
      <c r="H382" s="24"/>
      <c r="I382" s="24"/>
      <c r="J382" s="19"/>
      <c r="K382" s="70"/>
      <c r="L382" s="73"/>
      <c r="M382" s="73"/>
      <c r="N382" s="90"/>
      <c r="O382" s="90"/>
      <c r="P382" s="32"/>
      <c r="Q382" s="32" t="str">
        <f>BRD_EPIC2[[#This Row],[system type]]&amp;BRD_EPIC2[[#This Row],[system type2]]</f>
        <v/>
      </c>
      <c r="R382" s="32"/>
      <c r="S382" s="32"/>
      <c r="T382" s="203"/>
      <c r="U382" s="203"/>
      <c r="V382" s="203">
        <f>$U382*DE_Cost!$B$1*8</f>
        <v>0</v>
      </c>
      <c r="W382" s="206">
        <f>$U382*DE_Cost!$B$1</f>
        <v>0</v>
      </c>
      <c r="X382" s="204"/>
      <c r="Y382" s="204"/>
      <c r="Z382" s="204">
        <f t="shared" si="11"/>
        <v>1</v>
      </c>
      <c r="AA382" s="205"/>
      <c r="AB382" s="203"/>
      <c r="AC382" s="203"/>
      <c r="AD382" s="204">
        <f t="shared" si="12"/>
        <v>0</v>
      </c>
    </row>
    <row r="383" spans="1:30" ht="38.25" hidden="1" customHeight="1">
      <c r="A383" s="14"/>
      <c r="B383" s="20"/>
      <c r="C383" s="19"/>
      <c r="D383" s="60"/>
      <c r="E383" s="33"/>
      <c r="F383" s="88"/>
      <c r="G383" s="69"/>
      <c r="H383" s="24"/>
      <c r="I383" s="24"/>
      <c r="J383" s="19"/>
      <c r="K383" s="70"/>
      <c r="L383" s="73"/>
      <c r="M383" s="73"/>
      <c r="N383" s="90"/>
      <c r="O383" s="90"/>
      <c r="P383" s="32"/>
      <c r="Q383" s="32" t="str">
        <f>BRD_EPIC2[[#This Row],[system type]]&amp;BRD_EPIC2[[#This Row],[system type2]]</f>
        <v/>
      </c>
      <c r="R383" s="32"/>
      <c r="S383" s="32"/>
      <c r="T383" s="203"/>
      <c r="U383" s="203"/>
      <c r="V383" s="203">
        <f>$U383*DE_Cost!$B$1*8</f>
        <v>0</v>
      </c>
      <c r="W383" s="206">
        <f>$U383*DE_Cost!$B$1</f>
        <v>0</v>
      </c>
      <c r="X383" s="204"/>
      <c r="Y383" s="204"/>
      <c r="Z383" s="204">
        <f t="shared" si="11"/>
        <v>1</v>
      </c>
      <c r="AA383" s="205"/>
      <c r="AB383" s="203"/>
      <c r="AC383" s="203"/>
      <c r="AD383" s="204">
        <f t="shared" si="12"/>
        <v>0</v>
      </c>
    </row>
    <row r="384" spans="1:30" ht="38.25" hidden="1" customHeight="1">
      <c r="A384" s="14"/>
      <c r="B384" s="20"/>
      <c r="C384" s="19"/>
      <c r="D384" s="60"/>
      <c r="E384" s="33"/>
      <c r="F384" s="88"/>
      <c r="G384" s="69"/>
      <c r="H384" s="24"/>
      <c r="I384" s="24"/>
      <c r="J384" s="19"/>
      <c r="K384" s="70"/>
      <c r="L384" s="73"/>
      <c r="M384" s="73"/>
      <c r="N384" s="90"/>
      <c r="O384" s="90"/>
      <c r="P384" s="32"/>
      <c r="Q384" s="32" t="str">
        <f>BRD_EPIC2[[#This Row],[system type]]&amp;BRD_EPIC2[[#This Row],[system type2]]</f>
        <v/>
      </c>
      <c r="R384" s="32"/>
      <c r="S384" s="32"/>
      <c r="T384" s="203"/>
      <c r="U384" s="203"/>
      <c r="V384" s="203">
        <f>$U384*DE_Cost!$B$1*8</f>
        <v>0</v>
      </c>
      <c r="W384" s="206">
        <f>$U384*DE_Cost!$B$1</f>
        <v>0</v>
      </c>
      <c r="X384" s="204"/>
      <c r="Y384" s="204"/>
      <c r="Z384" s="204">
        <f t="shared" si="11"/>
        <v>1</v>
      </c>
      <c r="AA384" s="205"/>
      <c r="AB384" s="203"/>
      <c r="AC384" s="203"/>
      <c r="AD384" s="204">
        <f t="shared" si="12"/>
        <v>0</v>
      </c>
    </row>
    <row r="385" spans="1:30" ht="38.25" hidden="1" customHeight="1">
      <c r="A385" s="14"/>
      <c r="B385" s="20"/>
      <c r="C385" s="19"/>
      <c r="D385" s="60"/>
      <c r="E385" s="33"/>
      <c r="F385" s="88"/>
      <c r="G385" s="69"/>
      <c r="H385" s="24"/>
      <c r="I385" s="24"/>
      <c r="J385" s="19"/>
      <c r="K385" s="70"/>
      <c r="L385" s="73"/>
      <c r="M385" s="73"/>
      <c r="N385" s="90"/>
      <c r="O385" s="90"/>
      <c r="P385" s="32"/>
      <c r="Q385" s="32" t="str">
        <f>BRD_EPIC2[[#This Row],[system type]]&amp;BRD_EPIC2[[#This Row],[system type2]]</f>
        <v/>
      </c>
      <c r="R385" s="32"/>
      <c r="S385" s="32"/>
      <c r="T385" s="203"/>
      <c r="U385" s="203"/>
      <c r="V385" s="203">
        <f>$U385*DE_Cost!$B$1*8</f>
        <v>0</v>
      </c>
      <c r="W385" s="206">
        <f>$U385*DE_Cost!$B$1</f>
        <v>0</v>
      </c>
      <c r="X385" s="204"/>
      <c r="Y385" s="204"/>
      <c r="Z385" s="204">
        <f t="shared" si="11"/>
        <v>1</v>
      </c>
      <c r="AA385" s="205"/>
      <c r="AB385" s="203"/>
      <c r="AC385" s="203"/>
      <c r="AD385" s="204">
        <f t="shared" si="12"/>
        <v>0</v>
      </c>
    </row>
    <row r="386" spans="1:30" ht="38.25" hidden="1" customHeight="1">
      <c r="A386" s="14"/>
      <c r="B386" s="20"/>
      <c r="C386" s="19"/>
      <c r="D386" s="60"/>
      <c r="E386" s="33"/>
      <c r="F386" s="88"/>
      <c r="G386" s="69"/>
      <c r="H386" s="24"/>
      <c r="I386" s="24"/>
      <c r="J386" s="19"/>
      <c r="K386" s="70"/>
      <c r="L386" s="73"/>
      <c r="M386" s="73"/>
      <c r="N386" s="90"/>
      <c r="O386" s="90"/>
      <c r="P386" s="32"/>
      <c r="Q386" s="32" t="str">
        <f>BRD_EPIC2[[#This Row],[system type]]&amp;BRD_EPIC2[[#This Row],[system type2]]</f>
        <v/>
      </c>
      <c r="R386" s="32"/>
      <c r="S386" s="32"/>
      <c r="T386" s="203"/>
      <c r="U386" s="203"/>
      <c r="V386" s="203">
        <f>$U386*DE_Cost!$B$1*8</f>
        <v>0</v>
      </c>
      <c r="W386" s="206">
        <f>$U386*DE_Cost!$B$1</f>
        <v>0</v>
      </c>
      <c r="X386" s="204"/>
      <c r="Y386" s="204"/>
      <c r="Z386" s="204">
        <f t="shared" si="11"/>
        <v>1</v>
      </c>
      <c r="AA386" s="205"/>
      <c r="AB386" s="203"/>
      <c r="AC386" s="203"/>
      <c r="AD386" s="204">
        <f t="shared" si="12"/>
        <v>0</v>
      </c>
    </row>
    <row r="387" spans="1:30" ht="38.25" hidden="1" customHeight="1">
      <c r="A387" s="14"/>
      <c r="B387" s="20"/>
      <c r="C387" s="19"/>
      <c r="D387" s="60"/>
      <c r="E387" s="33"/>
      <c r="F387" s="88"/>
      <c r="G387" s="69"/>
      <c r="H387" s="24"/>
      <c r="I387" s="24"/>
      <c r="J387" s="19"/>
      <c r="K387" s="70"/>
      <c r="L387" s="73"/>
      <c r="M387" s="73"/>
      <c r="N387" s="90"/>
      <c r="O387" s="90"/>
      <c r="P387" s="32"/>
      <c r="Q387" s="32" t="str">
        <f>BRD_EPIC2[[#This Row],[system type]]&amp;BRD_EPIC2[[#This Row],[system type2]]</f>
        <v/>
      </c>
      <c r="R387" s="32"/>
      <c r="S387" s="32"/>
      <c r="T387" s="203"/>
      <c r="U387" s="203"/>
      <c r="V387" s="203">
        <f>$U387*DE_Cost!$B$1*8</f>
        <v>0</v>
      </c>
      <c r="W387" s="206">
        <f>$U387*DE_Cost!$B$1</f>
        <v>0</v>
      </c>
      <c r="X387" s="204"/>
      <c r="Y387" s="204"/>
      <c r="Z387" s="204">
        <f t="shared" si="11"/>
        <v>1</v>
      </c>
      <c r="AA387" s="205"/>
      <c r="AB387" s="203"/>
      <c r="AC387" s="203"/>
      <c r="AD387" s="204">
        <f t="shared" si="12"/>
        <v>0</v>
      </c>
    </row>
    <row r="388" spans="1:30" ht="38.25" hidden="1" customHeight="1">
      <c r="A388" s="14"/>
      <c r="B388" s="20"/>
      <c r="C388" s="19"/>
      <c r="D388" s="60"/>
      <c r="E388" s="33"/>
      <c r="F388" s="88"/>
      <c r="G388" s="69"/>
      <c r="H388" s="24"/>
      <c r="I388" s="24"/>
      <c r="J388" s="19"/>
      <c r="K388" s="70"/>
      <c r="L388" s="73"/>
      <c r="M388" s="73"/>
      <c r="N388" s="90"/>
      <c r="O388" s="90"/>
      <c r="P388" s="32"/>
      <c r="Q388" s="32" t="str">
        <f>BRD_EPIC2[[#This Row],[system type]]&amp;BRD_EPIC2[[#This Row],[system type2]]</f>
        <v/>
      </c>
      <c r="R388" s="32"/>
      <c r="S388" s="32"/>
      <c r="T388" s="203"/>
      <c r="U388" s="203"/>
      <c r="V388" s="203">
        <f>$U388*DE_Cost!$B$1*8</f>
        <v>0</v>
      </c>
      <c r="W388" s="206">
        <f>$U388*DE_Cost!$B$1</f>
        <v>0</v>
      </c>
      <c r="X388" s="204"/>
      <c r="Y388" s="204"/>
      <c r="Z388" s="204">
        <f t="shared" si="11"/>
        <v>1</v>
      </c>
      <c r="AA388" s="205"/>
      <c r="AB388" s="203"/>
      <c r="AC388" s="203"/>
      <c r="AD388" s="204">
        <f t="shared" si="12"/>
        <v>0</v>
      </c>
    </row>
    <row r="389" spans="1:30" ht="38.25" hidden="1" customHeight="1">
      <c r="A389" s="14"/>
      <c r="B389" s="20"/>
      <c r="C389" s="19"/>
      <c r="D389" s="60"/>
      <c r="E389" s="33"/>
      <c r="F389" s="88"/>
      <c r="G389" s="69"/>
      <c r="H389" s="24"/>
      <c r="I389" s="24"/>
      <c r="J389" s="19"/>
      <c r="K389" s="70"/>
      <c r="L389" s="73"/>
      <c r="M389" s="73"/>
      <c r="N389" s="90"/>
      <c r="O389" s="90"/>
      <c r="P389" s="32"/>
      <c r="Q389" s="32" t="str">
        <f>BRD_EPIC2[[#This Row],[system type]]&amp;BRD_EPIC2[[#This Row],[system type2]]</f>
        <v/>
      </c>
      <c r="R389" s="32"/>
      <c r="S389" s="32"/>
      <c r="T389" s="203"/>
      <c r="U389" s="203"/>
      <c r="V389" s="203">
        <f>$U389*DE_Cost!$B$1*8</f>
        <v>0</v>
      </c>
      <c r="W389" s="206">
        <f>$U389*DE_Cost!$B$1</f>
        <v>0</v>
      </c>
      <c r="X389" s="204"/>
      <c r="Y389" s="204"/>
      <c r="Z389" s="204">
        <f t="shared" si="11"/>
        <v>1</v>
      </c>
      <c r="AA389" s="205"/>
      <c r="AB389" s="203"/>
      <c r="AC389" s="203"/>
      <c r="AD389" s="204">
        <f t="shared" si="12"/>
        <v>0</v>
      </c>
    </row>
    <row r="390" spans="1:30" ht="38.25" hidden="1" customHeight="1">
      <c r="A390" s="14"/>
      <c r="B390" s="20"/>
      <c r="C390" s="19"/>
      <c r="D390" s="60"/>
      <c r="E390" s="33"/>
      <c r="F390" s="88"/>
      <c r="G390" s="69"/>
      <c r="H390" s="24"/>
      <c r="I390" s="24"/>
      <c r="J390" s="19"/>
      <c r="K390" s="70"/>
      <c r="L390" s="73"/>
      <c r="M390" s="73"/>
      <c r="N390" s="90"/>
      <c r="O390" s="90"/>
      <c r="P390" s="32"/>
      <c r="Q390" s="32" t="str">
        <f>BRD_EPIC2[[#This Row],[system type]]&amp;BRD_EPIC2[[#This Row],[system type2]]</f>
        <v/>
      </c>
      <c r="R390" s="32"/>
      <c r="S390" s="32"/>
      <c r="T390" s="203"/>
      <c r="U390" s="203"/>
      <c r="V390" s="203">
        <f>$U390*DE_Cost!$B$1*8</f>
        <v>0</v>
      </c>
      <c r="W390" s="206">
        <f>$U390*DE_Cost!$B$1</f>
        <v>0</v>
      </c>
      <c r="X390" s="204"/>
      <c r="Y390" s="204"/>
      <c r="Z390" s="204">
        <f t="shared" si="11"/>
        <v>1</v>
      </c>
      <c r="AA390" s="205"/>
      <c r="AB390" s="203"/>
      <c r="AC390" s="203"/>
      <c r="AD390" s="204">
        <f t="shared" si="12"/>
        <v>0</v>
      </c>
    </row>
    <row r="391" spans="1:30" ht="38.25" hidden="1" customHeight="1">
      <c r="A391" s="14"/>
      <c r="B391" s="20"/>
      <c r="C391" s="19"/>
      <c r="D391" s="60"/>
      <c r="E391" s="33"/>
      <c r="F391" s="88"/>
      <c r="G391" s="69"/>
      <c r="H391" s="24"/>
      <c r="I391" s="24"/>
      <c r="J391" s="19"/>
      <c r="K391" s="70"/>
      <c r="L391" s="73"/>
      <c r="M391" s="73"/>
      <c r="N391" s="90"/>
      <c r="O391" s="90"/>
      <c r="P391" s="32"/>
      <c r="Q391" s="32" t="str">
        <f>BRD_EPIC2[[#This Row],[system type]]&amp;BRD_EPIC2[[#This Row],[system type2]]</f>
        <v/>
      </c>
      <c r="R391" s="32"/>
      <c r="S391" s="32"/>
      <c r="T391" s="203"/>
      <c r="U391" s="203"/>
      <c r="V391" s="203">
        <f>$U391*DE_Cost!$B$1*8</f>
        <v>0</v>
      </c>
      <c r="W391" s="206">
        <f>$U391*DE_Cost!$B$1</f>
        <v>0</v>
      </c>
      <c r="X391" s="204"/>
      <c r="Y391" s="204"/>
      <c r="Z391" s="204">
        <f t="shared" si="11"/>
        <v>1</v>
      </c>
      <c r="AA391" s="205"/>
      <c r="AB391" s="203"/>
      <c r="AC391" s="203"/>
      <c r="AD391" s="204">
        <f t="shared" si="12"/>
        <v>0</v>
      </c>
    </row>
    <row r="392" spans="1:30" ht="38.25" hidden="1" customHeight="1">
      <c r="A392" s="14"/>
      <c r="B392" s="20"/>
      <c r="C392" s="19"/>
      <c r="D392" s="60"/>
      <c r="E392" s="33"/>
      <c r="F392" s="88"/>
      <c r="G392" s="69"/>
      <c r="H392" s="24"/>
      <c r="I392" s="24"/>
      <c r="J392" s="19"/>
      <c r="K392" s="70"/>
      <c r="L392" s="73"/>
      <c r="M392" s="73"/>
      <c r="N392" s="90"/>
      <c r="O392" s="90"/>
      <c r="P392" s="32"/>
      <c r="Q392" s="32" t="str">
        <f>BRD_EPIC2[[#This Row],[system type]]&amp;BRD_EPIC2[[#This Row],[system type2]]</f>
        <v/>
      </c>
      <c r="R392" s="32"/>
      <c r="S392" s="32"/>
      <c r="T392" s="203"/>
      <c r="U392" s="203"/>
      <c r="V392" s="203">
        <f>$U392*DE_Cost!$B$1*8</f>
        <v>0</v>
      </c>
      <c r="W392" s="206">
        <f>$U392*DE_Cost!$B$1</f>
        <v>0</v>
      </c>
      <c r="X392" s="204"/>
      <c r="Y392" s="204"/>
      <c r="Z392" s="204">
        <f t="shared" si="11"/>
        <v>1</v>
      </c>
      <c r="AA392" s="205"/>
      <c r="AB392" s="203"/>
      <c r="AC392" s="203"/>
      <c r="AD392" s="204">
        <f t="shared" si="12"/>
        <v>0</v>
      </c>
    </row>
    <row r="393" spans="1:30" ht="38.25" hidden="1" customHeight="1">
      <c r="A393" s="14"/>
      <c r="B393" s="20"/>
      <c r="C393" s="19"/>
      <c r="D393" s="60"/>
      <c r="E393" s="33"/>
      <c r="F393" s="88"/>
      <c r="G393" s="69"/>
      <c r="H393" s="24"/>
      <c r="I393" s="24"/>
      <c r="J393" s="19"/>
      <c r="K393" s="70"/>
      <c r="L393" s="73"/>
      <c r="M393" s="73"/>
      <c r="N393" s="90"/>
      <c r="O393" s="90"/>
      <c r="P393" s="32"/>
      <c r="Q393" s="32" t="str">
        <f>BRD_EPIC2[[#This Row],[system type]]&amp;BRD_EPIC2[[#This Row],[system type2]]</f>
        <v/>
      </c>
      <c r="R393" s="32"/>
      <c r="S393" s="32"/>
      <c r="T393" s="203"/>
      <c r="U393" s="203"/>
      <c r="V393" s="203">
        <f>$U393*DE_Cost!$B$1*8</f>
        <v>0</v>
      </c>
      <c r="W393" s="206">
        <f>$U393*DE_Cost!$B$1</f>
        <v>0</v>
      </c>
      <c r="X393" s="204"/>
      <c r="Y393" s="204"/>
      <c r="Z393" s="204">
        <f t="shared" si="11"/>
        <v>1</v>
      </c>
      <c r="AA393" s="205"/>
      <c r="AB393" s="203"/>
      <c r="AC393" s="203"/>
      <c r="AD393" s="204">
        <f t="shared" si="12"/>
        <v>0</v>
      </c>
    </row>
    <row r="394" spans="1:30" ht="38.25" hidden="1" customHeight="1">
      <c r="A394" s="14"/>
      <c r="B394" s="20"/>
      <c r="C394" s="19"/>
      <c r="D394" s="60"/>
      <c r="E394" s="33"/>
      <c r="F394" s="88"/>
      <c r="G394" s="69"/>
      <c r="H394" s="24"/>
      <c r="I394" s="24"/>
      <c r="J394" s="19"/>
      <c r="K394" s="70"/>
      <c r="L394" s="73"/>
      <c r="M394" s="73"/>
      <c r="N394" s="90"/>
      <c r="O394" s="90"/>
      <c r="P394" s="32"/>
      <c r="Q394" s="32" t="str">
        <f>BRD_EPIC2[[#This Row],[system type]]&amp;BRD_EPIC2[[#This Row],[system type2]]</f>
        <v/>
      </c>
      <c r="R394" s="32"/>
      <c r="S394" s="32"/>
      <c r="T394" s="203"/>
      <c r="U394" s="203"/>
      <c r="V394" s="203">
        <f>$U394*DE_Cost!$B$1*8</f>
        <v>0</v>
      </c>
      <c r="W394" s="206">
        <f>$U394*DE_Cost!$B$1</f>
        <v>0</v>
      </c>
      <c r="X394" s="204"/>
      <c r="Y394" s="204"/>
      <c r="Z394" s="204">
        <f t="shared" si="11"/>
        <v>1</v>
      </c>
      <c r="AA394" s="205"/>
      <c r="AB394" s="203"/>
      <c r="AC394" s="203"/>
      <c r="AD394" s="204">
        <f t="shared" si="12"/>
        <v>0</v>
      </c>
    </row>
    <row r="395" spans="1:30" ht="38.25" hidden="1" customHeight="1">
      <c r="A395" s="14"/>
      <c r="B395" s="20"/>
      <c r="C395" s="19"/>
      <c r="D395" s="60"/>
      <c r="E395" s="33"/>
      <c r="F395" s="88"/>
      <c r="G395" s="69"/>
      <c r="H395" s="24"/>
      <c r="I395" s="24"/>
      <c r="J395" s="19"/>
      <c r="K395" s="70"/>
      <c r="L395" s="73"/>
      <c r="M395" s="73"/>
      <c r="N395" s="90"/>
      <c r="O395" s="90"/>
      <c r="P395" s="32"/>
      <c r="Q395" s="32" t="str">
        <f>BRD_EPIC2[[#This Row],[system type]]&amp;BRD_EPIC2[[#This Row],[system type2]]</f>
        <v/>
      </c>
      <c r="R395" s="32"/>
      <c r="S395" s="32"/>
      <c r="T395" s="203"/>
      <c r="U395" s="203"/>
      <c r="V395" s="203">
        <f>$U395*DE_Cost!$B$1*8</f>
        <v>0</v>
      </c>
      <c r="W395" s="206">
        <f>$U395*DE_Cost!$B$1</f>
        <v>0</v>
      </c>
      <c r="X395" s="204"/>
      <c r="Y395" s="204"/>
      <c r="Z395" s="204">
        <f t="shared" si="11"/>
        <v>1</v>
      </c>
      <c r="AA395" s="205"/>
      <c r="AB395" s="203"/>
      <c r="AC395" s="203"/>
      <c r="AD395" s="204">
        <f t="shared" si="12"/>
        <v>0</v>
      </c>
    </row>
    <row r="396" spans="1:30" ht="136" hidden="1" customHeight="1">
      <c r="A396" s="14"/>
      <c r="B396" s="20"/>
      <c r="C396" s="19"/>
      <c r="D396" s="60"/>
      <c r="E396" s="33"/>
      <c r="F396" s="88"/>
      <c r="G396" s="69"/>
      <c r="H396" s="24"/>
      <c r="I396" s="24"/>
      <c r="J396" s="19"/>
      <c r="K396" s="70"/>
      <c r="L396" s="73"/>
      <c r="M396" s="73"/>
      <c r="N396" s="90"/>
      <c r="O396" s="90"/>
      <c r="P396" s="32"/>
      <c r="Q396" s="32" t="str">
        <f>BRD_EPIC2[[#This Row],[system type]]&amp;BRD_EPIC2[[#This Row],[system type2]]</f>
        <v/>
      </c>
      <c r="R396" s="32"/>
      <c r="S396" s="32"/>
      <c r="T396" s="203"/>
      <c r="U396" s="203"/>
      <c r="V396" s="203">
        <f>$U396*DE_Cost!$B$1*8</f>
        <v>0</v>
      </c>
      <c r="W396" s="206">
        <f>$U396*DE_Cost!$B$1</f>
        <v>0</v>
      </c>
      <c r="X396" s="204"/>
      <c r="Y396" s="204"/>
      <c r="Z396" s="204">
        <f t="shared" si="11"/>
        <v>1</v>
      </c>
      <c r="AA396" s="205"/>
      <c r="AB396" s="203"/>
      <c r="AC396" s="203"/>
      <c r="AD396" s="204">
        <f t="shared" si="12"/>
        <v>0</v>
      </c>
    </row>
    <row r="397" spans="1:30" ht="167" hidden="1" customHeight="1">
      <c r="A397" s="14"/>
      <c r="B397" s="20"/>
      <c r="C397" s="19"/>
      <c r="D397" s="60"/>
      <c r="E397" s="33"/>
      <c r="F397" s="88"/>
      <c r="G397" s="69"/>
      <c r="H397" s="24"/>
      <c r="I397" s="24"/>
      <c r="J397" s="19"/>
      <c r="K397" s="70"/>
      <c r="L397" s="73"/>
      <c r="M397" s="73"/>
      <c r="N397" s="90"/>
      <c r="O397" s="90"/>
      <c r="P397" s="32"/>
      <c r="Q397" s="32" t="str">
        <f>BRD_EPIC2[[#This Row],[system type]]&amp;BRD_EPIC2[[#This Row],[system type2]]</f>
        <v/>
      </c>
      <c r="R397" s="32"/>
      <c r="S397" s="32"/>
      <c r="T397" s="203"/>
      <c r="U397" s="203"/>
      <c r="V397" s="203">
        <f>$U397*DE_Cost!$B$1*8</f>
        <v>0</v>
      </c>
      <c r="W397" s="206">
        <f>$U397*DE_Cost!$B$1</f>
        <v>0</v>
      </c>
      <c r="X397" s="204"/>
      <c r="Y397" s="204"/>
      <c r="Z397" s="204">
        <f t="shared" si="11"/>
        <v>1</v>
      </c>
      <c r="AA397" s="205"/>
      <c r="AB397" s="203"/>
      <c r="AC397" s="203"/>
      <c r="AD397" s="204">
        <f t="shared" si="12"/>
        <v>0</v>
      </c>
    </row>
    <row r="398" spans="1:30" ht="27" hidden="1" customHeight="1">
      <c r="A398" s="14"/>
      <c r="B398" s="20"/>
      <c r="C398" s="19"/>
      <c r="D398" s="60"/>
      <c r="E398" s="33"/>
      <c r="F398" s="88"/>
      <c r="G398" s="69"/>
      <c r="H398" s="24"/>
      <c r="I398" s="24"/>
      <c r="J398" s="19"/>
      <c r="K398" s="70"/>
      <c r="L398" s="73"/>
      <c r="M398" s="73"/>
      <c r="N398" s="90"/>
      <c r="O398" s="90"/>
      <c r="P398" s="32"/>
      <c r="Q398" s="32" t="str">
        <f>BRD_EPIC2[[#This Row],[system type]]&amp;BRD_EPIC2[[#This Row],[system type2]]</f>
        <v/>
      </c>
      <c r="R398" s="32"/>
      <c r="S398" s="32"/>
      <c r="T398" s="203"/>
      <c r="U398" s="203"/>
      <c r="V398" s="203">
        <f>$U398*DE_Cost!$B$1*8</f>
        <v>0</v>
      </c>
      <c r="W398" s="206">
        <f>$U398*DE_Cost!$B$1</f>
        <v>0</v>
      </c>
      <c r="X398" s="204"/>
      <c r="Y398" s="204"/>
      <c r="Z398" s="204">
        <f t="shared" si="11"/>
        <v>1</v>
      </c>
      <c r="AA398" s="205"/>
      <c r="AB398" s="203"/>
      <c r="AC398" s="203"/>
      <c r="AD398" s="204">
        <f t="shared" si="12"/>
        <v>0</v>
      </c>
    </row>
    <row r="399" spans="1:30" ht="38.25" customHeight="1">
      <c r="A399" s="82"/>
      <c r="B399" s="84"/>
      <c r="C399" s="60"/>
      <c r="D399" s="60"/>
      <c r="E399" s="33"/>
      <c r="F399" s="98"/>
      <c r="G399" s="99"/>
      <c r="H399" s="245"/>
      <c r="I399" s="245"/>
      <c r="J399" s="60"/>
      <c r="K399" s="100"/>
      <c r="L399" s="101"/>
      <c r="M399" s="101"/>
      <c r="N399" s="205"/>
      <c r="O399" s="205"/>
      <c r="P399" s="203"/>
      <c r="Q399" s="203"/>
      <c r="R399" s="203"/>
      <c r="S399" s="203"/>
      <c r="T399" s="203"/>
      <c r="U399" s="203"/>
      <c r="V399" s="203"/>
      <c r="W399" s="205"/>
      <c r="X399" s="204"/>
      <c r="Y399" s="204"/>
      <c r="Z399" s="204"/>
      <c r="AA399" s="205"/>
      <c r="AB399" s="203"/>
      <c r="AC399" s="203"/>
      <c r="AD399" s="204"/>
    </row>
    <row r="400" spans="1:30" ht="38.25" customHeight="1">
      <c r="A400" s="15"/>
      <c r="B400" s="29"/>
      <c r="C400" s="30"/>
      <c r="D400" s="31"/>
      <c r="E400" s="12"/>
      <c r="F400" s="32"/>
      <c r="G400" s="32"/>
      <c r="H400" s="19"/>
      <c r="I400" s="19"/>
      <c r="J400" s="19"/>
      <c r="K400" s="32"/>
      <c r="L400" s="73"/>
      <c r="M400" s="73"/>
      <c r="R400" s="203"/>
    </row>
    <row r="401" spans="1:13" ht="38.25" customHeight="1">
      <c r="A401" s="15"/>
      <c r="B401" s="29"/>
      <c r="C401" s="30"/>
      <c r="D401" s="31"/>
      <c r="E401" s="12"/>
      <c r="F401" s="32"/>
      <c r="G401" s="32"/>
      <c r="H401" s="19"/>
      <c r="I401" s="19"/>
      <c r="J401" s="19"/>
      <c r="K401" s="32"/>
      <c r="L401" s="73"/>
      <c r="M401" s="73"/>
    </row>
    <row r="402" spans="1:13" ht="38.25" customHeight="1">
      <c r="A402" s="15"/>
      <c r="B402" s="29"/>
      <c r="C402" s="30"/>
      <c r="D402" s="31"/>
      <c r="E402" s="12"/>
      <c r="F402" s="32"/>
      <c r="G402" s="32"/>
      <c r="H402" s="19"/>
      <c r="I402" s="19"/>
      <c r="J402" s="19"/>
      <c r="K402" s="32"/>
      <c r="L402" s="73"/>
      <c r="M402" s="73"/>
    </row>
    <row r="403" spans="1:13" ht="38.25" customHeight="1">
      <c r="A403" s="15"/>
      <c r="B403" s="29"/>
      <c r="C403" s="30"/>
      <c r="D403" s="31"/>
      <c r="E403" s="12"/>
      <c r="F403" s="32"/>
      <c r="G403" s="32"/>
      <c r="H403" s="19"/>
      <c r="I403" s="19"/>
      <c r="J403" s="19"/>
      <c r="K403" s="32"/>
      <c r="L403" s="73"/>
      <c r="M403" s="73"/>
    </row>
    <row r="404" spans="1:13" ht="38.25" customHeight="1">
      <c r="A404" s="15"/>
      <c r="B404" s="29"/>
      <c r="C404" s="30"/>
      <c r="D404" s="31"/>
      <c r="E404" s="12"/>
      <c r="F404" s="32"/>
      <c r="G404" s="32"/>
      <c r="H404" s="19"/>
      <c r="I404" s="19"/>
      <c r="J404" s="19"/>
      <c r="K404" s="32"/>
      <c r="L404" s="73"/>
      <c r="M404" s="73"/>
    </row>
    <row r="405" spans="1:13" ht="38.25" customHeight="1">
      <c r="A405" s="15"/>
      <c r="B405" s="29"/>
      <c r="C405" s="30"/>
      <c r="D405" s="31"/>
      <c r="E405" s="12"/>
      <c r="F405" s="32"/>
      <c r="G405" s="32"/>
      <c r="H405" s="19"/>
      <c r="I405" s="19"/>
      <c r="J405" s="19"/>
      <c r="K405" s="32"/>
      <c r="L405" s="73"/>
      <c r="M405" s="73"/>
    </row>
    <row r="406" spans="1:13" ht="38.25" customHeight="1">
      <c r="A406" s="15"/>
      <c r="B406" s="29"/>
      <c r="C406" s="30"/>
      <c r="D406" s="31"/>
      <c r="E406" s="12"/>
      <c r="F406" s="32"/>
      <c r="G406" s="32"/>
      <c r="H406" s="19"/>
      <c r="I406" s="19"/>
      <c r="J406" s="19"/>
      <c r="K406" s="32"/>
      <c r="L406" s="73"/>
      <c r="M406" s="73"/>
    </row>
    <row r="407" spans="1:13" ht="38.25" customHeight="1">
      <c r="A407" s="15"/>
      <c r="B407" s="29"/>
      <c r="C407" s="30"/>
      <c r="D407" s="31"/>
      <c r="E407" s="12"/>
      <c r="F407" s="32"/>
      <c r="G407" s="32"/>
      <c r="H407" s="19"/>
      <c r="I407" s="19"/>
      <c r="J407" s="19"/>
      <c r="K407" s="32"/>
      <c r="L407" s="73"/>
      <c r="M407" s="73"/>
    </row>
    <row r="408" spans="1:13" ht="38.25" customHeight="1">
      <c r="A408" s="15"/>
      <c r="B408" s="29"/>
      <c r="C408" s="30"/>
      <c r="D408" s="31"/>
      <c r="E408" s="12"/>
      <c r="F408" s="32"/>
      <c r="G408" s="32"/>
      <c r="H408" s="19"/>
      <c r="I408" s="19"/>
      <c r="J408" s="19"/>
      <c r="K408" s="32"/>
      <c r="L408" s="73"/>
      <c r="M408" s="73"/>
    </row>
    <row r="409" spans="1:13" ht="38.25" customHeight="1">
      <c r="A409" s="15"/>
      <c r="B409" s="29"/>
      <c r="C409" s="30"/>
      <c r="D409" s="31"/>
      <c r="E409" s="12"/>
      <c r="F409" s="32"/>
      <c r="G409" s="32"/>
      <c r="H409" s="19"/>
      <c r="I409" s="19"/>
      <c r="J409" s="19"/>
      <c r="K409" s="32"/>
      <c r="L409" s="73"/>
      <c r="M409" s="73"/>
    </row>
    <row r="410" spans="1:13" ht="38.25" customHeight="1">
      <c r="A410" s="15"/>
      <c r="B410" s="29"/>
      <c r="C410" s="30"/>
      <c r="D410" s="31"/>
      <c r="E410" s="12"/>
      <c r="F410" s="32"/>
      <c r="G410" s="32"/>
      <c r="H410" s="19"/>
      <c r="I410" s="19"/>
      <c r="J410" s="19"/>
      <c r="K410" s="32"/>
      <c r="L410" s="73"/>
      <c r="M410" s="73"/>
    </row>
    <row r="411" spans="1:13" ht="38.25" customHeight="1">
      <c r="A411" s="15"/>
      <c r="B411" s="29"/>
      <c r="C411" s="30"/>
      <c r="D411" s="31"/>
      <c r="E411" s="12"/>
      <c r="F411" s="32"/>
      <c r="G411" s="32"/>
      <c r="H411" s="19"/>
      <c r="I411" s="19"/>
      <c r="J411" s="19"/>
      <c r="K411" s="32"/>
      <c r="L411" s="73"/>
      <c r="M411" s="73"/>
    </row>
    <row r="412" spans="1:13" ht="38.25" customHeight="1">
      <c r="A412" s="15"/>
      <c r="B412" s="29"/>
      <c r="C412" s="30"/>
      <c r="D412" s="31"/>
      <c r="E412" s="12"/>
      <c r="F412" s="32"/>
      <c r="G412" s="32"/>
      <c r="H412" s="19"/>
      <c r="I412" s="19"/>
      <c r="J412" s="19"/>
      <c r="K412" s="32"/>
      <c r="L412" s="73"/>
      <c r="M412" s="73"/>
    </row>
    <row r="413" spans="1:13" ht="38.25" customHeight="1">
      <c r="A413" s="15"/>
      <c r="B413" s="29"/>
      <c r="C413" s="30"/>
      <c r="D413" s="31"/>
      <c r="E413" s="12"/>
      <c r="F413" s="32"/>
      <c r="G413" s="32"/>
      <c r="H413" s="19"/>
      <c r="I413" s="19"/>
      <c r="J413" s="19"/>
      <c r="K413" s="32"/>
      <c r="L413" s="73"/>
      <c r="M413" s="73"/>
    </row>
    <row r="414" spans="1:13" ht="38.25" customHeight="1">
      <c r="A414" s="15"/>
      <c r="B414" s="29"/>
      <c r="C414" s="30"/>
      <c r="D414" s="31"/>
      <c r="E414" s="12"/>
      <c r="F414" s="32"/>
      <c r="G414" s="32"/>
      <c r="H414" s="19"/>
      <c r="I414" s="19"/>
      <c r="J414" s="19"/>
      <c r="K414" s="32"/>
      <c r="L414" s="73"/>
      <c r="M414" s="73"/>
    </row>
    <row r="415" spans="1:13" ht="38.25" customHeight="1">
      <c r="A415" s="15"/>
      <c r="B415" s="29"/>
      <c r="C415" s="30"/>
      <c r="D415" s="31"/>
      <c r="E415" s="12"/>
      <c r="F415" s="32"/>
      <c r="G415" s="32"/>
      <c r="H415" s="19"/>
      <c r="I415" s="19"/>
      <c r="J415" s="19"/>
      <c r="K415" s="32"/>
      <c r="L415" s="73"/>
      <c r="M415" s="73"/>
    </row>
    <row r="416" spans="1:13" ht="38.25" customHeight="1">
      <c r="A416" s="15"/>
      <c r="B416" s="29"/>
      <c r="C416" s="30"/>
      <c r="D416" s="31"/>
      <c r="E416" s="12"/>
      <c r="F416" s="32"/>
      <c r="G416" s="32"/>
      <c r="H416" s="19"/>
      <c r="I416" s="19"/>
      <c r="J416" s="19"/>
      <c r="K416" s="32"/>
      <c r="L416" s="73"/>
      <c r="M416" s="73"/>
    </row>
    <row r="417" spans="1:13" ht="38.25" customHeight="1">
      <c r="A417" s="15"/>
      <c r="B417" s="29"/>
      <c r="C417" s="30"/>
      <c r="D417" s="31"/>
      <c r="E417" s="12"/>
      <c r="F417" s="32"/>
      <c r="G417" s="32"/>
      <c r="H417" s="19"/>
      <c r="I417" s="19"/>
      <c r="J417" s="19"/>
      <c r="K417" s="32"/>
      <c r="L417" s="73"/>
      <c r="M417" s="73"/>
    </row>
    <row r="418" spans="1:13" ht="38.25" customHeight="1">
      <c r="A418" s="15"/>
      <c r="B418" s="29"/>
      <c r="C418" s="30"/>
      <c r="D418" s="31"/>
      <c r="E418" s="12"/>
      <c r="F418" s="32"/>
      <c r="G418" s="32"/>
      <c r="H418" s="19"/>
      <c r="I418" s="19"/>
      <c r="J418" s="19"/>
      <c r="K418" s="32"/>
      <c r="L418" s="73"/>
      <c r="M418" s="73"/>
    </row>
    <row r="419" spans="1:13" ht="38.25" customHeight="1">
      <c r="A419" s="15"/>
      <c r="B419" s="29"/>
      <c r="C419" s="30"/>
      <c r="D419" s="31"/>
      <c r="E419" s="12"/>
      <c r="F419" s="32"/>
      <c r="G419" s="32"/>
      <c r="H419" s="19"/>
      <c r="I419" s="19"/>
      <c r="J419" s="19"/>
      <c r="K419" s="32"/>
      <c r="L419" s="73"/>
      <c r="M419" s="73"/>
    </row>
    <row r="420" spans="1:13" ht="38.25" customHeight="1">
      <c r="A420" s="15"/>
      <c r="B420" s="29"/>
      <c r="C420" s="30"/>
      <c r="D420" s="31"/>
      <c r="E420" s="12"/>
      <c r="F420" s="32"/>
      <c r="G420" s="32"/>
      <c r="H420" s="19"/>
      <c r="I420" s="19"/>
      <c r="J420" s="19"/>
      <c r="K420" s="32"/>
      <c r="L420" s="73"/>
      <c r="M420" s="73"/>
    </row>
    <row r="421" spans="1:13" ht="38.25" customHeight="1">
      <c r="A421" s="15"/>
      <c r="B421" s="29"/>
      <c r="C421" s="30"/>
      <c r="D421" s="31"/>
      <c r="E421" s="12"/>
      <c r="F421" s="32"/>
      <c r="G421" s="32"/>
      <c r="H421" s="19"/>
      <c r="I421" s="19"/>
      <c r="J421" s="19"/>
      <c r="K421" s="32"/>
      <c r="L421" s="73"/>
      <c r="M421" s="73"/>
    </row>
    <row r="422" spans="1:13" ht="38.25" customHeight="1">
      <c r="A422" s="15"/>
      <c r="B422" s="29"/>
      <c r="C422" s="30"/>
      <c r="D422" s="31"/>
      <c r="E422" s="12"/>
      <c r="F422" s="32"/>
      <c r="G422" s="32"/>
      <c r="H422" s="19"/>
      <c r="I422" s="19"/>
      <c r="J422" s="19"/>
      <c r="K422" s="32"/>
      <c r="L422" s="73"/>
      <c r="M422" s="73"/>
    </row>
    <row r="423" spans="1:13" ht="38.25" customHeight="1">
      <c r="A423" s="15"/>
      <c r="B423" s="29"/>
      <c r="C423" s="30"/>
      <c r="D423" s="31"/>
      <c r="E423" s="12"/>
      <c r="F423" s="32"/>
      <c r="G423" s="32"/>
      <c r="H423" s="19"/>
      <c r="I423" s="19"/>
      <c r="J423" s="19"/>
      <c r="K423" s="32"/>
      <c r="L423" s="73"/>
      <c r="M423" s="73"/>
    </row>
    <row r="424" spans="1:13" ht="38.25" customHeight="1">
      <c r="A424" s="15"/>
      <c r="B424" s="29"/>
      <c r="C424" s="30"/>
      <c r="D424" s="31"/>
      <c r="E424" s="12"/>
      <c r="F424" s="32"/>
      <c r="G424" s="32"/>
      <c r="H424" s="19"/>
      <c r="I424" s="19"/>
      <c r="J424" s="19"/>
      <c r="K424" s="32"/>
      <c r="L424" s="73"/>
      <c r="M424" s="73"/>
    </row>
    <row r="425" spans="1:13" ht="38.25" customHeight="1">
      <c r="A425" s="15"/>
      <c r="B425" s="29"/>
      <c r="C425" s="30"/>
      <c r="D425" s="31"/>
      <c r="E425" s="12"/>
      <c r="F425" s="32"/>
      <c r="G425" s="32"/>
      <c r="H425" s="19"/>
      <c r="I425" s="19"/>
      <c r="J425" s="19"/>
      <c r="K425" s="32"/>
      <c r="L425" s="73"/>
      <c r="M425" s="73"/>
    </row>
    <row r="426" spans="1:13" ht="38.25" customHeight="1">
      <c r="A426" s="15"/>
      <c r="B426" s="29"/>
      <c r="C426" s="30"/>
      <c r="D426" s="31"/>
      <c r="E426" s="12"/>
      <c r="F426" s="32"/>
      <c r="G426" s="32"/>
      <c r="H426" s="19"/>
      <c r="I426" s="19"/>
      <c r="J426" s="19"/>
      <c r="K426" s="32"/>
      <c r="L426" s="73"/>
      <c r="M426" s="73"/>
    </row>
    <row r="427" spans="1:13" ht="38.25" customHeight="1">
      <c r="A427" s="15"/>
      <c r="B427" s="29"/>
      <c r="C427" s="30"/>
      <c r="D427" s="31"/>
      <c r="E427" s="12"/>
      <c r="F427" s="32"/>
      <c r="G427" s="32"/>
      <c r="H427" s="19"/>
      <c r="I427" s="19"/>
      <c r="J427" s="19"/>
      <c r="K427" s="32"/>
      <c r="L427" s="73"/>
      <c r="M427" s="73"/>
    </row>
    <row r="428" spans="1:13" ht="38.25" customHeight="1">
      <c r="A428" s="15"/>
      <c r="B428" s="29"/>
      <c r="C428" s="30"/>
      <c r="D428" s="31"/>
      <c r="E428" s="12"/>
      <c r="F428" s="32"/>
      <c r="G428" s="32"/>
      <c r="H428" s="19"/>
      <c r="I428" s="19"/>
      <c r="J428" s="19"/>
      <c r="K428" s="32"/>
      <c r="L428" s="73"/>
      <c r="M428" s="73"/>
    </row>
    <row r="429" spans="1:13" ht="38.25" customHeight="1">
      <c r="A429" s="15"/>
      <c r="B429" s="29"/>
      <c r="C429" s="30"/>
      <c r="D429" s="31"/>
      <c r="E429" s="12"/>
      <c r="F429" s="32"/>
      <c r="G429" s="32"/>
      <c r="H429" s="19"/>
      <c r="I429" s="19"/>
      <c r="J429" s="19"/>
      <c r="K429" s="32"/>
      <c r="L429" s="73"/>
      <c r="M429" s="73"/>
    </row>
    <row r="430" spans="1:13" ht="38.25" customHeight="1">
      <c r="A430" s="15"/>
      <c r="B430" s="29"/>
      <c r="C430" s="30"/>
      <c r="D430" s="31"/>
      <c r="E430" s="12"/>
      <c r="F430" s="32"/>
      <c r="G430" s="32"/>
      <c r="H430" s="19"/>
      <c r="I430" s="19"/>
      <c r="J430" s="19"/>
      <c r="K430" s="32"/>
      <c r="L430" s="73"/>
      <c r="M430" s="73"/>
    </row>
    <row r="431" spans="1:13" ht="38.25" customHeight="1">
      <c r="A431" s="15"/>
      <c r="B431" s="29"/>
      <c r="C431" s="30"/>
      <c r="D431" s="31"/>
      <c r="E431" s="12"/>
      <c r="F431" s="32"/>
      <c r="G431" s="32"/>
      <c r="H431" s="19"/>
      <c r="I431" s="19"/>
      <c r="J431" s="19"/>
      <c r="K431" s="32"/>
      <c r="L431" s="73"/>
      <c r="M431" s="73"/>
    </row>
    <row r="432" spans="1:13" ht="38.25" customHeight="1">
      <c r="A432" s="15"/>
      <c r="B432" s="29"/>
      <c r="C432" s="30"/>
      <c r="D432" s="31"/>
      <c r="E432" s="12"/>
      <c r="F432" s="32"/>
      <c r="G432" s="32"/>
      <c r="H432" s="19"/>
      <c r="I432" s="19"/>
      <c r="J432" s="19"/>
      <c r="K432" s="32"/>
      <c r="L432" s="73"/>
      <c r="M432" s="73"/>
    </row>
    <row r="433" spans="1:13" ht="38.25" customHeight="1">
      <c r="A433" s="15"/>
      <c r="B433" s="29"/>
      <c r="C433" s="30"/>
      <c r="D433" s="31"/>
      <c r="E433" s="12"/>
      <c r="F433" s="32"/>
      <c r="G433" s="32"/>
      <c r="H433" s="19"/>
      <c r="I433" s="19"/>
      <c r="J433" s="19"/>
      <c r="K433" s="32"/>
      <c r="L433" s="73"/>
      <c r="M433" s="73"/>
    </row>
    <row r="434" spans="1:13" ht="38.25" customHeight="1">
      <c r="A434" s="15"/>
      <c r="B434" s="29"/>
      <c r="C434" s="30"/>
      <c r="D434" s="31"/>
      <c r="E434" s="12"/>
      <c r="F434" s="32"/>
      <c r="G434" s="32"/>
      <c r="H434" s="19"/>
      <c r="I434" s="19"/>
      <c r="J434" s="19"/>
      <c r="K434" s="32"/>
      <c r="L434" s="73"/>
      <c r="M434" s="73"/>
    </row>
    <row r="435" spans="1:13" ht="38.25" customHeight="1">
      <c r="A435" s="15"/>
      <c r="B435" s="29"/>
      <c r="C435" s="30"/>
      <c r="D435" s="31"/>
      <c r="E435" s="12"/>
      <c r="F435" s="32"/>
      <c r="G435" s="32"/>
      <c r="H435" s="19"/>
      <c r="I435" s="19"/>
      <c r="J435" s="19"/>
      <c r="K435" s="32"/>
      <c r="L435" s="73"/>
      <c r="M435" s="73"/>
    </row>
    <row r="436" spans="1:13" ht="38.25" customHeight="1">
      <c r="A436" s="15"/>
      <c r="B436" s="29"/>
      <c r="C436" s="30"/>
      <c r="D436" s="31"/>
      <c r="E436" s="12"/>
      <c r="F436" s="32"/>
      <c r="G436" s="32"/>
      <c r="H436" s="19"/>
      <c r="I436" s="19"/>
      <c r="J436" s="19"/>
      <c r="K436" s="32"/>
      <c r="L436" s="73"/>
      <c r="M436" s="73"/>
    </row>
    <row r="437" spans="1:13" ht="38.25" customHeight="1">
      <c r="A437" s="15"/>
      <c r="B437" s="29"/>
      <c r="C437" s="30"/>
      <c r="D437" s="31"/>
      <c r="E437" s="12"/>
      <c r="F437" s="32"/>
      <c r="G437" s="32"/>
      <c r="H437" s="19"/>
      <c r="I437" s="19"/>
      <c r="J437" s="19"/>
      <c r="K437" s="32"/>
      <c r="L437" s="73"/>
      <c r="M437" s="73"/>
    </row>
    <row r="438" spans="1:13" ht="38.25" customHeight="1">
      <c r="A438" s="15"/>
      <c r="B438" s="29"/>
      <c r="C438" s="30"/>
      <c r="D438" s="31"/>
      <c r="E438" s="12"/>
      <c r="F438" s="32"/>
      <c r="G438" s="32"/>
      <c r="H438" s="19"/>
      <c r="I438" s="19"/>
      <c r="J438" s="19"/>
      <c r="K438" s="32"/>
      <c r="L438" s="73"/>
      <c r="M438" s="73"/>
    </row>
    <row r="439" spans="1:13" ht="38.25" customHeight="1">
      <c r="A439" s="15"/>
      <c r="B439" s="29"/>
      <c r="C439" s="30"/>
      <c r="D439" s="31"/>
      <c r="E439" s="12"/>
      <c r="F439" s="32"/>
      <c r="G439" s="32"/>
      <c r="H439" s="19"/>
      <c r="I439" s="19"/>
      <c r="J439" s="19"/>
      <c r="K439" s="32"/>
      <c r="L439" s="73"/>
      <c r="M439" s="73"/>
    </row>
    <row r="440" spans="1:13" ht="38.25" customHeight="1">
      <c r="A440" s="15"/>
      <c r="B440" s="29"/>
      <c r="C440" s="30"/>
      <c r="D440" s="31"/>
      <c r="E440" s="12"/>
      <c r="F440" s="32"/>
      <c r="G440" s="32"/>
      <c r="H440" s="19"/>
      <c r="I440" s="19"/>
      <c r="J440" s="19"/>
      <c r="K440" s="32"/>
      <c r="L440" s="73"/>
      <c r="M440" s="73"/>
    </row>
    <row r="441" spans="1:13" ht="38.25" customHeight="1">
      <c r="A441" s="15"/>
      <c r="B441" s="29"/>
      <c r="C441" s="30"/>
      <c r="D441" s="31"/>
      <c r="E441" s="12"/>
      <c r="F441" s="32"/>
      <c r="G441" s="32"/>
      <c r="H441" s="19"/>
      <c r="I441" s="19"/>
      <c r="J441" s="19"/>
      <c r="K441" s="32"/>
      <c r="L441" s="73"/>
      <c r="M441" s="73"/>
    </row>
    <row r="442" spans="1:13" ht="38.25" customHeight="1">
      <c r="A442" s="15"/>
      <c r="B442" s="29"/>
      <c r="C442" s="30"/>
      <c r="D442" s="31"/>
      <c r="E442" s="12"/>
      <c r="F442" s="32"/>
      <c r="G442" s="32"/>
      <c r="H442" s="19"/>
      <c r="I442" s="19"/>
      <c r="J442" s="19"/>
      <c r="K442" s="32"/>
      <c r="L442" s="73"/>
      <c r="M442" s="73"/>
    </row>
    <row r="443" spans="1:13" ht="38.25" customHeight="1">
      <c r="A443" s="15"/>
      <c r="B443" s="29"/>
      <c r="C443" s="30"/>
      <c r="D443" s="31"/>
      <c r="E443" s="12"/>
      <c r="F443" s="32"/>
      <c r="G443" s="32"/>
      <c r="H443" s="19"/>
      <c r="I443" s="19"/>
      <c r="J443" s="19"/>
      <c r="K443" s="32"/>
      <c r="L443" s="73"/>
      <c r="M443" s="73"/>
    </row>
    <row r="444" spans="1:13" ht="38.25" customHeight="1">
      <c r="A444" s="15"/>
      <c r="B444" s="29"/>
      <c r="C444" s="30"/>
      <c r="D444" s="31"/>
      <c r="E444" s="12"/>
      <c r="F444" s="32"/>
      <c r="G444" s="32"/>
      <c r="H444" s="19"/>
      <c r="I444" s="19"/>
      <c r="J444" s="19"/>
      <c r="K444" s="32"/>
      <c r="L444" s="73"/>
      <c r="M444" s="73"/>
    </row>
    <row r="445" spans="1:13" ht="38.25" customHeight="1">
      <c r="A445" s="15"/>
      <c r="B445" s="29"/>
      <c r="C445" s="30"/>
      <c r="D445" s="31"/>
      <c r="E445" s="12"/>
      <c r="F445" s="32"/>
      <c r="G445" s="32"/>
      <c r="H445" s="19"/>
      <c r="I445" s="19"/>
      <c r="J445" s="19"/>
      <c r="K445" s="32"/>
      <c r="L445" s="73"/>
      <c r="M445" s="73"/>
    </row>
    <row r="446" spans="1:13" ht="38.25" customHeight="1">
      <c r="A446" s="15"/>
      <c r="B446" s="29"/>
      <c r="C446" s="30"/>
      <c r="D446" s="31"/>
      <c r="E446" s="12"/>
      <c r="F446" s="32"/>
      <c r="G446" s="32"/>
      <c r="H446" s="19"/>
      <c r="I446" s="19"/>
      <c r="J446" s="19"/>
      <c r="K446" s="32"/>
      <c r="L446" s="73"/>
      <c r="M446" s="73"/>
    </row>
    <row r="447" spans="1:13" ht="38.25" customHeight="1">
      <c r="A447" s="15"/>
      <c r="B447" s="29"/>
      <c r="C447" s="30"/>
      <c r="D447" s="31"/>
      <c r="E447" s="12"/>
      <c r="F447" s="32"/>
      <c r="G447" s="32"/>
      <c r="H447" s="19"/>
      <c r="I447" s="19"/>
      <c r="J447" s="19"/>
      <c r="K447" s="32"/>
      <c r="L447" s="73"/>
      <c r="M447" s="73"/>
    </row>
    <row r="448" spans="1:13" ht="38.25" customHeight="1">
      <c r="A448" s="15"/>
      <c r="B448" s="29"/>
      <c r="C448" s="30"/>
      <c r="D448" s="31"/>
      <c r="E448" s="12"/>
      <c r="F448" s="32"/>
      <c r="G448" s="32"/>
      <c r="H448" s="19"/>
      <c r="I448" s="19"/>
      <c r="J448" s="19"/>
      <c r="K448" s="32"/>
      <c r="L448" s="73"/>
      <c r="M448" s="73"/>
    </row>
    <row r="449" spans="1:13" ht="38.25" customHeight="1">
      <c r="A449" s="15"/>
      <c r="B449" s="29"/>
      <c r="C449" s="30"/>
      <c r="D449" s="31"/>
      <c r="E449" s="12"/>
      <c r="F449" s="32"/>
      <c r="G449" s="32"/>
      <c r="H449" s="19"/>
      <c r="I449" s="19"/>
      <c r="J449" s="19"/>
      <c r="K449" s="32"/>
      <c r="L449" s="73"/>
      <c r="M449" s="73"/>
    </row>
    <row r="450" spans="1:13" ht="38.25" customHeight="1">
      <c r="A450" s="15"/>
      <c r="B450" s="29"/>
      <c r="C450" s="30"/>
      <c r="D450" s="31"/>
      <c r="E450" s="12"/>
      <c r="F450" s="32"/>
      <c r="G450" s="32"/>
      <c r="H450" s="19"/>
      <c r="I450" s="19"/>
      <c r="J450" s="19"/>
      <c r="K450" s="32"/>
      <c r="L450" s="73"/>
      <c r="M450" s="73"/>
    </row>
    <row r="451" spans="1:13" ht="38.25" customHeight="1">
      <c r="A451" s="15"/>
      <c r="B451" s="29"/>
      <c r="C451" s="30"/>
      <c r="D451" s="31"/>
      <c r="E451" s="12"/>
      <c r="F451" s="32"/>
      <c r="G451" s="32"/>
      <c r="H451" s="19"/>
      <c r="I451" s="19"/>
      <c r="J451" s="19"/>
      <c r="K451" s="32"/>
      <c r="L451" s="73"/>
      <c r="M451" s="73"/>
    </row>
    <row r="452" spans="1:13" ht="38.25" customHeight="1">
      <c r="A452" s="15"/>
      <c r="B452" s="29"/>
      <c r="C452" s="30"/>
      <c r="D452" s="31"/>
      <c r="E452" s="12"/>
      <c r="F452" s="32"/>
      <c r="G452" s="32"/>
      <c r="H452" s="19"/>
      <c r="I452" s="19"/>
      <c r="J452" s="19"/>
      <c r="K452" s="32"/>
      <c r="L452" s="73"/>
      <c r="M452" s="73"/>
    </row>
    <row r="453" spans="1:13" ht="38.25" customHeight="1">
      <c r="A453" s="15"/>
      <c r="B453" s="29"/>
      <c r="C453" s="30"/>
      <c r="D453" s="31"/>
      <c r="E453" s="12"/>
      <c r="F453" s="32"/>
      <c r="G453" s="32"/>
      <c r="H453" s="19"/>
      <c r="I453" s="19"/>
      <c r="J453" s="19"/>
      <c r="K453" s="32"/>
      <c r="L453" s="73"/>
      <c r="M453" s="73"/>
    </row>
    <row r="454" spans="1:13" ht="38.25" customHeight="1">
      <c r="A454" s="15"/>
      <c r="B454" s="29"/>
      <c r="C454" s="30"/>
      <c r="D454" s="31"/>
      <c r="E454" s="12"/>
      <c r="F454" s="32"/>
      <c r="G454" s="32"/>
      <c r="H454" s="19"/>
      <c r="I454" s="19"/>
      <c r="J454" s="19"/>
      <c r="K454" s="32"/>
      <c r="L454" s="73"/>
      <c r="M454" s="73"/>
    </row>
    <row r="455" spans="1:13" ht="38.25" customHeight="1">
      <c r="A455" s="15"/>
      <c r="B455" s="29"/>
      <c r="C455" s="30"/>
      <c r="D455" s="31"/>
      <c r="E455" s="12"/>
      <c r="F455" s="32"/>
      <c r="G455" s="32"/>
      <c r="H455" s="19"/>
      <c r="I455" s="19"/>
      <c r="J455" s="19"/>
      <c r="K455" s="32"/>
      <c r="L455" s="73"/>
      <c r="M455" s="73"/>
    </row>
    <row r="456" spans="1:13" ht="38.25" customHeight="1">
      <c r="A456" s="15"/>
      <c r="B456" s="29"/>
      <c r="C456" s="30"/>
      <c r="D456" s="31"/>
      <c r="E456" s="12"/>
      <c r="F456" s="32"/>
      <c r="G456" s="32"/>
      <c r="H456" s="19"/>
      <c r="I456" s="19"/>
      <c r="J456" s="19"/>
      <c r="K456" s="32"/>
      <c r="L456" s="73"/>
      <c r="M456" s="73"/>
    </row>
    <row r="457" spans="1:13" ht="38.25" customHeight="1">
      <c r="A457" s="15"/>
      <c r="B457" s="29"/>
      <c r="C457" s="30"/>
      <c r="D457" s="31"/>
      <c r="E457" s="12"/>
      <c r="F457" s="32"/>
      <c r="G457" s="32"/>
      <c r="H457" s="19"/>
      <c r="I457" s="19"/>
      <c r="J457" s="19"/>
      <c r="K457" s="32"/>
      <c r="L457" s="73"/>
      <c r="M457" s="73"/>
    </row>
    <row r="458" spans="1:13" ht="38.25" customHeight="1">
      <c r="A458" s="15"/>
      <c r="B458" s="29"/>
      <c r="C458" s="30"/>
      <c r="D458" s="31"/>
      <c r="E458" s="12"/>
      <c r="F458" s="32"/>
      <c r="G458" s="32"/>
      <c r="H458" s="19"/>
      <c r="I458" s="19"/>
      <c r="J458" s="19"/>
      <c r="K458" s="32"/>
      <c r="L458" s="73"/>
      <c r="M458" s="73"/>
    </row>
    <row r="459" spans="1:13" ht="38.25" customHeight="1">
      <c r="A459" s="15"/>
      <c r="B459" s="29"/>
      <c r="C459" s="30"/>
      <c r="D459" s="31"/>
      <c r="E459" s="12"/>
      <c r="F459" s="32"/>
      <c r="G459" s="32"/>
      <c r="H459" s="19"/>
      <c r="I459" s="19"/>
      <c r="J459" s="19"/>
      <c r="K459" s="32"/>
      <c r="L459" s="73"/>
      <c r="M459" s="73"/>
    </row>
    <row r="460" spans="1:13" ht="38.25" customHeight="1">
      <c r="A460" s="15"/>
      <c r="B460" s="29"/>
      <c r="C460" s="30"/>
      <c r="D460" s="31"/>
      <c r="E460" s="12"/>
      <c r="F460" s="32"/>
      <c r="G460" s="32"/>
      <c r="H460" s="19"/>
      <c r="I460" s="19"/>
      <c r="J460" s="19"/>
      <c r="K460" s="32"/>
      <c r="L460" s="73"/>
      <c r="M460" s="73"/>
    </row>
    <row r="461" spans="1:13" ht="38.25" customHeight="1">
      <c r="A461" s="15"/>
      <c r="B461" s="29"/>
      <c r="C461" s="30"/>
      <c r="D461" s="31"/>
      <c r="E461" s="12"/>
      <c r="F461" s="32"/>
      <c r="G461" s="32"/>
      <c r="H461" s="19"/>
      <c r="I461" s="19"/>
      <c r="J461" s="19"/>
      <c r="K461" s="32"/>
      <c r="L461" s="73"/>
      <c r="M461" s="73"/>
    </row>
    <row r="462" spans="1:13" ht="38.25" customHeight="1">
      <c r="A462" s="15"/>
      <c r="B462" s="29"/>
      <c r="C462" s="30"/>
      <c r="D462" s="31"/>
      <c r="E462" s="12"/>
      <c r="F462" s="32"/>
      <c r="G462" s="32"/>
      <c r="H462" s="19"/>
      <c r="I462" s="19"/>
      <c r="J462" s="19"/>
      <c r="K462" s="32"/>
      <c r="L462" s="73"/>
      <c r="M462" s="73"/>
    </row>
    <row r="463" spans="1:13" ht="38.25" customHeight="1">
      <c r="A463" s="15"/>
      <c r="B463" s="29"/>
      <c r="C463" s="30"/>
      <c r="D463" s="31"/>
      <c r="E463" s="12"/>
      <c r="F463" s="32"/>
      <c r="G463" s="32"/>
      <c r="H463" s="19"/>
      <c r="I463" s="19"/>
      <c r="J463" s="19"/>
      <c r="K463" s="32"/>
      <c r="L463" s="73"/>
      <c r="M463" s="73"/>
    </row>
    <row r="464" spans="1:13" ht="38.25" customHeight="1">
      <c r="A464" s="15"/>
      <c r="B464" s="29"/>
      <c r="C464" s="30"/>
      <c r="D464" s="31"/>
      <c r="E464" s="12"/>
      <c r="F464" s="32"/>
      <c r="G464" s="32"/>
      <c r="H464" s="19"/>
      <c r="I464" s="19"/>
      <c r="J464" s="19"/>
      <c r="K464" s="32"/>
      <c r="L464" s="73"/>
      <c r="M464" s="73"/>
    </row>
    <row r="465" spans="1:13" ht="38.25" customHeight="1">
      <c r="A465" s="15"/>
      <c r="B465" s="29"/>
      <c r="C465" s="30"/>
      <c r="D465" s="31"/>
      <c r="E465" s="12"/>
      <c r="F465" s="32"/>
      <c r="G465" s="32"/>
      <c r="H465" s="19"/>
      <c r="I465" s="19"/>
      <c r="J465" s="19"/>
      <c r="K465" s="32"/>
      <c r="L465" s="73"/>
      <c r="M465" s="73"/>
    </row>
    <row r="466" spans="1:13" ht="38.25" customHeight="1">
      <c r="A466" s="15"/>
      <c r="B466" s="29"/>
      <c r="C466" s="30"/>
      <c r="D466" s="31"/>
      <c r="E466" s="12"/>
      <c r="F466" s="32"/>
      <c r="G466" s="32"/>
      <c r="H466" s="19"/>
      <c r="I466" s="19"/>
      <c r="J466" s="19"/>
      <c r="K466" s="32"/>
      <c r="L466" s="73"/>
      <c r="M466" s="73"/>
    </row>
    <row r="467" spans="1:13" ht="38.25" customHeight="1">
      <c r="A467" s="15"/>
      <c r="B467" s="29"/>
      <c r="C467" s="30"/>
      <c r="D467" s="31"/>
      <c r="E467" s="12"/>
      <c r="F467" s="32"/>
      <c r="G467" s="32"/>
      <c r="H467" s="19"/>
      <c r="I467" s="19"/>
      <c r="J467" s="19"/>
      <c r="K467" s="32"/>
      <c r="L467" s="73"/>
      <c r="M467" s="73"/>
    </row>
    <row r="468" spans="1:13" ht="38.25" customHeight="1">
      <c r="A468" s="15"/>
      <c r="B468" s="29"/>
      <c r="C468" s="30"/>
      <c r="D468" s="31"/>
      <c r="E468" s="12"/>
      <c r="F468" s="32"/>
      <c r="G468" s="32"/>
      <c r="H468" s="19"/>
      <c r="I468" s="19"/>
      <c r="J468" s="19"/>
      <c r="K468" s="32"/>
      <c r="L468" s="73"/>
      <c r="M468" s="73"/>
    </row>
    <row r="469" spans="1:13" ht="38.25" customHeight="1">
      <c r="A469" s="15"/>
      <c r="B469" s="29"/>
      <c r="C469" s="30"/>
      <c r="D469" s="31"/>
      <c r="E469" s="12"/>
      <c r="F469" s="32"/>
      <c r="G469" s="32"/>
      <c r="H469" s="19"/>
      <c r="I469" s="19"/>
      <c r="J469" s="19"/>
      <c r="K469" s="32"/>
      <c r="L469" s="73"/>
      <c r="M469" s="73"/>
    </row>
    <row r="470" spans="1:13" ht="38.25" customHeight="1">
      <c r="A470" s="15"/>
      <c r="B470" s="29"/>
      <c r="C470" s="30"/>
      <c r="D470" s="31"/>
      <c r="E470" s="12"/>
      <c r="F470" s="32"/>
      <c r="G470" s="32"/>
      <c r="H470" s="19"/>
      <c r="I470" s="19"/>
      <c r="J470" s="19"/>
      <c r="K470" s="32"/>
      <c r="L470" s="73"/>
      <c r="M470" s="73"/>
    </row>
    <row r="471" spans="1:13" ht="38.25" customHeight="1">
      <c r="A471" s="15"/>
      <c r="B471" s="29"/>
      <c r="C471" s="30"/>
      <c r="D471" s="31"/>
      <c r="E471" s="12"/>
      <c r="F471" s="32"/>
      <c r="G471" s="32"/>
      <c r="H471" s="19"/>
      <c r="I471" s="19"/>
      <c r="J471" s="19"/>
      <c r="K471" s="32"/>
      <c r="L471" s="73"/>
      <c r="M471" s="73"/>
    </row>
    <row r="472" spans="1:13" ht="38.25" customHeight="1">
      <c r="A472" s="15"/>
      <c r="B472" s="29"/>
      <c r="C472" s="30"/>
      <c r="D472" s="31"/>
      <c r="E472" s="12"/>
      <c r="F472" s="32"/>
      <c r="G472" s="32"/>
      <c r="H472" s="19"/>
      <c r="I472" s="19"/>
      <c r="J472" s="19"/>
      <c r="K472" s="32"/>
      <c r="L472" s="73"/>
      <c r="M472" s="73"/>
    </row>
    <row r="473" spans="1:13" ht="38.25" customHeight="1">
      <c r="A473" s="15"/>
      <c r="B473" s="29"/>
      <c r="C473" s="30"/>
      <c r="D473" s="31"/>
      <c r="E473" s="12"/>
      <c r="F473" s="32"/>
      <c r="G473" s="32"/>
      <c r="H473" s="19"/>
      <c r="I473" s="19"/>
      <c r="J473" s="19"/>
      <c r="K473" s="32"/>
      <c r="L473" s="73"/>
      <c r="M473" s="73"/>
    </row>
    <row r="474" spans="1:13" ht="38.25" customHeight="1">
      <c r="A474" s="15"/>
      <c r="B474" s="29"/>
      <c r="C474" s="30"/>
      <c r="D474" s="31"/>
      <c r="E474" s="12"/>
      <c r="F474" s="32"/>
      <c r="G474" s="32"/>
      <c r="H474" s="19"/>
      <c r="I474" s="19"/>
      <c r="J474" s="19"/>
      <c r="K474" s="32"/>
      <c r="L474" s="73"/>
      <c r="M474" s="73"/>
    </row>
    <row r="475" spans="1:13" ht="38.25" customHeight="1">
      <c r="A475" s="15"/>
      <c r="B475" s="29"/>
      <c r="C475" s="30"/>
      <c r="D475" s="31"/>
      <c r="E475" s="12"/>
      <c r="F475" s="32"/>
      <c r="G475" s="32"/>
      <c r="H475" s="19"/>
      <c r="I475" s="19"/>
      <c r="J475" s="19"/>
      <c r="K475" s="32"/>
      <c r="L475" s="73"/>
      <c r="M475" s="73"/>
    </row>
    <row r="476" spans="1:13" ht="38.25" customHeight="1">
      <c r="A476" s="15"/>
      <c r="B476" s="29"/>
      <c r="C476" s="30"/>
      <c r="D476" s="31"/>
      <c r="E476" s="12"/>
      <c r="F476" s="32"/>
      <c r="G476" s="32"/>
      <c r="H476" s="19"/>
      <c r="I476" s="19"/>
      <c r="J476" s="19"/>
      <c r="K476" s="32"/>
      <c r="L476" s="73"/>
      <c r="M476" s="73"/>
    </row>
    <row r="477" spans="1:13" ht="38.25" customHeight="1">
      <c r="A477" s="15"/>
      <c r="B477" s="29"/>
      <c r="C477" s="30"/>
      <c r="D477" s="31"/>
      <c r="E477" s="12"/>
      <c r="F477" s="32"/>
      <c r="G477" s="32"/>
      <c r="H477" s="19"/>
      <c r="I477" s="19"/>
      <c r="J477" s="19"/>
      <c r="K477" s="32"/>
      <c r="L477" s="73"/>
      <c r="M477" s="73"/>
    </row>
    <row r="478" spans="1:13" ht="38.25" customHeight="1">
      <c r="A478" s="15"/>
      <c r="B478" s="29"/>
      <c r="C478" s="30"/>
      <c r="D478" s="31"/>
      <c r="E478" s="12"/>
      <c r="F478" s="32"/>
      <c r="G478" s="32"/>
      <c r="H478" s="19"/>
      <c r="I478" s="19"/>
      <c r="J478" s="19"/>
      <c r="K478" s="32"/>
      <c r="L478" s="73"/>
      <c r="M478" s="73"/>
    </row>
    <row r="479" spans="1:13" ht="38.25" customHeight="1">
      <c r="A479" s="15"/>
      <c r="B479" s="29"/>
      <c r="C479" s="30"/>
      <c r="D479" s="31"/>
      <c r="E479" s="12"/>
      <c r="F479" s="32"/>
      <c r="G479" s="32"/>
      <c r="H479" s="19"/>
      <c r="I479" s="19"/>
      <c r="J479" s="19"/>
      <c r="K479" s="32"/>
      <c r="L479" s="73"/>
      <c r="M479" s="73"/>
    </row>
    <row r="480" spans="1:13" ht="38.25" customHeight="1">
      <c r="A480" s="15"/>
      <c r="B480" s="29"/>
      <c r="C480" s="30"/>
      <c r="D480" s="31"/>
      <c r="E480" s="12"/>
      <c r="F480" s="32"/>
      <c r="G480" s="32"/>
      <c r="H480" s="19"/>
      <c r="I480" s="19"/>
      <c r="J480" s="19"/>
      <c r="K480" s="32"/>
      <c r="L480" s="73"/>
      <c r="M480" s="73"/>
    </row>
    <row r="481" spans="1:13" ht="38.25" customHeight="1">
      <c r="A481" s="15"/>
      <c r="B481" s="29"/>
      <c r="C481" s="30"/>
      <c r="D481" s="31"/>
      <c r="E481" s="12"/>
      <c r="F481" s="32"/>
      <c r="G481" s="32"/>
      <c r="H481" s="19"/>
      <c r="I481" s="19"/>
      <c r="J481" s="19"/>
      <c r="K481" s="32"/>
      <c r="L481" s="73"/>
      <c r="M481" s="73"/>
    </row>
    <row r="482" spans="1:13" ht="38.25" customHeight="1">
      <c r="A482" s="15"/>
      <c r="B482" s="29"/>
      <c r="C482" s="30"/>
      <c r="D482" s="31"/>
      <c r="E482" s="12"/>
      <c r="F482" s="32"/>
      <c r="G482" s="32"/>
      <c r="H482" s="19"/>
      <c r="I482" s="19"/>
      <c r="J482" s="19"/>
      <c r="K482" s="32"/>
      <c r="L482" s="73"/>
      <c r="M482" s="73"/>
    </row>
    <row r="483" spans="1:13" ht="38.25" customHeight="1">
      <c r="A483" s="15"/>
      <c r="B483" s="29"/>
      <c r="C483" s="30"/>
      <c r="D483" s="31"/>
      <c r="E483" s="12"/>
      <c r="F483" s="32"/>
      <c r="G483" s="32"/>
      <c r="H483" s="19"/>
      <c r="I483" s="19"/>
      <c r="J483" s="19"/>
      <c r="K483" s="32"/>
      <c r="L483" s="73"/>
      <c r="M483" s="73"/>
    </row>
    <row r="484" spans="1:13" ht="38.25" customHeight="1">
      <c r="A484" s="15"/>
      <c r="B484" s="29"/>
      <c r="C484" s="30"/>
      <c r="D484" s="31"/>
      <c r="E484" s="12"/>
      <c r="F484" s="32"/>
      <c r="G484" s="32"/>
      <c r="H484" s="19"/>
      <c r="I484" s="19"/>
      <c r="J484" s="19"/>
      <c r="K484" s="32"/>
      <c r="L484" s="73"/>
      <c r="M484" s="73"/>
    </row>
    <row r="485" spans="1:13" ht="38.25" customHeight="1">
      <c r="A485" s="15"/>
      <c r="B485" s="29"/>
      <c r="C485" s="30"/>
      <c r="D485" s="31"/>
      <c r="E485" s="12"/>
      <c r="F485" s="32"/>
      <c r="G485" s="32"/>
      <c r="H485" s="19"/>
      <c r="I485" s="19"/>
      <c r="J485" s="19"/>
      <c r="K485" s="32"/>
      <c r="L485" s="73"/>
      <c r="M485" s="73"/>
    </row>
    <row r="486" spans="1:13" ht="38.25" customHeight="1">
      <c r="A486" s="15"/>
      <c r="B486" s="29"/>
      <c r="C486" s="30"/>
      <c r="D486" s="31"/>
      <c r="E486" s="12"/>
      <c r="F486" s="32"/>
      <c r="G486" s="32"/>
      <c r="H486" s="19"/>
      <c r="I486" s="19"/>
      <c r="J486" s="19"/>
      <c r="K486" s="32"/>
      <c r="L486" s="73"/>
      <c r="M486" s="73"/>
    </row>
    <row r="487" spans="1:13" ht="38.25" customHeight="1">
      <c r="A487" s="15"/>
      <c r="B487" s="29"/>
      <c r="C487" s="30"/>
      <c r="D487" s="31"/>
      <c r="E487" s="12"/>
      <c r="F487" s="32"/>
      <c r="G487" s="32"/>
      <c r="H487" s="19"/>
      <c r="I487" s="19"/>
      <c r="J487" s="19"/>
      <c r="K487" s="32"/>
      <c r="L487" s="73"/>
      <c r="M487" s="73"/>
    </row>
    <row r="488" spans="1:13" ht="38.25" customHeight="1">
      <c r="A488" s="15"/>
      <c r="B488" s="29"/>
      <c r="C488" s="30"/>
      <c r="D488" s="31"/>
      <c r="E488" s="12"/>
      <c r="F488" s="32"/>
      <c r="G488" s="32"/>
      <c r="H488" s="19"/>
      <c r="I488" s="19"/>
      <c r="J488" s="19"/>
      <c r="K488" s="32"/>
      <c r="L488" s="73"/>
      <c r="M488" s="73"/>
    </row>
    <row r="489" spans="1:13" ht="38.25" customHeight="1">
      <c r="A489" s="15"/>
      <c r="B489" s="29"/>
      <c r="C489" s="30"/>
      <c r="D489" s="31"/>
      <c r="E489" s="12"/>
      <c r="F489" s="32"/>
      <c r="G489" s="32"/>
      <c r="H489" s="19"/>
      <c r="I489" s="19"/>
      <c r="J489" s="19"/>
      <c r="K489" s="32"/>
      <c r="L489" s="73"/>
      <c r="M489" s="73"/>
    </row>
    <row r="490" spans="1:13" ht="38.25" customHeight="1">
      <c r="A490" s="15"/>
      <c r="B490" s="29"/>
      <c r="C490" s="30"/>
      <c r="D490" s="31"/>
      <c r="E490" s="12"/>
      <c r="F490" s="32"/>
      <c r="G490" s="32"/>
      <c r="H490" s="19"/>
      <c r="I490" s="19"/>
      <c r="J490" s="19"/>
      <c r="K490" s="32"/>
      <c r="L490" s="73"/>
      <c r="M490" s="73"/>
    </row>
    <row r="491" spans="1:13" ht="38.25" customHeight="1">
      <c r="A491" s="15"/>
      <c r="B491" s="29"/>
      <c r="C491" s="30"/>
      <c r="D491" s="31"/>
      <c r="E491" s="12"/>
      <c r="F491" s="32"/>
      <c r="G491" s="32"/>
      <c r="H491" s="19"/>
      <c r="I491" s="19"/>
      <c r="J491" s="19"/>
      <c r="K491" s="32"/>
      <c r="L491" s="73"/>
      <c r="M491" s="73"/>
    </row>
    <row r="492" spans="1:13" ht="38.25" customHeight="1">
      <c r="A492" s="15"/>
      <c r="B492" s="29"/>
      <c r="C492" s="30"/>
      <c r="D492" s="31"/>
      <c r="E492" s="12"/>
      <c r="F492" s="32"/>
      <c r="G492" s="32"/>
      <c r="H492" s="19"/>
      <c r="I492" s="19"/>
      <c r="J492" s="19"/>
      <c r="K492" s="32"/>
      <c r="L492" s="73"/>
      <c r="M492" s="73"/>
    </row>
    <row r="493" spans="1:13" ht="38.25" customHeight="1">
      <c r="A493" s="15"/>
      <c r="B493" s="29"/>
      <c r="C493" s="30"/>
      <c r="D493" s="31"/>
      <c r="E493" s="12"/>
      <c r="F493" s="32"/>
      <c r="G493" s="32"/>
      <c r="H493" s="19"/>
      <c r="I493" s="19"/>
      <c r="J493" s="19"/>
      <c r="K493" s="32"/>
      <c r="L493" s="73"/>
      <c r="M493" s="73"/>
    </row>
    <row r="494" spans="1:13" ht="38.25" customHeight="1">
      <c r="A494" s="15"/>
      <c r="B494" s="29"/>
      <c r="C494" s="30"/>
      <c r="D494" s="31"/>
      <c r="E494" s="12"/>
      <c r="F494" s="32"/>
      <c r="G494" s="32"/>
      <c r="H494" s="19"/>
      <c r="I494" s="19"/>
      <c r="J494" s="19"/>
      <c r="K494" s="32"/>
      <c r="L494" s="73"/>
      <c r="M494" s="73"/>
    </row>
    <row r="495" spans="1:13" ht="38.25" customHeight="1">
      <c r="A495" s="15"/>
      <c r="B495" s="29"/>
      <c r="C495" s="30"/>
      <c r="D495" s="31"/>
      <c r="E495" s="12"/>
      <c r="F495" s="32"/>
      <c r="G495" s="32"/>
      <c r="H495" s="19"/>
      <c r="I495" s="19"/>
      <c r="J495" s="19"/>
      <c r="K495" s="32"/>
      <c r="L495" s="73"/>
      <c r="M495" s="73"/>
    </row>
    <row r="496" spans="1:13" ht="38.25" customHeight="1">
      <c r="A496" s="15"/>
      <c r="B496" s="29"/>
      <c r="C496" s="30"/>
      <c r="D496" s="31"/>
      <c r="E496" s="12"/>
      <c r="F496" s="32"/>
      <c r="G496" s="32"/>
      <c r="H496" s="19"/>
      <c r="I496" s="19"/>
      <c r="J496" s="19"/>
      <c r="K496" s="32"/>
      <c r="L496" s="73"/>
      <c r="M496" s="73"/>
    </row>
    <row r="497" spans="1:13" ht="38.25" customHeight="1">
      <c r="A497" s="15"/>
      <c r="B497" s="29"/>
      <c r="C497" s="30"/>
      <c r="D497" s="31"/>
      <c r="E497" s="12"/>
      <c r="F497" s="32"/>
      <c r="G497" s="32"/>
      <c r="H497" s="19"/>
      <c r="I497" s="19"/>
      <c r="J497" s="19"/>
      <c r="K497" s="32"/>
      <c r="L497" s="73"/>
      <c r="M497" s="73"/>
    </row>
    <row r="498" spans="1:13" ht="38.25" customHeight="1">
      <c r="A498" s="15"/>
      <c r="B498" s="29"/>
      <c r="C498" s="30"/>
      <c r="D498" s="31"/>
      <c r="E498" s="12"/>
      <c r="F498" s="32"/>
      <c r="G498" s="32"/>
      <c r="H498" s="19"/>
      <c r="I498" s="19"/>
      <c r="J498" s="19"/>
      <c r="K498" s="32"/>
      <c r="L498" s="73"/>
      <c r="M498" s="73"/>
    </row>
    <row r="499" spans="1:13" ht="38.25" customHeight="1">
      <c r="A499" s="15"/>
      <c r="B499" s="29"/>
      <c r="C499" s="30"/>
      <c r="D499" s="31"/>
      <c r="E499" s="12"/>
      <c r="F499" s="32"/>
      <c r="G499" s="32"/>
      <c r="H499" s="19"/>
      <c r="I499" s="19"/>
      <c r="J499" s="19"/>
      <c r="K499" s="32"/>
      <c r="L499" s="73"/>
      <c r="M499" s="73"/>
    </row>
    <row r="500" spans="1:13" ht="38.25" customHeight="1"/>
    <row r="501" spans="1:13" ht="38.25" customHeight="1"/>
    <row r="502" spans="1:13" ht="38.25" customHeight="1"/>
    <row r="503" spans="1:13" ht="38.25" customHeight="1"/>
    <row r="504" spans="1:13" ht="38.25" customHeight="1"/>
    <row r="505" spans="1:13" ht="38.25" customHeight="1"/>
    <row r="506" spans="1:13" ht="38.25" customHeight="1"/>
    <row r="507" spans="1:13" ht="38.25" customHeight="1"/>
    <row r="508" spans="1:13" ht="38.25" customHeight="1"/>
    <row r="509" spans="1:13" ht="38.25" customHeight="1"/>
    <row r="510" spans="1:13" ht="38.25" customHeight="1"/>
    <row r="511" spans="1:13" ht="38.25" customHeight="1"/>
    <row r="512" spans="1:13" ht="38.25" customHeight="1"/>
    <row r="513" ht="38.25" customHeight="1"/>
    <row r="514" ht="38.25" customHeight="1"/>
    <row r="515" ht="38.25" customHeight="1"/>
    <row r="516" ht="38.25" customHeight="1"/>
    <row r="517" ht="38.25" customHeight="1"/>
    <row r="518" ht="38.25" customHeight="1"/>
    <row r="519" ht="38.25" customHeight="1"/>
    <row r="520" ht="38.25" customHeight="1"/>
    <row r="521" ht="38.25" customHeight="1"/>
    <row r="522" ht="38.25" customHeight="1"/>
    <row r="523" ht="38.25" customHeight="1"/>
    <row r="524" ht="38.25" customHeight="1"/>
    <row r="525" ht="38.25" customHeight="1"/>
    <row r="526" ht="38.25" customHeight="1"/>
    <row r="527" ht="38.25" customHeight="1"/>
    <row r="528" ht="38.25" customHeight="1"/>
    <row r="529" ht="38.25" customHeight="1"/>
    <row r="530" ht="38.25" customHeight="1"/>
    <row r="531" ht="38.25" customHeight="1"/>
    <row r="532" ht="38.25" customHeight="1"/>
    <row r="533" ht="38.25" customHeight="1"/>
    <row r="534" ht="38.25" customHeight="1"/>
    <row r="535" ht="38.25" customHeight="1"/>
    <row r="536" ht="38.25" customHeight="1"/>
    <row r="537" ht="38.25" customHeight="1"/>
    <row r="538" ht="38.25" customHeight="1"/>
    <row r="539" ht="38.25" customHeight="1"/>
    <row r="540" ht="38.25" customHeight="1"/>
    <row r="541" ht="38.25" customHeight="1"/>
    <row r="542" ht="38.25" customHeight="1"/>
    <row r="543" ht="38.25" customHeight="1"/>
    <row r="544" ht="38.25" customHeight="1"/>
    <row r="545" ht="38.25" customHeight="1"/>
    <row r="546" ht="38.25" customHeight="1"/>
    <row r="547" ht="38.25" customHeight="1"/>
    <row r="548" ht="38.25" customHeight="1"/>
    <row r="549" ht="38.25" customHeight="1"/>
    <row r="550" ht="38.25" customHeight="1"/>
    <row r="551" ht="38.25" customHeight="1"/>
    <row r="552" ht="38.25" customHeight="1"/>
    <row r="553" ht="38.25" customHeight="1"/>
    <row r="554" ht="38.25" customHeight="1"/>
    <row r="555" ht="38.25" customHeight="1"/>
    <row r="556" ht="38.25" customHeight="1"/>
    <row r="557" ht="38.25" customHeight="1"/>
    <row r="558" ht="38.25" customHeight="1"/>
    <row r="559" ht="38.25" customHeight="1"/>
    <row r="560" ht="38.25" customHeight="1"/>
    <row r="561" ht="38.25" customHeight="1"/>
    <row r="562" ht="38.25" customHeight="1"/>
    <row r="563" ht="38.25" customHeight="1"/>
    <row r="564" ht="38.25" customHeight="1"/>
    <row r="565" ht="38.25" customHeight="1"/>
    <row r="566" ht="38.25" customHeight="1"/>
    <row r="567" ht="38.25" customHeight="1"/>
    <row r="568" ht="38.25" customHeight="1"/>
    <row r="569" ht="38.25" customHeight="1"/>
    <row r="570" ht="38.25" customHeight="1"/>
    <row r="571" ht="38.25" customHeight="1"/>
    <row r="572" ht="38.25" customHeight="1"/>
    <row r="573" ht="38.25" customHeight="1"/>
    <row r="574" ht="38.25" customHeight="1"/>
    <row r="575" ht="38.25" customHeight="1"/>
    <row r="576" ht="38.25" customHeight="1"/>
    <row r="577" ht="38.25" customHeight="1"/>
    <row r="578" ht="38.25" customHeight="1"/>
    <row r="579" ht="38.25" customHeight="1"/>
    <row r="580" ht="38.25" customHeight="1"/>
    <row r="581" ht="38.25" customHeight="1"/>
    <row r="582" ht="38.25" customHeight="1"/>
    <row r="583" ht="38.25" customHeight="1"/>
    <row r="584" ht="38.25" customHeight="1"/>
    <row r="585" ht="38.25" customHeight="1"/>
    <row r="586" ht="38.25" customHeight="1"/>
    <row r="587" ht="38.25" customHeight="1"/>
    <row r="588" ht="38.25" customHeight="1"/>
    <row r="589" ht="38.25" customHeight="1"/>
    <row r="590" ht="38.25" customHeight="1"/>
    <row r="591" ht="38.25" customHeight="1"/>
    <row r="592" ht="38.25" customHeight="1"/>
    <row r="593" ht="38.25" customHeight="1"/>
    <row r="594" ht="38.25" customHeight="1"/>
    <row r="595" ht="38.25" customHeight="1"/>
    <row r="596" ht="38.25" customHeight="1"/>
    <row r="597" ht="38.25" customHeight="1"/>
    <row r="598" ht="38.25" customHeight="1"/>
    <row r="599" ht="38.25" customHeight="1"/>
    <row r="600" ht="38.25" customHeight="1"/>
    <row r="601" ht="38.25" customHeight="1"/>
    <row r="602" ht="38.25" customHeight="1"/>
    <row r="603" ht="38.25" customHeight="1"/>
    <row r="604" ht="38.25" customHeight="1"/>
    <row r="605" ht="38.25" customHeight="1"/>
    <row r="606" ht="38.25" customHeight="1"/>
    <row r="607" ht="38.25" customHeight="1"/>
    <row r="608" ht="38.25" customHeight="1"/>
    <row r="609" ht="38.25" customHeight="1"/>
    <row r="610" ht="38.25" customHeight="1"/>
    <row r="611" ht="38.25" customHeight="1"/>
    <row r="612" ht="38.25" customHeight="1"/>
    <row r="613" ht="38.25" customHeight="1"/>
    <row r="614" ht="38.25" customHeight="1"/>
    <row r="615" ht="38.25" customHeight="1"/>
    <row r="616" ht="38.25" customHeight="1"/>
    <row r="617" ht="38.25" customHeight="1"/>
    <row r="618" ht="38.25" customHeight="1"/>
    <row r="619" ht="38.25" customHeight="1"/>
    <row r="620" ht="38.25" customHeight="1"/>
    <row r="621" ht="38.25" customHeight="1"/>
    <row r="622" ht="38.25" customHeight="1"/>
    <row r="623" ht="38.25" customHeight="1"/>
    <row r="624" ht="38.25" customHeight="1"/>
    <row r="625" ht="38.25" customHeight="1"/>
    <row r="626" ht="38.25" customHeight="1"/>
    <row r="627" ht="38.25" customHeight="1"/>
    <row r="628" ht="38.25" customHeight="1"/>
    <row r="629" ht="38.25" customHeight="1"/>
    <row r="630" ht="38.25" customHeight="1"/>
    <row r="631" ht="38.25" customHeight="1"/>
    <row r="632" ht="38.25" customHeight="1"/>
    <row r="633" ht="38.25" customHeight="1"/>
    <row r="634" ht="38.25" customHeight="1"/>
    <row r="635" ht="38.25" customHeight="1"/>
    <row r="636" ht="38.25" customHeight="1"/>
    <row r="637" ht="38.25" customHeight="1"/>
    <row r="638" ht="38.25" customHeight="1"/>
    <row r="639" ht="38.25" customHeight="1"/>
    <row r="640" ht="38.25" customHeight="1"/>
    <row r="641" ht="38.25" customHeight="1"/>
    <row r="642" ht="38.25" customHeight="1"/>
    <row r="643" ht="38.25" customHeight="1"/>
    <row r="644" ht="38.25" customHeight="1"/>
    <row r="645" ht="38.25" customHeight="1"/>
    <row r="646" ht="38.25" customHeight="1"/>
    <row r="647" ht="38.25" customHeight="1"/>
    <row r="648" ht="38.25" customHeight="1"/>
    <row r="649" ht="38.25" customHeight="1"/>
    <row r="650" ht="38.25" customHeight="1"/>
    <row r="651" ht="38.25" customHeight="1"/>
    <row r="652" ht="38.25" customHeight="1"/>
    <row r="653" ht="38.25" customHeight="1"/>
    <row r="654" ht="38.25" customHeight="1"/>
    <row r="655" ht="38.25" customHeight="1"/>
    <row r="656" ht="38.25" customHeight="1"/>
    <row r="657" ht="38.25" customHeight="1"/>
    <row r="658" ht="38.25" customHeight="1"/>
    <row r="659" ht="38.25" customHeight="1"/>
    <row r="660" ht="38.25" customHeight="1"/>
    <row r="661" ht="38.25" customHeight="1"/>
    <row r="662" ht="38.25" customHeight="1"/>
    <row r="663" ht="38.25" customHeight="1"/>
    <row r="664" ht="38.25" customHeight="1"/>
    <row r="665" ht="38.25" customHeight="1"/>
    <row r="666" ht="38.25" customHeight="1"/>
    <row r="667" ht="38.25" customHeight="1"/>
    <row r="668" ht="38.25" customHeight="1"/>
    <row r="669" ht="38.25" customHeight="1"/>
    <row r="670" ht="38.25" customHeight="1"/>
    <row r="671" ht="38.25" customHeight="1"/>
    <row r="672" ht="38.25" customHeight="1"/>
    <row r="673" ht="38.25" customHeight="1"/>
    <row r="674" ht="38.25" customHeight="1"/>
    <row r="675" ht="38.25" customHeight="1"/>
    <row r="676" ht="38.25" customHeight="1"/>
    <row r="677" ht="38.25" customHeight="1"/>
    <row r="678" ht="38.25" customHeight="1"/>
    <row r="679" ht="38.25" customHeight="1"/>
    <row r="680" ht="38.25" customHeight="1"/>
    <row r="681" ht="38.25" customHeight="1"/>
    <row r="682" ht="38.25" customHeight="1"/>
    <row r="683" ht="38.25" customHeight="1"/>
    <row r="684" ht="38.25" customHeight="1"/>
    <row r="685" ht="38.25" customHeight="1"/>
    <row r="686" ht="38.25" customHeight="1"/>
    <row r="687" ht="38.25" customHeight="1"/>
    <row r="688" ht="38.25" customHeight="1"/>
    <row r="689" ht="38.25" customHeight="1"/>
    <row r="690" ht="38.25" customHeight="1"/>
    <row r="691" ht="38.25" customHeight="1"/>
    <row r="692" ht="38.25" customHeight="1"/>
    <row r="693" ht="38.25" customHeight="1"/>
    <row r="694" ht="38.25" customHeight="1"/>
    <row r="695" ht="38.25" customHeight="1"/>
    <row r="696" ht="38.25" customHeight="1"/>
    <row r="697" ht="38.25" customHeight="1"/>
    <row r="698" ht="38.25" customHeight="1"/>
    <row r="699" ht="38.25" customHeight="1"/>
    <row r="700" ht="38.25" customHeight="1"/>
    <row r="701" ht="38.25" customHeight="1"/>
    <row r="702" ht="38.25" customHeight="1"/>
    <row r="703" ht="38.25" customHeight="1"/>
    <row r="704" ht="38.25" customHeight="1"/>
    <row r="705" ht="38.25" customHeight="1"/>
    <row r="706" ht="38.25" customHeight="1"/>
    <row r="707" ht="38.25" customHeight="1"/>
    <row r="708" ht="38.25" customHeight="1"/>
    <row r="709" ht="38.25" customHeight="1"/>
    <row r="710" ht="38.25" customHeight="1"/>
    <row r="711" ht="38.25" customHeight="1"/>
    <row r="712" ht="38.25" customHeight="1"/>
    <row r="713" ht="38.25" customHeight="1"/>
    <row r="714" ht="38.25" customHeight="1"/>
    <row r="715" ht="38.25" customHeight="1"/>
    <row r="716" ht="38.25" customHeight="1"/>
    <row r="717" ht="38.25" customHeight="1"/>
    <row r="718" ht="38.25" customHeight="1"/>
    <row r="719" ht="38.25" customHeight="1"/>
    <row r="720" ht="38.25" customHeight="1"/>
    <row r="721" ht="38.25" customHeight="1"/>
    <row r="722" ht="38.25" customHeight="1"/>
    <row r="723" ht="38.25" customHeight="1"/>
    <row r="724" ht="38.25" customHeight="1"/>
    <row r="725" ht="38.25" customHeight="1"/>
    <row r="726" ht="38.25" customHeight="1"/>
    <row r="727" ht="38.25" customHeight="1"/>
    <row r="728" ht="38.25" customHeight="1"/>
    <row r="729" ht="38.25" customHeight="1"/>
    <row r="730" ht="38.25" customHeight="1"/>
    <row r="731" ht="38.25" customHeight="1"/>
    <row r="732" ht="38.25" customHeight="1"/>
    <row r="733" ht="38.25" customHeight="1"/>
    <row r="734" ht="38.25" customHeight="1"/>
    <row r="735" ht="38.25" customHeight="1"/>
    <row r="736" ht="38.25" customHeight="1"/>
    <row r="737" ht="38.25" customHeight="1"/>
    <row r="738" ht="38.25" customHeight="1"/>
    <row r="739" ht="38.25" customHeight="1"/>
    <row r="740" ht="38.25" customHeight="1"/>
    <row r="741" ht="38.25" customHeight="1"/>
    <row r="742" ht="38.25" customHeight="1"/>
    <row r="743" ht="38.25" customHeight="1"/>
    <row r="744" ht="38.25" customHeight="1"/>
    <row r="745" ht="38.25" customHeight="1"/>
    <row r="746" ht="38.25" customHeight="1"/>
    <row r="747" ht="38.25" customHeight="1"/>
    <row r="748" ht="38.25" customHeight="1"/>
    <row r="749" ht="38.25" customHeight="1"/>
    <row r="750" ht="38.25" customHeight="1"/>
    <row r="751" ht="38.25" customHeight="1"/>
    <row r="752" ht="38.25" customHeight="1"/>
    <row r="753" ht="38.25" customHeight="1"/>
    <row r="754" ht="38.25" customHeight="1"/>
    <row r="755" ht="38.25" customHeight="1"/>
    <row r="756" ht="38.25" customHeight="1"/>
    <row r="757" ht="38.25" customHeight="1"/>
    <row r="758" ht="38.25" customHeight="1"/>
    <row r="759" ht="38.25" customHeight="1"/>
    <row r="760" ht="38.25" customHeight="1"/>
    <row r="761" ht="38.25" customHeight="1"/>
    <row r="762" ht="38.25" customHeight="1"/>
    <row r="763" ht="38.25" customHeight="1"/>
    <row r="764" ht="38.25" customHeight="1"/>
    <row r="765" ht="38.25" customHeight="1"/>
    <row r="766" ht="38.25" customHeight="1"/>
    <row r="767" ht="38.25" customHeight="1"/>
    <row r="768" ht="38.25" customHeight="1"/>
    <row r="769" ht="38.25" customHeight="1"/>
    <row r="770" ht="38.25" customHeight="1"/>
    <row r="771" ht="38.25" customHeight="1"/>
    <row r="772" ht="38.25" customHeight="1"/>
    <row r="773" ht="38.25" customHeight="1"/>
    <row r="774" ht="38.25" customHeight="1"/>
    <row r="775" ht="38.25" customHeight="1"/>
    <row r="776" ht="38.25" customHeight="1"/>
    <row r="777" ht="38.25" customHeight="1"/>
    <row r="778" ht="38.25" customHeight="1"/>
    <row r="779" ht="38.25" customHeight="1"/>
    <row r="780" ht="38.25" customHeight="1"/>
    <row r="781" ht="38.25" customHeight="1"/>
    <row r="782" ht="38.25" customHeight="1"/>
    <row r="783" ht="38.25" customHeight="1"/>
    <row r="784" ht="38.25" customHeight="1"/>
    <row r="785" ht="38.25" customHeight="1"/>
    <row r="786" ht="38.25" customHeight="1"/>
    <row r="787" ht="38.25" customHeight="1"/>
    <row r="788" ht="38.25" customHeight="1"/>
    <row r="789" ht="38.25" customHeight="1"/>
    <row r="790" ht="38.25" customHeight="1"/>
    <row r="791" ht="38.25" customHeight="1"/>
    <row r="792" ht="38.25" customHeight="1"/>
    <row r="793" ht="38.25" customHeight="1"/>
    <row r="794" ht="38.25" customHeight="1"/>
    <row r="795" ht="38.25" customHeight="1"/>
    <row r="796" ht="38.25" customHeight="1"/>
    <row r="797" ht="38.25" customHeight="1"/>
    <row r="798" ht="38.25" customHeight="1"/>
    <row r="799" ht="38.25" customHeight="1"/>
    <row r="800" ht="38.25" customHeight="1"/>
    <row r="801" ht="38.25" customHeight="1"/>
    <row r="802" ht="38.25" customHeight="1"/>
    <row r="803" ht="38.25" customHeight="1"/>
    <row r="804" ht="38.25" customHeight="1"/>
    <row r="805" ht="38.25" customHeight="1"/>
    <row r="806" ht="38.25" customHeight="1"/>
    <row r="807" ht="38.25" customHeight="1"/>
    <row r="808" ht="38.25" customHeight="1"/>
    <row r="809" ht="38.25" customHeight="1"/>
    <row r="810" ht="38.25" customHeight="1"/>
    <row r="811" ht="38.25" customHeight="1"/>
    <row r="812" ht="38.25" customHeight="1"/>
    <row r="813" ht="38.25" customHeight="1"/>
    <row r="814" ht="38.25" customHeight="1"/>
    <row r="815" ht="38.25" customHeight="1"/>
    <row r="816" ht="38.25" customHeight="1"/>
    <row r="817" ht="38.25" customHeight="1"/>
    <row r="818" ht="38.25" customHeight="1"/>
    <row r="819" ht="38.25" customHeight="1"/>
    <row r="820" ht="38.25" customHeight="1"/>
    <row r="821" ht="38.25" customHeight="1"/>
    <row r="822" ht="38.25" customHeight="1"/>
    <row r="823" ht="38.25" customHeight="1"/>
    <row r="824" ht="38.25" customHeight="1"/>
    <row r="825" ht="38.25" customHeight="1"/>
    <row r="826" ht="38.25" customHeight="1"/>
    <row r="827" ht="38.25" customHeight="1"/>
    <row r="828" ht="38.25" customHeight="1"/>
    <row r="829" ht="38.25" customHeight="1"/>
    <row r="830" ht="38.25" customHeight="1"/>
    <row r="831" ht="38.25" customHeight="1"/>
    <row r="832" ht="38.25" customHeight="1"/>
    <row r="833" ht="38.25" customHeight="1"/>
    <row r="834" ht="38.25" customHeight="1"/>
    <row r="835" ht="38.25" customHeight="1"/>
    <row r="836" ht="38.25" customHeight="1"/>
    <row r="837" ht="38.25" customHeight="1"/>
    <row r="838" ht="38.25" customHeight="1"/>
    <row r="839" ht="38.25" customHeight="1"/>
    <row r="840" ht="38.25" customHeight="1"/>
    <row r="841" ht="38.25" customHeight="1"/>
    <row r="842" ht="38.25" customHeight="1"/>
    <row r="843" ht="38.25" customHeight="1"/>
    <row r="844" ht="38.25" customHeight="1"/>
    <row r="845" ht="38.25" customHeight="1"/>
    <row r="846" ht="38.25" customHeight="1"/>
    <row r="847" ht="38.25" customHeight="1"/>
    <row r="848" ht="38.25" customHeight="1"/>
    <row r="849" ht="38.25" customHeight="1"/>
    <row r="850" ht="38.25" customHeight="1"/>
    <row r="851" ht="38.25" customHeight="1"/>
    <row r="852" ht="38.25" customHeight="1"/>
    <row r="853" ht="38.25" customHeight="1"/>
    <row r="854" ht="38.25" customHeight="1"/>
    <row r="855" ht="38.25" customHeight="1"/>
    <row r="856" ht="38.25" customHeight="1"/>
    <row r="857" ht="38.25" customHeight="1"/>
    <row r="858" ht="38.25" customHeight="1"/>
    <row r="859" ht="38.25" customHeight="1"/>
    <row r="860" ht="38.25" customHeight="1"/>
    <row r="861" ht="38.25" customHeight="1"/>
    <row r="862" ht="38.25" customHeight="1"/>
    <row r="863" ht="38.25" customHeight="1"/>
    <row r="864" ht="38.25" customHeight="1"/>
    <row r="865" ht="38.25" customHeight="1"/>
    <row r="866" ht="38.25" customHeight="1"/>
    <row r="867" ht="38.25" customHeight="1"/>
    <row r="868" ht="38.25" customHeight="1"/>
    <row r="869" ht="38.25" customHeight="1"/>
    <row r="870" ht="38.25" customHeight="1"/>
    <row r="871" ht="38.25" customHeight="1"/>
    <row r="872" ht="38.25" customHeight="1"/>
    <row r="873" ht="38.25" customHeight="1"/>
    <row r="874" ht="38.25" customHeight="1"/>
    <row r="875" ht="38.25" customHeight="1"/>
    <row r="876" ht="38.25" customHeight="1"/>
    <row r="877" ht="38.25" customHeight="1"/>
    <row r="878" ht="38.25" customHeight="1"/>
    <row r="879" ht="38.25" customHeight="1"/>
    <row r="880" ht="38.25" customHeight="1"/>
    <row r="881" ht="38.25" customHeight="1"/>
    <row r="882" ht="38.25" customHeight="1"/>
    <row r="883" ht="38.25" customHeight="1"/>
    <row r="884" ht="38.25" customHeight="1"/>
    <row r="885" ht="38.25" customHeight="1"/>
    <row r="886" ht="38.25" customHeight="1"/>
    <row r="887" ht="38.25" customHeight="1"/>
    <row r="888" ht="38.25" customHeight="1"/>
    <row r="889" ht="38.25" customHeight="1"/>
    <row r="890" ht="38.25" customHeight="1"/>
    <row r="891" ht="38.25" customHeight="1"/>
    <row r="892" ht="38.25" customHeight="1"/>
    <row r="893" ht="38.25" customHeight="1"/>
    <row r="894" ht="38.25" customHeight="1"/>
    <row r="895" ht="38.25" customHeight="1"/>
    <row r="896" ht="38.25" customHeight="1"/>
    <row r="897" ht="38.25" customHeight="1"/>
    <row r="898" ht="38.25" customHeight="1"/>
    <row r="899" ht="38.25" customHeight="1"/>
    <row r="900" ht="38.25" customHeight="1"/>
    <row r="901" ht="38.25" customHeight="1"/>
    <row r="902" ht="38.25" customHeight="1"/>
    <row r="903" ht="38.25" customHeight="1"/>
    <row r="904" ht="38.25" customHeight="1"/>
    <row r="905" ht="38.25" customHeight="1"/>
    <row r="906" ht="38.25" customHeight="1"/>
    <row r="907" ht="38.25" customHeight="1"/>
    <row r="908" ht="38.25" customHeight="1"/>
    <row r="909" ht="38.25" customHeight="1"/>
    <row r="910" ht="38.25" customHeight="1"/>
    <row r="911" ht="38.25" customHeight="1"/>
    <row r="912" ht="38.25" customHeight="1"/>
    <row r="913" ht="38.25" customHeight="1"/>
    <row r="914" ht="38.25" customHeight="1"/>
    <row r="915" ht="38.25" customHeight="1"/>
    <row r="916" ht="38.25" customHeight="1"/>
    <row r="917" ht="38.25" customHeight="1"/>
    <row r="918" ht="38.25" customHeight="1"/>
    <row r="919" ht="38.25" customHeight="1"/>
    <row r="920" ht="38.25" customHeight="1"/>
    <row r="921" ht="38.25" customHeight="1"/>
    <row r="922" ht="38.25" customHeight="1"/>
    <row r="923" ht="38.25" customHeight="1"/>
    <row r="924" ht="38.25" customHeight="1"/>
    <row r="925" ht="38.25" customHeight="1"/>
    <row r="926" ht="38.25" customHeight="1"/>
    <row r="927" ht="38.25" customHeight="1"/>
    <row r="928" ht="38.25" customHeight="1"/>
    <row r="929" ht="38.25" customHeight="1"/>
    <row r="930" ht="38.25" customHeight="1"/>
    <row r="931" ht="38.25" customHeight="1"/>
    <row r="932" ht="38.25" customHeight="1"/>
    <row r="933" ht="38.25" customHeight="1"/>
    <row r="934" ht="38.25" customHeight="1"/>
    <row r="935" ht="38.25" customHeight="1"/>
    <row r="936" ht="38.25" customHeight="1"/>
    <row r="937" ht="38.25" customHeight="1"/>
    <row r="938" ht="38.25" customHeight="1"/>
    <row r="939" ht="38.25" customHeight="1"/>
    <row r="940" ht="38.25" customHeight="1"/>
    <row r="941" ht="38.25" customHeight="1"/>
    <row r="942" ht="38.25" customHeight="1"/>
    <row r="943" ht="38.25" customHeight="1"/>
    <row r="944" ht="38.25" customHeight="1"/>
    <row r="945" ht="38.25" customHeight="1"/>
    <row r="946" ht="38.25" customHeight="1"/>
    <row r="947" ht="38.25" customHeight="1"/>
    <row r="948" ht="38.25" customHeight="1"/>
    <row r="949" ht="38.25" customHeight="1"/>
    <row r="950" ht="38.25" customHeight="1"/>
    <row r="951" ht="38.25" customHeight="1"/>
    <row r="952" ht="38.25" customHeight="1"/>
    <row r="953" ht="38.25" customHeight="1"/>
    <row r="954" ht="38.25" customHeight="1"/>
    <row r="955" ht="38.25" customHeight="1"/>
    <row r="956" ht="38.25" customHeight="1"/>
    <row r="957" ht="38.25" customHeight="1"/>
    <row r="958" ht="38.25" customHeight="1"/>
    <row r="959" ht="38.25" customHeight="1"/>
    <row r="960" ht="38.25" customHeight="1"/>
    <row r="961" ht="38.25" customHeight="1"/>
    <row r="962" ht="38.25" customHeight="1"/>
    <row r="963" ht="38.25" customHeight="1"/>
    <row r="964" ht="38.25" customHeight="1"/>
    <row r="965" ht="38.25" customHeight="1"/>
    <row r="966" ht="38.25" customHeight="1"/>
    <row r="967" ht="38.25" customHeight="1"/>
    <row r="968" ht="38.25" customHeight="1"/>
    <row r="969" ht="38.25" customHeight="1"/>
    <row r="970" ht="38.25" customHeight="1"/>
    <row r="971" ht="38.25" customHeight="1"/>
    <row r="972" ht="38.25" customHeight="1"/>
    <row r="973" ht="38.25" customHeight="1"/>
    <row r="974" ht="38.25" customHeight="1"/>
    <row r="975" ht="38.25" customHeight="1"/>
    <row r="976" ht="38.25" customHeight="1"/>
    <row r="977" ht="38.25" customHeight="1"/>
    <row r="978" ht="38.25" customHeight="1"/>
    <row r="979" ht="38.25" customHeight="1"/>
    <row r="980" ht="38.25" customHeight="1"/>
    <row r="981" ht="38.25" customHeight="1"/>
    <row r="982" ht="38.25" customHeight="1"/>
    <row r="983" ht="38.25" customHeight="1"/>
    <row r="984" ht="38.25" customHeight="1"/>
    <row r="985" ht="38.25" customHeight="1"/>
    <row r="986" ht="38.25" customHeight="1"/>
    <row r="987" ht="38.25" customHeight="1"/>
    <row r="988" ht="38.25" customHeight="1"/>
    <row r="989" ht="38.25" customHeight="1"/>
    <row r="990" ht="38.25" customHeight="1"/>
    <row r="991" ht="38.25" customHeight="1"/>
    <row r="992" ht="38.25" customHeight="1"/>
    <row r="993" ht="38.25" customHeight="1"/>
    <row r="994" ht="38.25" customHeight="1"/>
    <row r="995" ht="38.25" customHeight="1"/>
    <row r="996" ht="38.25" customHeight="1"/>
    <row r="997" ht="38.25" customHeight="1"/>
    <row r="998" ht="38.25" customHeight="1"/>
    <row r="999" ht="38.25" customHeight="1"/>
    <row r="1000" ht="38.25" customHeight="1"/>
    <row r="1001" ht="38.25" customHeight="1"/>
    <row r="1002" ht="38.25" customHeight="1"/>
    <row r="1003" ht="38.25" customHeight="1"/>
    <row r="1004" ht="38.25" customHeight="1"/>
    <row r="1005" ht="38.25" customHeight="1"/>
    <row r="1006" ht="38.25" customHeight="1"/>
    <row r="1007" ht="38.25" customHeight="1"/>
    <row r="1008" ht="38.25" customHeight="1"/>
    <row r="1009" ht="38.25" customHeight="1"/>
    <row r="1010" ht="38.25" customHeight="1"/>
    <row r="1011" ht="38.25" customHeight="1"/>
    <row r="1012" ht="38.25" customHeight="1"/>
    <row r="1013" ht="38.25" customHeight="1"/>
    <row r="1014" ht="38.25" customHeight="1"/>
    <row r="1015" ht="38.25" customHeight="1"/>
    <row r="1016" ht="38.25" customHeight="1"/>
    <row r="1017" ht="38.25" customHeight="1"/>
    <row r="1018" ht="38.25" customHeight="1"/>
    <row r="1019" ht="38.25" customHeight="1"/>
    <row r="1020" ht="38.25" customHeight="1"/>
    <row r="1021" ht="38.25" customHeight="1"/>
    <row r="1022" ht="38.25" customHeight="1"/>
    <row r="1023" ht="38.25" customHeight="1"/>
    <row r="1024" ht="38.25" customHeight="1"/>
    <row r="1025" ht="38.25" customHeight="1"/>
    <row r="1026" ht="38.25" customHeight="1"/>
    <row r="1027" ht="38.25" customHeight="1"/>
    <row r="1028" ht="38.25" customHeight="1"/>
    <row r="1029" ht="38.25" customHeight="1"/>
    <row r="1030" ht="38.25" customHeight="1"/>
    <row r="1031" ht="38.25" customHeight="1"/>
    <row r="1032" ht="38.25" customHeight="1"/>
    <row r="1033" ht="38.25" customHeight="1"/>
    <row r="1034" ht="38.25" customHeight="1"/>
    <row r="1035" ht="38.25" customHeight="1"/>
    <row r="1036" ht="38.25" customHeight="1"/>
    <row r="1037" ht="38.25" customHeight="1"/>
    <row r="1038" ht="38.25" customHeight="1"/>
    <row r="1039" ht="38.25" customHeight="1"/>
    <row r="1040" ht="38.25" customHeight="1"/>
    <row r="1041" ht="38.25" customHeight="1"/>
    <row r="1042" ht="38.25" customHeight="1"/>
    <row r="1043" ht="38.25" customHeight="1"/>
    <row r="1044" ht="38.25" customHeight="1"/>
    <row r="1045" ht="38.25" customHeight="1"/>
    <row r="1046" ht="38.25" customHeight="1"/>
    <row r="1047" ht="38.25" customHeight="1"/>
    <row r="1048" ht="38.25" customHeight="1"/>
    <row r="1049" ht="38.25" customHeight="1"/>
    <row r="1050" ht="38.25" customHeight="1"/>
    <row r="1051" ht="38.25" customHeight="1"/>
    <row r="1052" ht="38.25" customHeight="1"/>
    <row r="1053" ht="38.25" customHeight="1"/>
    <row r="1054" ht="38.25" customHeight="1"/>
    <row r="1055" ht="38.25" customHeight="1"/>
    <row r="1056" ht="38.25" customHeight="1"/>
    <row r="1057" ht="38.25" customHeight="1"/>
    <row r="1058" ht="38.25" customHeight="1"/>
    <row r="1059" ht="38.25" customHeight="1"/>
    <row r="1060" ht="38.25" customHeight="1"/>
    <row r="1061" ht="38.25" customHeight="1"/>
    <row r="1062" ht="38.25" customHeight="1"/>
    <row r="1063" ht="38.25" customHeight="1"/>
    <row r="1064" ht="38.25" customHeight="1"/>
    <row r="1065" ht="38.25" customHeight="1"/>
    <row r="1066" ht="38.25" customHeight="1"/>
    <row r="1067" ht="38.25" customHeight="1"/>
    <row r="1068" ht="38.25" customHeight="1"/>
    <row r="1069" ht="38.25" customHeight="1"/>
    <row r="1070" ht="38.25" customHeight="1"/>
    <row r="1071" ht="38.25" customHeight="1"/>
    <row r="1072" ht="38.25" customHeight="1"/>
    <row r="1073" ht="38.25" customHeight="1"/>
    <row r="1074" ht="38.25" customHeight="1"/>
    <row r="1075" ht="38.25" customHeight="1"/>
    <row r="1076" ht="38.25" customHeight="1"/>
    <row r="1077" ht="38.25" customHeight="1"/>
    <row r="1078" ht="38.25" customHeight="1"/>
    <row r="1079" ht="38.25" customHeight="1"/>
    <row r="1080" ht="38.25" customHeight="1"/>
    <row r="1081" ht="38.25" customHeight="1"/>
    <row r="1082" ht="38.25" customHeight="1"/>
    <row r="1083" ht="38.25" customHeight="1"/>
    <row r="1084" ht="38.25" customHeight="1"/>
    <row r="1085" ht="38.25" customHeight="1"/>
    <row r="1086" ht="38.25" customHeight="1"/>
    <row r="1087" ht="38.25" customHeight="1"/>
    <row r="1088" ht="38.25" customHeight="1"/>
    <row r="1089" ht="38.25" customHeight="1"/>
    <row r="1090" ht="38.25" customHeight="1"/>
    <row r="1091" ht="38.25" customHeight="1"/>
    <row r="1092" ht="38.25" customHeight="1"/>
    <row r="1093" ht="38.25" customHeight="1"/>
    <row r="1094" ht="38.25" customHeight="1"/>
    <row r="1095" ht="38.25" customHeight="1"/>
    <row r="1096" ht="38.25" customHeight="1"/>
    <row r="1097" ht="38.25" customHeight="1"/>
    <row r="1098" ht="38.25" customHeight="1"/>
    <row r="1099" ht="38.25" customHeight="1"/>
    <row r="1100" ht="38.25" customHeight="1"/>
    <row r="1101" ht="38.25" customHeight="1"/>
    <row r="1102" ht="38.25" customHeight="1"/>
    <row r="1103" ht="38.25" customHeight="1"/>
    <row r="1104" ht="38.25" customHeight="1"/>
    <row r="1105" ht="38.25" customHeight="1"/>
    <row r="1106" ht="38.25" customHeight="1"/>
    <row r="1107" ht="38.25" customHeight="1"/>
    <row r="1108" ht="38.25" customHeight="1"/>
    <row r="1109" ht="38.25" customHeight="1"/>
    <row r="1110" ht="38.25" customHeight="1"/>
    <row r="1111" ht="38.25" customHeight="1"/>
    <row r="1112" ht="38.25" customHeight="1"/>
    <row r="1113" ht="38.25" customHeight="1"/>
    <row r="1114" ht="38.25" customHeight="1"/>
    <row r="1115" ht="38.25" customHeight="1"/>
    <row r="1116" ht="38.25" customHeight="1"/>
    <row r="1117" ht="38.25" customHeight="1"/>
    <row r="1118" ht="38.25" customHeight="1"/>
    <row r="1119" ht="38.25" customHeight="1"/>
    <row r="1120" ht="38.25" customHeight="1"/>
    <row r="1121" ht="38.25" customHeight="1"/>
    <row r="1122" ht="38.25" customHeight="1"/>
    <row r="1123" ht="38.25" customHeight="1"/>
    <row r="1124" ht="38.25" customHeight="1"/>
    <row r="1125" ht="38.25" customHeight="1"/>
    <row r="1126" ht="38.25" customHeight="1"/>
    <row r="1127" ht="38.25" customHeight="1"/>
    <row r="1128" ht="38.25" customHeight="1"/>
    <row r="1129" ht="38.25" customHeight="1"/>
    <row r="1130" ht="38.25" customHeight="1"/>
    <row r="1131" ht="38.25" customHeight="1"/>
    <row r="1132" ht="38.25" customHeight="1"/>
    <row r="1133" ht="38.25" customHeight="1"/>
    <row r="1134" ht="38.25" customHeight="1"/>
    <row r="1135" ht="38.25" customHeight="1"/>
    <row r="1136" ht="38.25" customHeight="1"/>
    <row r="1137" ht="38.25" customHeight="1"/>
    <row r="1138" ht="38.25" customHeight="1"/>
    <row r="1139" ht="38.25" customHeight="1"/>
    <row r="1140" ht="38.25" customHeight="1"/>
    <row r="1141" ht="38.25" customHeight="1"/>
    <row r="1142" ht="38.25" customHeight="1"/>
    <row r="1143" ht="38.25" customHeight="1"/>
    <row r="1144" ht="38.25" customHeight="1"/>
    <row r="1145" ht="38.25" customHeight="1"/>
    <row r="1146" ht="38.25" customHeight="1"/>
    <row r="1147" ht="38.25" customHeight="1"/>
    <row r="1148" ht="38.25" customHeight="1"/>
    <row r="1149" ht="38.25" customHeight="1"/>
    <row r="1150" ht="38.25" customHeight="1"/>
    <row r="1151" ht="38.25" customHeight="1"/>
    <row r="1152" ht="38.25" customHeight="1"/>
    <row r="1153" ht="38.25" customHeight="1"/>
    <row r="1154" ht="38.25" customHeight="1"/>
    <row r="1155" ht="38.25" customHeight="1"/>
    <row r="1156" ht="38.25" customHeight="1"/>
    <row r="1157" ht="38.25" customHeight="1"/>
    <row r="1158" ht="38.25" customHeight="1"/>
    <row r="1159" ht="38.25" customHeight="1"/>
    <row r="1160" ht="38.25" customHeight="1"/>
    <row r="1161" ht="38.25" customHeight="1"/>
    <row r="1162" ht="38.25" customHeight="1"/>
    <row r="1163" ht="38.25" customHeight="1"/>
    <row r="1164" ht="38.25" customHeight="1"/>
    <row r="1165" ht="38.25" customHeight="1"/>
    <row r="1166" ht="38.25" customHeight="1"/>
    <row r="1167" ht="38.25" customHeight="1"/>
    <row r="1168" ht="38.25" customHeight="1"/>
    <row r="1169" ht="38.25" customHeight="1"/>
    <row r="1170" ht="38.25" customHeight="1"/>
    <row r="1171" ht="38.25" customHeight="1"/>
    <row r="1172" ht="38.25" customHeight="1"/>
    <row r="1173" ht="38.25" customHeight="1"/>
    <row r="1174" ht="38.25" customHeight="1"/>
    <row r="1175" ht="38.25" customHeight="1"/>
    <row r="1176" ht="38.25" customHeight="1"/>
    <row r="1177" ht="38.25" customHeight="1"/>
    <row r="1178" ht="38.25" customHeight="1"/>
    <row r="1179" ht="38.25" customHeight="1"/>
    <row r="1180" ht="38.25" customHeight="1"/>
    <row r="1181" ht="38.25" customHeight="1"/>
    <row r="1182" ht="38.25" customHeight="1"/>
    <row r="1183" ht="38.25" customHeight="1"/>
    <row r="1184" ht="38.25" customHeight="1"/>
    <row r="1185" ht="38.25" customHeight="1"/>
    <row r="1186" ht="38.25" customHeight="1"/>
    <row r="1187" ht="38.25" customHeight="1"/>
    <row r="1188" ht="38.25" customHeight="1"/>
    <row r="1189" ht="38.25" customHeight="1"/>
    <row r="1190" ht="38.25" customHeight="1"/>
    <row r="1191" ht="38.25" customHeight="1"/>
    <row r="1192" ht="38.25" customHeight="1"/>
    <row r="1193" ht="38.25" customHeight="1"/>
    <row r="1194" ht="38.25" customHeight="1"/>
    <row r="1195" ht="38.25" customHeight="1"/>
    <row r="1196" ht="38.25" customHeight="1"/>
    <row r="1197" ht="38.25" customHeight="1"/>
    <row r="1198" ht="38.25" customHeight="1"/>
    <row r="1199" ht="38.25" customHeight="1"/>
    <row r="1200" ht="38.25" customHeight="1"/>
    <row r="1201" ht="38.25" customHeight="1"/>
    <row r="1202" ht="38.25" customHeight="1"/>
    <row r="1203" ht="38.25" customHeight="1"/>
    <row r="1204" ht="38.25" customHeight="1"/>
    <row r="1205" ht="38.25" customHeight="1"/>
    <row r="1206" ht="38.25" customHeight="1"/>
    <row r="1207" ht="38.25" customHeight="1"/>
    <row r="1208" ht="38.25" customHeight="1"/>
    <row r="1209" ht="38.25" customHeight="1"/>
    <row r="1210" ht="38.25" customHeight="1"/>
    <row r="1211" ht="38.25" customHeight="1"/>
    <row r="1212" ht="38.25" customHeight="1"/>
    <row r="1213" ht="38.25" customHeight="1"/>
    <row r="1214" ht="38.25" customHeight="1"/>
    <row r="1215" ht="38.25" customHeight="1"/>
    <row r="1216" ht="38.25" customHeight="1"/>
    <row r="1217" ht="38.25" customHeight="1"/>
    <row r="1218" ht="38.25" customHeight="1"/>
    <row r="1219" ht="38.25" customHeight="1"/>
    <row r="1220" ht="38.25" customHeight="1"/>
    <row r="1221" ht="38.25" customHeight="1"/>
    <row r="1222" ht="38.25" customHeight="1"/>
    <row r="1223" ht="38.25" customHeight="1"/>
    <row r="1224" ht="38.25" customHeight="1"/>
    <row r="1225" ht="38.25" customHeight="1"/>
    <row r="1226" ht="38.25" customHeight="1"/>
    <row r="1227" ht="38.25" customHeight="1"/>
    <row r="1228" ht="38.25" customHeight="1"/>
    <row r="1229" ht="38.25" customHeight="1"/>
    <row r="1230" ht="38.25" customHeight="1"/>
    <row r="1231" ht="38.25" customHeight="1"/>
    <row r="1232" ht="38.25" customHeight="1"/>
    <row r="1233" ht="38.25" customHeight="1"/>
    <row r="1234" ht="38.25" customHeight="1"/>
    <row r="1235" ht="38.25" customHeight="1"/>
    <row r="1236" ht="38.25" customHeight="1"/>
    <row r="1237" ht="38.25" customHeight="1"/>
    <row r="1238" ht="38.25" customHeight="1"/>
    <row r="1239" ht="38.25" customHeight="1"/>
    <row r="1240" ht="38.25" customHeight="1"/>
    <row r="1241" ht="38.25" customHeight="1"/>
    <row r="1242" ht="38.25" customHeight="1"/>
    <row r="1243" ht="38.25" customHeight="1"/>
    <row r="1244" ht="38.25" customHeight="1"/>
    <row r="1245" ht="38.25" customHeight="1"/>
    <row r="1246" ht="38.25" customHeight="1"/>
    <row r="1247" ht="38.25" customHeight="1"/>
    <row r="1248" ht="38.25" customHeight="1"/>
    <row r="1249" ht="38.25" customHeight="1"/>
    <row r="1250" ht="38.25" customHeight="1"/>
    <row r="1251" ht="38.25" customHeight="1"/>
    <row r="1252" ht="38.25" customHeight="1"/>
    <row r="1253" ht="38.25" customHeight="1"/>
    <row r="1254" ht="38.25" customHeight="1"/>
    <row r="1255" ht="38.25" customHeight="1"/>
    <row r="1256" ht="38.25" customHeight="1"/>
    <row r="1257" ht="38.25" customHeight="1"/>
    <row r="1258" ht="38.25" customHeight="1"/>
    <row r="1259" ht="38.25" customHeight="1"/>
    <row r="1260" ht="38.25" customHeight="1"/>
    <row r="1261" ht="38.25" customHeight="1"/>
    <row r="1262" ht="38.25" customHeight="1"/>
    <row r="1263" ht="38.25" customHeight="1"/>
    <row r="1264" ht="38.25" customHeight="1"/>
    <row r="1265" ht="38.25" customHeight="1"/>
    <row r="1266" ht="38.25" customHeight="1"/>
    <row r="1267" ht="38.25" customHeight="1"/>
    <row r="1268" ht="38.25" customHeight="1"/>
    <row r="1269" ht="38.25" customHeight="1"/>
    <row r="1270" ht="38.25" customHeight="1"/>
    <row r="1271" ht="38.25" customHeight="1"/>
    <row r="1272" ht="38.25" customHeight="1"/>
    <row r="1273" ht="38.25" customHeight="1"/>
    <row r="1274" ht="38.25" customHeight="1"/>
    <row r="1275" ht="38.25" customHeight="1"/>
    <row r="1276" ht="38.25" customHeight="1"/>
    <row r="1277" ht="38.25" customHeight="1"/>
    <row r="1278" ht="38.25" customHeight="1"/>
    <row r="1279" ht="38.25" customHeight="1"/>
    <row r="1280" ht="38.25" customHeight="1"/>
    <row r="1281" ht="38.25" customHeight="1"/>
    <row r="1282" ht="38.25" customHeight="1"/>
    <row r="1283" ht="38.25" customHeight="1"/>
    <row r="1284" ht="38.25" customHeight="1"/>
    <row r="1285" ht="38.25" customHeight="1"/>
    <row r="1286" ht="38.25" customHeight="1"/>
    <row r="1287" ht="38.25" customHeight="1"/>
    <row r="1288" ht="38.25" customHeight="1"/>
    <row r="1289" ht="38.25" customHeight="1"/>
    <row r="1290" ht="38.25" customHeight="1"/>
    <row r="1291" ht="38.25" customHeight="1"/>
    <row r="1292" ht="38.25" customHeight="1"/>
    <row r="1293" ht="38.25" customHeight="1"/>
    <row r="1294" ht="38.25" customHeight="1"/>
    <row r="1295" ht="38.25" customHeight="1"/>
    <row r="1296" ht="38.25" customHeight="1"/>
    <row r="1297" ht="38.25" customHeight="1"/>
    <row r="1298" ht="38.25" customHeight="1"/>
    <row r="1299" ht="38.25" customHeight="1"/>
    <row r="1300" ht="38.25" customHeight="1"/>
    <row r="1301" ht="38.25" customHeight="1"/>
    <row r="1302" ht="38.25" customHeight="1"/>
    <row r="1303" ht="38.25" customHeight="1"/>
    <row r="1304" ht="38.25" customHeight="1"/>
    <row r="1305" ht="38.25" customHeight="1"/>
    <row r="1306" ht="38.25" customHeight="1"/>
    <row r="1307" ht="38.25" customHeight="1"/>
    <row r="1308" ht="38.25" customHeight="1"/>
    <row r="1309" ht="38.25" customHeight="1"/>
    <row r="1310" ht="38.25" customHeight="1"/>
    <row r="1311" ht="38.25" customHeight="1"/>
    <row r="1312" ht="38.25" customHeight="1"/>
    <row r="1313" ht="38.25" customHeight="1"/>
    <row r="1314" ht="38.25" customHeight="1"/>
    <row r="1315" ht="38.25" customHeight="1"/>
    <row r="1316" ht="38.25" customHeight="1"/>
    <row r="1317" ht="38.25" customHeight="1"/>
    <row r="1318" ht="38.25" customHeight="1"/>
    <row r="1319" ht="38.25" customHeight="1"/>
    <row r="1320" ht="38.25" customHeight="1"/>
    <row r="1321" ht="38.25" customHeight="1"/>
    <row r="1322" ht="38.25" customHeight="1"/>
    <row r="1323" ht="38.25" customHeight="1"/>
    <row r="1324" ht="38.25" customHeight="1"/>
    <row r="1325" ht="38.25" customHeight="1"/>
    <row r="1326" ht="38.25" customHeight="1"/>
    <row r="1327" ht="38.25" customHeight="1"/>
    <row r="1328" ht="38.25" customHeight="1"/>
    <row r="1329" ht="38.25" customHeight="1"/>
    <row r="1330" ht="38.25" customHeight="1"/>
    <row r="1331" ht="38.25" customHeight="1"/>
    <row r="1332" ht="38.25" customHeight="1"/>
    <row r="1333" ht="38.25" customHeight="1"/>
    <row r="1334" ht="38.25" customHeight="1"/>
    <row r="1335" ht="38.25" customHeight="1"/>
    <row r="1336" ht="38.25" customHeight="1"/>
    <row r="1337" ht="38.25" customHeight="1"/>
    <row r="1338" ht="38.25" customHeight="1"/>
    <row r="1339" ht="38.25" customHeight="1"/>
    <row r="1340" ht="38.25" customHeight="1"/>
    <row r="1341" ht="38.25" customHeight="1"/>
    <row r="1342" ht="38.25" customHeight="1"/>
    <row r="1343" ht="38.25" customHeight="1"/>
    <row r="1344" ht="38.25" customHeight="1"/>
    <row r="1345" ht="38.25" customHeight="1"/>
    <row r="1346" ht="38.25" customHeight="1"/>
    <row r="1347" ht="38.25" customHeight="1"/>
    <row r="1348" ht="38.25" customHeight="1"/>
    <row r="1349" ht="38.25" customHeight="1"/>
    <row r="1350" ht="38.25" customHeight="1"/>
    <row r="1351" ht="38.25" customHeight="1"/>
    <row r="1352" ht="38.25" customHeight="1"/>
    <row r="1353" ht="38.25" customHeight="1"/>
    <row r="1354" ht="38.25" customHeight="1"/>
    <row r="1355" ht="38.25" customHeight="1"/>
    <row r="1356" ht="38.25" customHeight="1"/>
    <row r="1357" ht="38.25" customHeight="1"/>
    <row r="1358" ht="38.25" customHeight="1"/>
    <row r="1359" ht="38.25" customHeight="1"/>
    <row r="1360" ht="38.25" customHeight="1"/>
    <row r="1361" ht="38.25" customHeight="1"/>
    <row r="1362" ht="38.25" customHeight="1"/>
    <row r="1363" ht="38.25" customHeight="1"/>
    <row r="1364" ht="38.25" customHeight="1"/>
    <row r="1365" ht="38.25" customHeight="1"/>
    <row r="1366" ht="38.25" customHeight="1"/>
    <row r="1367" ht="38.25" customHeight="1"/>
    <row r="1368" ht="38.25" customHeight="1"/>
    <row r="1369" ht="38.25" customHeight="1"/>
    <row r="1370" ht="38.25" customHeight="1"/>
    <row r="1371" ht="38.25" customHeight="1"/>
    <row r="1372" ht="38.25" customHeight="1"/>
    <row r="1373" ht="38.25" customHeight="1"/>
    <row r="1374" ht="38.25" customHeight="1"/>
    <row r="1375" ht="38.25" customHeight="1"/>
    <row r="1376" ht="38.25" customHeight="1"/>
    <row r="1377" ht="38.25" customHeight="1"/>
    <row r="1378" ht="38.25" customHeight="1"/>
    <row r="1379" ht="38.25" customHeight="1"/>
    <row r="1380" ht="38.25" customHeight="1"/>
    <row r="1381" ht="38.25" customHeight="1"/>
    <row r="1382" ht="38.25" customHeight="1"/>
    <row r="1383" ht="38.25" customHeight="1"/>
    <row r="1384" ht="38.25" customHeight="1"/>
    <row r="1385" ht="38.25" customHeight="1"/>
    <row r="1386" ht="38.25" customHeight="1"/>
    <row r="1387" ht="38.25" customHeight="1"/>
    <row r="1388" ht="38.25" customHeight="1"/>
    <row r="1389" ht="38.25" customHeight="1"/>
    <row r="1390" ht="38.25" customHeight="1"/>
    <row r="1391" ht="38.25" customHeight="1"/>
    <row r="1392" ht="38.25" customHeight="1"/>
    <row r="1393" ht="38.25" customHeight="1"/>
    <row r="1394" ht="38.25" customHeight="1"/>
    <row r="1395" ht="38.25" customHeight="1"/>
    <row r="1396" ht="38.25" customHeight="1"/>
    <row r="1397" ht="38.25" customHeight="1"/>
    <row r="1398" ht="38.25" customHeight="1"/>
    <row r="1399" ht="38.25" customHeight="1"/>
    <row r="1400" ht="38.25" customHeight="1"/>
    <row r="1401" ht="38.25" customHeight="1"/>
    <row r="1402" ht="38.25" customHeight="1"/>
    <row r="1403" ht="38.25" customHeight="1"/>
    <row r="1404" ht="38.25" customHeight="1"/>
    <row r="1405" ht="38.25" customHeight="1"/>
    <row r="1406" ht="38.25" customHeight="1"/>
    <row r="1407" ht="38.25" customHeight="1"/>
    <row r="1408" ht="38.25" customHeight="1"/>
    <row r="1409" ht="38.25" customHeight="1"/>
    <row r="1410" ht="38.25" customHeight="1"/>
    <row r="1411" ht="38.25" customHeight="1"/>
    <row r="1412" ht="38.25" customHeight="1"/>
    <row r="1413" ht="38.25" customHeight="1"/>
    <row r="1414" ht="38.25" customHeight="1"/>
    <row r="1415" ht="38.25" customHeight="1"/>
    <row r="1416" ht="38.25" customHeight="1"/>
    <row r="1417" ht="38.25" customHeight="1"/>
    <row r="1418" ht="38.25" customHeight="1"/>
    <row r="1419" ht="38.25" customHeight="1"/>
    <row r="1420" ht="38.25" customHeight="1"/>
    <row r="1421" ht="38.25" customHeight="1"/>
    <row r="1422" ht="38.25" customHeight="1"/>
    <row r="1423" ht="38.25" customHeight="1"/>
    <row r="1424" ht="38.25" customHeight="1"/>
    <row r="1425" ht="38.25" customHeight="1"/>
    <row r="1426" ht="38.25" customHeight="1"/>
    <row r="1427" ht="38.25" customHeight="1"/>
    <row r="1428" ht="38.25" customHeight="1"/>
    <row r="1429" ht="38.25" customHeight="1"/>
    <row r="1430" ht="38.25" customHeight="1"/>
    <row r="1431" ht="38.25" customHeight="1"/>
    <row r="1432" ht="38.25" customHeight="1"/>
    <row r="1433" ht="38.25" customHeight="1"/>
    <row r="1434" ht="38.25" customHeight="1"/>
    <row r="1435" ht="38.25" customHeight="1"/>
    <row r="1436" ht="38.25" customHeight="1"/>
    <row r="1437" ht="38.25" customHeight="1"/>
    <row r="1438" ht="38.25" customHeight="1"/>
    <row r="1439" ht="38.25" customHeight="1"/>
    <row r="1440" ht="38.25" customHeight="1"/>
    <row r="1441" ht="38.25" customHeight="1"/>
    <row r="1442" ht="38.25" customHeight="1"/>
    <row r="1443" ht="38.25" customHeight="1"/>
    <row r="1444" ht="38.25" customHeight="1"/>
    <row r="1445" ht="38.25" customHeight="1"/>
    <row r="1446" ht="38.25" customHeight="1"/>
    <row r="1447" ht="38.25" customHeight="1"/>
    <row r="1448" ht="38.25" customHeight="1"/>
    <row r="1449" ht="38.25" customHeight="1"/>
    <row r="1450" ht="38.25" customHeight="1"/>
    <row r="1451" ht="38.25" customHeight="1"/>
    <row r="1452" ht="38.25" customHeight="1"/>
    <row r="1453" ht="38.25" customHeight="1"/>
    <row r="1454" ht="38.25" customHeight="1"/>
    <row r="1455" ht="38.25" customHeight="1"/>
    <row r="1456" ht="38.25" customHeight="1"/>
    <row r="1457" ht="38.25" customHeight="1"/>
    <row r="1458" ht="38.25" customHeight="1"/>
    <row r="1459" ht="38.25" customHeight="1"/>
    <row r="1460" ht="38.25" customHeight="1"/>
    <row r="1461" ht="38.25" customHeight="1"/>
    <row r="1462" ht="38.25" customHeight="1"/>
    <row r="1463" ht="38.25" customHeight="1"/>
    <row r="1464" ht="38.25" customHeight="1"/>
    <row r="1465" ht="38.25" customHeight="1"/>
    <row r="1466" ht="38.25" customHeight="1"/>
    <row r="1467" ht="38.25" customHeight="1"/>
    <row r="1468" ht="38.25" customHeight="1"/>
    <row r="1469" ht="38.25" customHeight="1"/>
    <row r="1470" ht="38.25" customHeight="1"/>
    <row r="1471" ht="38.25" customHeight="1"/>
    <row r="1472" ht="38.25" customHeight="1"/>
    <row r="1473" ht="38.25" customHeight="1"/>
    <row r="1474" ht="38.25" customHeight="1"/>
    <row r="1475" ht="38.25" customHeight="1"/>
    <row r="1476" ht="38.25" customHeight="1"/>
    <row r="1477" ht="38.25" customHeight="1"/>
    <row r="1478" ht="38.25" customHeight="1"/>
    <row r="1479" ht="38.25" customHeight="1"/>
    <row r="1480" ht="38.25" customHeight="1"/>
    <row r="1481" ht="38.25" customHeight="1"/>
    <row r="1482" ht="38.25" customHeight="1"/>
    <row r="1483" ht="38.25" customHeight="1"/>
    <row r="1484" ht="38.25" customHeight="1"/>
    <row r="1485" ht="38.25" customHeight="1"/>
    <row r="1486" ht="38.25" customHeight="1"/>
    <row r="1487" ht="38.25" customHeight="1"/>
    <row r="1488" ht="38.25" customHeight="1"/>
    <row r="1489" ht="38.25" customHeight="1"/>
    <row r="1490" ht="38.25" customHeight="1"/>
    <row r="1491" ht="38.25" customHeight="1"/>
    <row r="1492" ht="38.25" customHeight="1"/>
    <row r="1493" ht="38.25" customHeight="1"/>
    <row r="1494" ht="38.25" customHeight="1"/>
    <row r="1495" ht="38.25" customHeight="1"/>
    <row r="1496" ht="38.25" customHeight="1"/>
    <row r="1497" ht="38.25" customHeight="1"/>
    <row r="1498" ht="38.25" customHeight="1"/>
    <row r="1499" ht="38.25" customHeight="1"/>
    <row r="1500" ht="38.25" customHeight="1"/>
    <row r="1501" ht="38.25" customHeight="1"/>
    <row r="1502" ht="38.25" customHeight="1"/>
    <row r="1503" ht="38.25" customHeight="1"/>
    <row r="1504" ht="38.25" customHeight="1"/>
    <row r="1505" ht="38.25" customHeight="1"/>
    <row r="1506" ht="38.25" customHeight="1"/>
    <row r="1507" ht="38.25" customHeight="1"/>
    <row r="1508" ht="38.25" customHeight="1"/>
    <row r="1509" ht="38.25" customHeight="1"/>
    <row r="1510" ht="38.25" customHeight="1"/>
    <row r="1511" ht="38.25" customHeight="1"/>
    <row r="1512" ht="38.25" customHeight="1"/>
    <row r="1513" ht="38.25" customHeight="1"/>
    <row r="1514" ht="38.25" customHeight="1"/>
    <row r="1515" ht="38.25" customHeight="1"/>
    <row r="1516" ht="38.25" customHeight="1"/>
    <row r="1517" ht="38.25" customHeight="1"/>
    <row r="1518" ht="38.25" customHeight="1"/>
    <row r="1519" ht="38.25" customHeight="1"/>
    <row r="1520" ht="38.25" customHeight="1"/>
    <row r="1521" ht="38.25" customHeight="1"/>
    <row r="1522" ht="38.25" customHeight="1"/>
    <row r="1523" ht="38.25" customHeight="1"/>
    <row r="1524" ht="38.25" customHeight="1"/>
    <row r="1525" ht="38.25" customHeight="1"/>
    <row r="1526" ht="38.25" customHeight="1"/>
    <row r="1527" ht="38.25" customHeight="1"/>
    <row r="1528" ht="38.25" customHeight="1"/>
    <row r="1529" ht="38.25" customHeight="1"/>
    <row r="1530" ht="38.25" customHeight="1"/>
    <row r="1531" ht="38.25" customHeight="1"/>
    <row r="1532" ht="38.25" customHeight="1"/>
    <row r="1533" ht="38.25" customHeight="1"/>
    <row r="1534" ht="38.25" customHeight="1"/>
    <row r="1535" ht="38.25" customHeight="1"/>
    <row r="1536" ht="38.25" customHeight="1"/>
    <row r="1537" ht="38.25" customHeight="1"/>
    <row r="1538" ht="38.25" customHeight="1"/>
    <row r="1539" ht="38.25" customHeight="1"/>
    <row r="1540" ht="38.25" customHeight="1"/>
    <row r="1541" ht="38.25" customHeight="1"/>
    <row r="1542" ht="38.25" customHeight="1"/>
    <row r="1543" ht="38.25" customHeight="1"/>
    <row r="1544" ht="38.25" customHeight="1"/>
    <row r="1545" ht="38.25" customHeight="1"/>
    <row r="1546" ht="38.25" customHeight="1"/>
    <row r="1547" ht="38.25" customHeight="1"/>
    <row r="1548" ht="38.25" customHeight="1"/>
    <row r="1549" ht="38.25" customHeight="1"/>
    <row r="1550" ht="38.25" customHeight="1"/>
    <row r="1551" ht="38.25" customHeight="1"/>
    <row r="1552" ht="38.25" customHeight="1"/>
    <row r="1553" ht="38.25" customHeight="1"/>
    <row r="1554" ht="38.25" customHeight="1"/>
    <row r="1555" ht="38.25" customHeight="1"/>
    <row r="1556" ht="38.25" customHeight="1"/>
    <row r="1557" ht="38.25" customHeight="1"/>
    <row r="1558" ht="38.25" customHeight="1"/>
    <row r="1559" ht="38.25" customHeight="1"/>
    <row r="1560" ht="38.25" customHeight="1"/>
    <row r="1561" ht="38.25" customHeight="1"/>
    <row r="1562" ht="38.25" customHeight="1"/>
    <row r="1563" ht="38.25" customHeight="1"/>
    <row r="1564" ht="38.25" customHeight="1"/>
    <row r="1565" ht="38.25" customHeight="1"/>
    <row r="1566" ht="38.25" customHeight="1"/>
    <row r="1567" ht="38.25" customHeight="1"/>
    <row r="1568" ht="38.25" customHeight="1"/>
    <row r="1569" ht="38.25" customHeight="1"/>
    <row r="1570" ht="38.25" customHeight="1"/>
    <row r="1571" ht="38.25" customHeight="1"/>
    <row r="1572" ht="38.25" customHeight="1"/>
    <row r="1573" ht="38.25" customHeight="1"/>
    <row r="1574" ht="38.25" customHeight="1"/>
    <row r="1575" ht="38.25" customHeight="1"/>
    <row r="1576" ht="38.25" customHeight="1"/>
    <row r="1577" ht="38.25" customHeight="1"/>
    <row r="1578" ht="38.25" customHeight="1"/>
    <row r="1579" ht="38.25" customHeight="1"/>
    <row r="1580" ht="38.25" customHeight="1"/>
    <row r="1581" ht="38.25" customHeight="1"/>
    <row r="1582" ht="38.25" customHeight="1"/>
    <row r="1583" ht="38.25" customHeight="1"/>
    <row r="1584" ht="38.25" customHeight="1"/>
    <row r="1585" ht="38.25" customHeight="1"/>
    <row r="1586" ht="38.25" customHeight="1"/>
    <row r="1587" ht="38.25" customHeight="1"/>
    <row r="1588" ht="38.25" customHeight="1"/>
    <row r="1589" ht="38.25" customHeight="1"/>
    <row r="1590" ht="38.25" customHeight="1"/>
    <row r="1591" ht="38.25" customHeight="1"/>
    <row r="1592" ht="38.25" customHeight="1"/>
    <row r="1593" ht="38.25" customHeight="1"/>
    <row r="1594" ht="38.25" customHeight="1"/>
    <row r="1595" ht="38.25" customHeight="1"/>
    <row r="1596" ht="38.25" customHeight="1"/>
    <row r="1597" ht="38.25" customHeight="1"/>
    <row r="1598" ht="38.25" customHeight="1"/>
    <row r="1599" ht="38.25" customHeight="1"/>
    <row r="1600" ht="38.25" customHeight="1"/>
    <row r="1601" ht="38.25" customHeight="1"/>
    <row r="1602" ht="38.25" customHeight="1"/>
    <row r="1603" ht="38.25" customHeight="1"/>
    <row r="1604" ht="38.25" customHeight="1"/>
    <row r="1605" ht="38.25" customHeight="1"/>
    <row r="1606" ht="38.25" customHeight="1"/>
    <row r="1607" ht="38.25" customHeight="1"/>
    <row r="1608" ht="38.25" customHeight="1"/>
    <row r="1609" ht="38.25" customHeight="1"/>
    <row r="1610" ht="38.25" customHeight="1"/>
    <row r="1611" ht="38.25" customHeight="1"/>
    <row r="1612" ht="38.25" customHeight="1"/>
    <row r="1613" ht="38.25" customHeight="1"/>
    <row r="1614" ht="38.25" customHeight="1"/>
    <row r="1615" ht="38.25" customHeight="1"/>
    <row r="1616" ht="38.25" customHeight="1"/>
    <row r="1617" ht="38.25" customHeight="1"/>
    <row r="1618" ht="38.25" customHeight="1"/>
    <row r="1619" ht="38.25" customHeight="1"/>
    <row r="1620" ht="38.25" customHeight="1"/>
    <row r="1621" ht="38.25" customHeight="1"/>
    <row r="1622" ht="38.25" customHeight="1"/>
    <row r="1623" ht="38.25" customHeight="1"/>
    <row r="1624" ht="38.25" customHeight="1"/>
    <row r="1625" ht="38.25" customHeight="1"/>
    <row r="1626" ht="38.25" customHeight="1"/>
    <row r="1627" ht="38.25" customHeight="1"/>
    <row r="1628" ht="38.25" customHeight="1"/>
    <row r="1629" ht="38.25" customHeight="1"/>
    <row r="1630" ht="38.25" customHeight="1"/>
    <row r="1631" ht="38.25" customHeight="1"/>
    <row r="1632" ht="38.25" customHeight="1"/>
    <row r="1633" ht="38.25" customHeight="1"/>
    <row r="1634" ht="38.25" customHeight="1"/>
    <row r="1635" ht="38.25" customHeight="1"/>
    <row r="1636" ht="38.25" customHeight="1"/>
    <row r="1637" ht="38.25" customHeight="1"/>
    <row r="1638" ht="38.25" customHeight="1"/>
    <row r="1639" ht="38.25" customHeight="1"/>
    <row r="1640" ht="38.25" customHeight="1"/>
    <row r="1641" ht="38.25" customHeight="1"/>
    <row r="1642" ht="38.25" customHeight="1"/>
    <row r="1643" ht="38.25" customHeight="1"/>
    <row r="1644" ht="38.25" customHeight="1"/>
    <row r="1645" ht="38.25" customHeight="1"/>
    <row r="1646" ht="38.25" customHeight="1"/>
    <row r="1647" ht="38.25" customHeight="1"/>
    <row r="1648" ht="38.25" customHeight="1"/>
    <row r="1649" ht="38.25" customHeight="1"/>
    <row r="1650" ht="38.25" customHeight="1"/>
    <row r="1651" ht="38.25" customHeight="1"/>
    <row r="1652" ht="38.25" customHeight="1"/>
    <row r="1653" ht="38.25" customHeight="1"/>
    <row r="1654" ht="38.25" customHeight="1"/>
    <row r="1655" ht="38.25" customHeight="1"/>
    <row r="1656" ht="38.25" customHeight="1"/>
    <row r="1657" ht="38.25" customHeight="1"/>
    <row r="1658" ht="38.25" customHeight="1"/>
    <row r="1659" ht="38.25" customHeight="1"/>
    <row r="1660" ht="38.25" customHeight="1"/>
    <row r="1661" ht="38.25" customHeight="1"/>
    <row r="1662" ht="38.25" customHeight="1"/>
    <row r="1663" ht="38.25" customHeight="1"/>
    <row r="1664" ht="38.25" customHeight="1"/>
    <row r="1665" ht="38.25" customHeight="1"/>
    <row r="1666" ht="38.25" customHeight="1"/>
    <row r="1667" ht="38.25" customHeight="1"/>
    <row r="1668" ht="38.25" customHeight="1"/>
    <row r="1669" ht="38.25" customHeight="1"/>
    <row r="1670" ht="38.25" customHeight="1"/>
    <row r="1671" ht="38.25" customHeight="1"/>
    <row r="1672" ht="38.25" customHeight="1"/>
    <row r="1673" ht="38.25" customHeight="1"/>
    <row r="1674" ht="38.25" customHeight="1"/>
    <row r="1675" ht="38.25" customHeight="1"/>
    <row r="1676" ht="38.25" customHeight="1"/>
    <row r="1677" ht="38.25" customHeight="1"/>
    <row r="1678" ht="38.25" customHeight="1"/>
    <row r="1679" ht="38.25" customHeight="1"/>
    <row r="1680" ht="38.25" customHeight="1"/>
    <row r="1681" ht="38.25" customHeight="1"/>
    <row r="1682" ht="38.25" customHeight="1"/>
    <row r="1683" ht="38.25" customHeight="1"/>
    <row r="1684" ht="38.25" customHeight="1"/>
    <row r="1685" ht="38.25" customHeight="1"/>
    <row r="1686" ht="38.25" customHeight="1"/>
    <row r="1687" ht="38.25" customHeight="1"/>
    <row r="1688" ht="38.25" customHeight="1"/>
    <row r="1689" ht="38.25" customHeight="1"/>
    <row r="1690" ht="38.25" customHeight="1"/>
    <row r="1691" ht="38.25" customHeight="1"/>
    <row r="1692" ht="38.25" customHeight="1"/>
    <row r="1693" ht="38.25" customHeight="1"/>
    <row r="1694" ht="38.25" customHeight="1"/>
    <row r="1695" ht="38.25" customHeight="1"/>
    <row r="1696" ht="38.25" customHeight="1"/>
    <row r="1697" ht="38.25" customHeight="1"/>
    <row r="1698" ht="38.25" customHeight="1"/>
    <row r="1699" ht="38.25" customHeight="1"/>
    <row r="1700" ht="38.25" customHeight="1"/>
    <row r="1701" ht="38.25" customHeight="1"/>
    <row r="1702" ht="38.25" customHeight="1"/>
    <row r="1703" ht="38.25" customHeight="1"/>
    <row r="1704" ht="38.25" customHeight="1"/>
    <row r="1705" ht="38.25" customHeight="1"/>
    <row r="1706" ht="38.25" customHeight="1"/>
    <row r="1707" ht="38.25" customHeight="1"/>
    <row r="1708" ht="38.25" customHeight="1"/>
    <row r="1709" ht="38.25" customHeight="1"/>
    <row r="1710" ht="38.25" customHeight="1"/>
    <row r="1711" ht="38.25" customHeight="1"/>
    <row r="1712" ht="38.25" customHeight="1"/>
    <row r="1713" ht="38.25" customHeight="1"/>
    <row r="1714" ht="38.25" customHeight="1"/>
    <row r="1715" ht="38.25" customHeight="1"/>
    <row r="1716" ht="38.25" customHeight="1"/>
    <row r="1717" ht="38.25" customHeight="1"/>
    <row r="1718" ht="38.25" customHeight="1"/>
    <row r="1719" ht="38.25" customHeight="1"/>
    <row r="1720" ht="38.25" customHeight="1"/>
    <row r="1721" ht="38.25" customHeight="1"/>
    <row r="1722" ht="38.25" customHeight="1"/>
    <row r="1723" ht="38.25" customHeight="1"/>
    <row r="1724" ht="38.25" customHeight="1"/>
    <row r="1725" ht="38.25" customHeight="1"/>
    <row r="1726" ht="38.25" customHeight="1"/>
    <row r="1727" ht="38.25" customHeight="1"/>
    <row r="1728" ht="38.25" customHeight="1"/>
    <row r="1729" ht="38.25" customHeight="1"/>
    <row r="1730" ht="38.25" customHeight="1"/>
    <row r="1731" ht="38.25" customHeight="1"/>
    <row r="1732" ht="38.25" customHeight="1"/>
    <row r="1733" ht="38.25" customHeight="1"/>
    <row r="1734" ht="38.25" customHeight="1"/>
    <row r="1735" ht="38.25" customHeight="1"/>
    <row r="1736" ht="38.25" customHeight="1"/>
    <row r="1737" ht="38.25" customHeight="1"/>
    <row r="1738" ht="38.25" customHeight="1"/>
    <row r="1739" ht="38.25" customHeight="1"/>
    <row r="1740" ht="38.25" customHeight="1"/>
    <row r="1741" ht="38.25" customHeight="1"/>
    <row r="1742" ht="38.25" customHeight="1"/>
    <row r="1743" ht="38.25" customHeight="1"/>
    <row r="1744" ht="38.25" customHeight="1"/>
    <row r="1745" ht="38.25" customHeight="1"/>
    <row r="1746" ht="38.25" customHeight="1"/>
    <row r="1747" ht="38.25" customHeight="1"/>
    <row r="1748" ht="38.25" customHeight="1"/>
    <row r="1749" ht="38.25" customHeight="1"/>
    <row r="1750" ht="38.25" customHeight="1"/>
    <row r="1751" ht="38.25" customHeight="1"/>
    <row r="1752" ht="38.25" customHeight="1"/>
    <row r="1753" ht="38.25" customHeight="1"/>
    <row r="1754" ht="38.25" customHeight="1"/>
    <row r="1755" ht="38.25" customHeight="1"/>
    <row r="1756" ht="38.25" customHeight="1"/>
    <row r="1757" ht="38.25" customHeight="1"/>
    <row r="1758" ht="38.25" customHeight="1"/>
    <row r="1759" ht="38.25" customHeight="1"/>
    <row r="1760" ht="38.25" customHeight="1"/>
    <row r="1761" ht="38.25" customHeight="1"/>
    <row r="1762" ht="38.25" customHeight="1"/>
    <row r="1763" ht="38.25" customHeight="1"/>
    <row r="1764" ht="38.25" customHeight="1"/>
    <row r="1765" ht="38.25" customHeight="1"/>
    <row r="1766" ht="38.25" customHeight="1"/>
    <row r="1767" ht="38.25" customHeight="1"/>
    <row r="1768" ht="38.25" customHeight="1"/>
    <row r="1769" ht="38.25" customHeight="1"/>
    <row r="1770" ht="38.25" customHeight="1"/>
    <row r="1771" ht="38.25" customHeight="1"/>
    <row r="1772" ht="38.25" customHeight="1"/>
    <row r="1773" ht="38.25" customHeight="1"/>
    <row r="1774" ht="38.25" customHeight="1"/>
    <row r="1775" ht="38.25" customHeight="1"/>
    <row r="1776" ht="38.25" customHeight="1"/>
    <row r="1777" ht="38.25" customHeight="1"/>
    <row r="1778" ht="38.25" customHeight="1"/>
    <row r="1779" ht="38.25" customHeight="1"/>
    <row r="1780" ht="38.25" customHeight="1"/>
    <row r="1781" ht="38.25" customHeight="1"/>
    <row r="1782" ht="38.25" customHeight="1"/>
    <row r="1783" ht="38.25" customHeight="1"/>
    <row r="1784" ht="38.25" customHeight="1"/>
    <row r="1785" ht="38.25" customHeight="1"/>
    <row r="1786" ht="38.25" customHeight="1"/>
    <row r="1787" ht="38.25" customHeight="1"/>
    <row r="1788" ht="38.25" customHeight="1"/>
    <row r="1789" ht="38.25" customHeight="1"/>
    <row r="1790" ht="38.25" customHeight="1"/>
    <row r="1791" ht="38.25" customHeight="1"/>
    <row r="1792" ht="38.25" customHeight="1"/>
    <row r="1793" ht="38.25" customHeight="1"/>
    <row r="1794" ht="38.25" customHeight="1"/>
    <row r="1795" ht="38.25" customHeight="1"/>
    <row r="1796" ht="38.25" customHeight="1"/>
    <row r="1797" ht="38.25" customHeight="1"/>
    <row r="1798" ht="38.25" customHeight="1"/>
    <row r="1799" ht="38.25" customHeight="1"/>
    <row r="1800" ht="38.25" customHeight="1"/>
    <row r="1801" ht="38.25" customHeight="1"/>
    <row r="1802" ht="38.25" customHeight="1"/>
    <row r="1803" ht="38.25" customHeight="1"/>
    <row r="1804" ht="38.25" customHeight="1"/>
    <row r="1805" ht="38.25" customHeight="1"/>
    <row r="1806" ht="38.25" customHeight="1"/>
    <row r="1807" ht="38.25" customHeight="1"/>
    <row r="1808" ht="38.25" customHeight="1"/>
    <row r="1809" ht="38.25" customHeight="1"/>
    <row r="1810" ht="38.25" customHeight="1"/>
    <row r="1811" ht="38.25" customHeight="1"/>
    <row r="1812" ht="38.25" customHeight="1"/>
    <row r="1813" ht="38.25" customHeight="1"/>
    <row r="1814" ht="38.25" customHeight="1"/>
    <row r="1815" ht="38.25" customHeight="1"/>
    <row r="1816" ht="38.25" customHeight="1"/>
    <row r="1817" ht="38.25" customHeight="1"/>
    <row r="1818" ht="38.25" customHeight="1"/>
    <row r="1819" ht="38.25" customHeight="1"/>
    <row r="1820" ht="38.25" customHeight="1"/>
    <row r="1821" ht="38.25" customHeight="1"/>
    <row r="1822" ht="38.25" customHeight="1"/>
    <row r="1823" ht="38.25" customHeight="1"/>
    <row r="1824" ht="38.25" customHeight="1"/>
    <row r="1825" ht="38.25" customHeight="1"/>
    <row r="1826" ht="38.25" customHeight="1"/>
    <row r="1827" ht="38.25" customHeight="1"/>
    <row r="1828" ht="38.25" customHeight="1"/>
    <row r="1829" ht="38.25" customHeight="1"/>
    <row r="1830" ht="38.25" customHeight="1"/>
    <row r="1831" ht="38.25" customHeight="1"/>
    <row r="1832" ht="38.25" customHeight="1"/>
    <row r="1833" ht="38.25" customHeight="1"/>
    <row r="1834" ht="38.25" customHeight="1"/>
    <row r="1835" ht="38.25" customHeight="1"/>
    <row r="1836" ht="38.25" customHeight="1"/>
    <row r="1837" ht="38.25" customHeight="1"/>
    <row r="1838" ht="38.25" customHeight="1"/>
    <row r="1839" ht="38.25" customHeight="1"/>
    <row r="1840" ht="38.25" customHeight="1"/>
    <row r="1841" ht="38.25" customHeight="1"/>
    <row r="1842" ht="38.25" customHeight="1"/>
    <row r="1843" ht="38.25" customHeight="1"/>
    <row r="1844" ht="38.25" customHeight="1"/>
    <row r="1845" ht="38.25" customHeight="1"/>
    <row r="1846" ht="38.25" customHeight="1"/>
    <row r="1847" ht="38.25" customHeight="1"/>
    <row r="1848" ht="38.25" customHeight="1"/>
    <row r="1849" ht="38.25" customHeight="1"/>
    <row r="1850" ht="38.25" customHeight="1"/>
    <row r="1851" ht="38.25" customHeight="1"/>
    <row r="1852" ht="38.25" customHeight="1"/>
    <row r="1853" ht="38.25" customHeight="1"/>
    <row r="1854" ht="38.25" customHeight="1"/>
    <row r="1855" ht="38.25" customHeight="1"/>
    <row r="1856" ht="38.25" customHeight="1"/>
    <row r="1857" ht="38.25" customHeight="1"/>
    <row r="1858" ht="38.25" customHeight="1"/>
    <row r="1859" ht="38.25" customHeight="1"/>
    <row r="1860" ht="38.25" customHeight="1"/>
    <row r="1861" ht="38.25" customHeight="1"/>
    <row r="1862" ht="38.25" customHeight="1"/>
    <row r="1863" ht="38.25" customHeight="1"/>
    <row r="1864" ht="38.25" customHeight="1"/>
    <row r="1865" ht="38.25" customHeight="1"/>
    <row r="1866" ht="38.25" customHeight="1"/>
    <row r="1867" ht="38.25" customHeight="1"/>
    <row r="1868" ht="38.25" customHeight="1"/>
    <row r="1869" ht="38.25" customHeight="1"/>
    <row r="1870" ht="38.25" customHeight="1"/>
    <row r="1871" ht="38.25" customHeight="1"/>
    <row r="1872" ht="38.25" customHeight="1"/>
    <row r="1873" ht="38.25" customHeight="1"/>
    <row r="1874" ht="38.25" customHeight="1"/>
    <row r="1875" ht="38.25" customHeight="1"/>
    <row r="1876" ht="38.25" customHeight="1"/>
    <row r="1877" ht="38.25" customHeight="1"/>
    <row r="1878" ht="38.25" customHeight="1"/>
    <row r="1879" ht="38.25" customHeight="1"/>
    <row r="1880" ht="38.25" customHeight="1"/>
    <row r="1881" ht="38.25" customHeight="1"/>
    <row r="1882" ht="38.25" customHeight="1"/>
    <row r="1883" ht="38.25" customHeight="1"/>
    <row r="1884" ht="38.25" customHeight="1"/>
    <row r="1885" ht="38.25" customHeight="1"/>
    <row r="1886" ht="38.25" customHeight="1"/>
    <row r="1887" ht="38.25" customHeight="1"/>
    <row r="1888" ht="38.25" customHeight="1"/>
    <row r="1889" ht="38.25" customHeight="1"/>
    <row r="1890" ht="38.25" customHeight="1"/>
    <row r="1891" ht="38.25" customHeight="1"/>
    <row r="1892" ht="38.25" customHeight="1"/>
    <row r="1893" ht="38.25" customHeight="1"/>
    <row r="1894" ht="38.25" customHeight="1"/>
    <row r="1895" ht="38.25" customHeight="1"/>
    <row r="1896" ht="38.25" customHeight="1"/>
    <row r="1897" ht="38.25" customHeight="1"/>
    <row r="1898" ht="38.25" customHeight="1"/>
    <row r="1899" ht="38.25" customHeight="1"/>
    <row r="1900" ht="38.25" customHeight="1"/>
    <row r="1901" ht="38.25" customHeight="1"/>
    <row r="1902" ht="38.25" customHeight="1"/>
    <row r="1903" ht="38.25" customHeight="1"/>
    <row r="1904" ht="38.25" customHeight="1"/>
    <row r="1905" ht="38.25" customHeight="1"/>
    <row r="1906" ht="38.25" customHeight="1"/>
    <row r="1907" ht="38.25" customHeight="1"/>
    <row r="1908" ht="38.25" customHeight="1"/>
    <row r="1909" ht="38.25" customHeight="1"/>
    <row r="1910" ht="38.25" customHeight="1"/>
    <row r="1911" ht="38.25" customHeight="1"/>
    <row r="1912" ht="38.25" customHeight="1"/>
    <row r="1913" ht="38.25" customHeight="1"/>
    <row r="1914" ht="38.25" customHeight="1"/>
    <row r="1915" ht="38.25" customHeight="1"/>
    <row r="1916" ht="38.25" customHeight="1"/>
    <row r="1917" ht="38.25" customHeight="1"/>
    <row r="1918" ht="38.25" customHeight="1"/>
    <row r="1919" ht="38.25" customHeight="1"/>
    <row r="1920" ht="38.25" customHeight="1"/>
    <row r="1921" ht="38.25" customHeight="1"/>
    <row r="1922" ht="38.25" customHeight="1"/>
    <row r="1923" ht="38.25" customHeight="1"/>
    <row r="1924" ht="38.25" customHeight="1"/>
    <row r="1925" ht="38.25" customHeight="1"/>
    <row r="1926" ht="38.25" customHeight="1"/>
    <row r="1927" ht="38.25" customHeight="1"/>
    <row r="1928" ht="38.25" customHeight="1"/>
    <row r="1929" ht="38.25" customHeight="1"/>
    <row r="1930" ht="38.25" customHeight="1"/>
    <row r="1931" ht="38.25" customHeight="1"/>
    <row r="1932" ht="38.25" customHeight="1"/>
    <row r="1933" ht="38.25" customHeight="1"/>
    <row r="1934" ht="38.25" customHeight="1"/>
    <row r="1935" ht="38.25" customHeight="1"/>
    <row r="1936" ht="38.25" customHeight="1"/>
    <row r="1937" ht="38.25" customHeight="1"/>
    <row r="1938" ht="38.25" customHeight="1"/>
    <row r="1939" ht="38.25" customHeight="1"/>
    <row r="1940" ht="38.25" customHeight="1"/>
    <row r="1941" ht="38.25" customHeight="1"/>
    <row r="1942" ht="38.25" customHeight="1"/>
    <row r="1943" ht="38.25" customHeight="1"/>
    <row r="1944" ht="38.25" customHeight="1"/>
    <row r="1945" ht="38.25" customHeight="1"/>
    <row r="1946" ht="38.25" customHeight="1"/>
    <row r="1947" ht="38.25" customHeight="1"/>
    <row r="1948" ht="38.25" customHeight="1"/>
    <row r="1949" ht="38.25" customHeight="1"/>
    <row r="1950" ht="38.25" customHeight="1"/>
    <row r="1951" ht="38.25" customHeight="1"/>
    <row r="1952" ht="38.25" customHeight="1"/>
    <row r="1953" ht="38.25" customHeight="1"/>
    <row r="1954" ht="38.25" customHeight="1"/>
    <row r="1955" ht="38.25" customHeight="1"/>
    <row r="1956" ht="38.25" customHeight="1"/>
    <row r="1957" ht="38.25" customHeight="1"/>
    <row r="1958" ht="38.25" customHeight="1"/>
    <row r="1959" ht="38.25" customHeight="1"/>
    <row r="1960" ht="38.25" customHeight="1"/>
    <row r="1961" ht="38.25" customHeight="1"/>
    <row r="1962" ht="38.25" customHeight="1"/>
    <row r="1963" ht="38.25" customHeight="1"/>
    <row r="1964" ht="38.25" customHeight="1"/>
    <row r="1965" ht="38.25" customHeight="1"/>
    <row r="1966" ht="38.25" customHeight="1"/>
    <row r="1967" ht="38.25" customHeight="1"/>
    <row r="1968" ht="38.25" customHeight="1"/>
    <row r="1969" ht="38.25" customHeight="1"/>
    <row r="1970" ht="38.25" customHeight="1"/>
    <row r="1971" ht="38.25" customHeight="1"/>
    <row r="1972" ht="38.25" customHeight="1"/>
    <row r="1973" ht="38.25" customHeight="1"/>
    <row r="1974" ht="38.25" customHeight="1"/>
    <row r="1975" ht="38.25" customHeight="1"/>
    <row r="1976" ht="38.25" customHeight="1"/>
    <row r="1977" ht="38.25" customHeight="1"/>
    <row r="1978" ht="38.25" customHeight="1"/>
    <row r="1979" ht="38.25" customHeight="1"/>
    <row r="1980" ht="38.25" customHeight="1"/>
    <row r="1981" ht="38.25" customHeight="1"/>
    <row r="1982" ht="38.25" customHeight="1"/>
    <row r="1983" ht="38.25" customHeight="1"/>
    <row r="1984" ht="38.25" customHeight="1"/>
    <row r="1985" ht="38.25" customHeight="1"/>
    <row r="1986" ht="38.25" customHeight="1"/>
    <row r="1987" ht="38.25" customHeight="1"/>
    <row r="1988" ht="38.25" customHeight="1"/>
    <row r="1989" ht="38.25" customHeight="1"/>
    <row r="1990" ht="38.25" customHeight="1"/>
    <row r="1991" ht="38.25" customHeight="1"/>
    <row r="1992" ht="38.25" customHeight="1"/>
    <row r="1993" ht="38.25" customHeight="1"/>
    <row r="1994" ht="38.25" customHeight="1"/>
    <row r="1995" ht="38.25" customHeight="1"/>
    <row r="1996" ht="38.25" customHeight="1"/>
    <row r="1997" ht="38.25" customHeight="1"/>
    <row r="1998" ht="38.25" customHeight="1"/>
    <row r="1999" ht="38.25" customHeight="1"/>
    <row r="2000" ht="38.25" customHeight="1"/>
    <row r="2001" ht="38.25" customHeight="1"/>
    <row r="2002" ht="38.25" customHeight="1"/>
    <row r="2003" ht="38.25" customHeight="1"/>
    <row r="2004" ht="38.25" customHeight="1"/>
    <row r="2005" ht="38.25" customHeight="1"/>
    <row r="2006" ht="38.25" customHeight="1"/>
    <row r="2007" ht="38.25" customHeight="1"/>
    <row r="2008" ht="38.25" customHeight="1"/>
    <row r="2009" ht="38.25" customHeight="1"/>
    <row r="2010" ht="38.25" customHeight="1"/>
    <row r="2011" ht="38.25" customHeight="1"/>
    <row r="2012" ht="38.25" customHeight="1"/>
    <row r="2013" ht="38.25" customHeight="1"/>
    <row r="2014" ht="38.25" customHeight="1"/>
    <row r="2015" ht="38.25" customHeight="1"/>
    <row r="2016" ht="38.25" customHeight="1"/>
    <row r="2017" ht="38.25" customHeight="1"/>
    <row r="2018" ht="38.25" customHeight="1"/>
    <row r="2019" ht="38.25" customHeight="1"/>
    <row r="2020" ht="38.25" customHeight="1"/>
    <row r="2021" ht="38.25" customHeight="1"/>
    <row r="2022" ht="38.25" customHeight="1"/>
    <row r="2023" ht="38.25" customHeight="1"/>
    <row r="2024" ht="38.25" customHeight="1"/>
    <row r="2025" ht="38.25" customHeight="1"/>
    <row r="2026" ht="38.25" customHeight="1"/>
    <row r="2027" ht="38.25" customHeight="1"/>
    <row r="2028" ht="38.25" customHeight="1"/>
    <row r="2029" ht="38.25" customHeight="1"/>
    <row r="2030" ht="38.25" customHeight="1"/>
    <row r="2031" ht="38.25" customHeight="1"/>
    <row r="2032" ht="38.25" customHeight="1"/>
    <row r="2033" ht="38.25" customHeight="1"/>
    <row r="2034" ht="38.25" customHeight="1"/>
    <row r="2035" ht="38.25" customHeight="1"/>
    <row r="2036" ht="38.25" customHeight="1"/>
    <row r="2037" ht="38.25" customHeight="1"/>
    <row r="2038" ht="38.25" customHeight="1"/>
    <row r="2039" ht="38.25" customHeight="1"/>
    <row r="2040" ht="38.25" customHeight="1"/>
    <row r="2041" ht="38.25" customHeight="1"/>
    <row r="2042" ht="38.25" customHeight="1"/>
    <row r="2043" ht="38.25" customHeight="1"/>
    <row r="2044" ht="38.25" customHeight="1"/>
    <row r="2045" ht="38.25" customHeight="1"/>
    <row r="2046" ht="38.25" customHeight="1"/>
    <row r="2047" ht="38.25" customHeight="1"/>
    <row r="2048" ht="38.25" customHeight="1"/>
    <row r="2049" ht="38.25" customHeight="1"/>
    <row r="2050" ht="38.25" customHeight="1"/>
    <row r="2051" ht="38.25" customHeight="1"/>
    <row r="2052" ht="38.25" customHeight="1"/>
    <row r="2053" ht="38.25" customHeight="1"/>
    <row r="2054" ht="38.25" customHeight="1"/>
    <row r="2055" ht="38.25" customHeight="1"/>
    <row r="2056" ht="38.25" customHeight="1"/>
    <row r="2057" ht="38.25" customHeight="1"/>
    <row r="2058" ht="38.25" customHeight="1"/>
    <row r="2059" ht="38.25" customHeight="1"/>
    <row r="2060" ht="38.25" customHeight="1"/>
    <row r="2061" ht="38.25" customHeight="1"/>
    <row r="2062" ht="38.25" customHeight="1"/>
    <row r="2063" ht="38.25" customHeight="1"/>
    <row r="2064" ht="38.25" customHeight="1"/>
    <row r="2065" ht="38.25" customHeight="1"/>
    <row r="2066" ht="38.25" customHeight="1"/>
    <row r="2067" ht="38.25" customHeight="1"/>
    <row r="2068" ht="38.25" customHeight="1"/>
    <row r="2069" ht="38.25" customHeight="1"/>
    <row r="2070" ht="38.25" customHeight="1"/>
    <row r="2071" ht="38.25" customHeight="1"/>
    <row r="2072" ht="38.25" customHeight="1"/>
    <row r="2073" ht="38.25" customHeight="1"/>
    <row r="2074" ht="38.25" customHeight="1"/>
    <row r="2075" ht="38.25" customHeight="1"/>
    <row r="2076" ht="38.25" customHeight="1"/>
    <row r="2077" ht="38.25" customHeight="1"/>
    <row r="2078" ht="38.25" customHeight="1"/>
    <row r="2079" ht="38.25" customHeight="1"/>
    <row r="2080" ht="38.25" customHeight="1"/>
    <row r="2081" ht="38.25" customHeight="1"/>
    <row r="2082" ht="38.25" customHeight="1"/>
    <row r="2083" ht="38.25" customHeight="1"/>
    <row r="2084" ht="38.25" customHeight="1"/>
    <row r="2085" ht="38.25" customHeight="1"/>
    <row r="2086" ht="38.25" customHeight="1"/>
    <row r="2087" ht="38.25" customHeight="1"/>
    <row r="2088" ht="38.25" customHeight="1"/>
    <row r="2089" ht="38.25" customHeight="1"/>
    <row r="2090" ht="38.25" customHeight="1"/>
    <row r="2091" ht="38.25" customHeight="1"/>
    <row r="2092" ht="38.25" customHeight="1"/>
    <row r="2093" ht="38.25" customHeight="1"/>
    <row r="2094" ht="38.25" customHeight="1"/>
    <row r="2095" ht="38.25" customHeight="1"/>
    <row r="2096" ht="38.25" customHeight="1"/>
    <row r="2097" ht="38.25" customHeight="1"/>
    <row r="2098" ht="38.25" customHeight="1"/>
    <row r="2099" ht="38.25" customHeight="1"/>
    <row r="2100" ht="38.25" customHeight="1"/>
    <row r="2101" ht="38.25" customHeight="1"/>
    <row r="2102" ht="38.25" customHeight="1"/>
    <row r="2103" ht="38.25" customHeight="1"/>
    <row r="2104" ht="38.25" customHeight="1"/>
    <row r="2105" ht="38.25" customHeight="1"/>
    <row r="2106" ht="38.25" customHeight="1"/>
    <row r="2107" ht="38.25" customHeight="1"/>
    <row r="2108" ht="38.25" customHeight="1"/>
    <row r="2109" ht="38.25" customHeight="1"/>
    <row r="2110" ht="38.25" customHeight="1"/>
    <row r="2111" ht="38.25" customHeight="1"/>
    <row r="2112" ht="38.25" customHeight="1"/>
    <row r="2113" ht="38.25" customHeight="1"/>
    <row r="2114" ht="38.25" customHeight="1"/>
    <row r="2115" ht="38.25" customHeight="1"/>
    <row r="2116" ht="38.25" customHeight="1"/>
    <row r="2117" ht="38.25" customHeight="1"/>
    <row r="2118" ht="38.25" customHeight="1"/>
    <row r="2119" ht="38.25" customHeight="1"/>
    <row r="2120" ht="38.25" customHeight="1"/>
    <row r="2121" ht="38.25" customHeight="1"/>
    <row r="2122" ht="38.25" customHeight="1"/>
    <row r="2123" ht="38.25" customHeight="1"/>
    <row r="2124" ht="38.25" customHeight="1"/>
    <row r="2125" ht="38.25" customHeight="1"/>
    <row r="2126" ht="38.25" customHeight="1"/>
    <row r="2127" ht="38.25" customHeight="1"/>
    <row r="2128" ht="38.25" customHeight="1"/>
    <row r="2129" ht="38.25" customHeight="1"/>
    <row r="2130" ht="38.25" customHeight="1"/>
    <row r="2131" ht="38.25" customHeight="1"/>
    <row r="2132" ht="38.25" customHeight="1"/>
    <row r="2133" ht="38.25" customHeight="1"/>
    <row r="2134" ht="38.25" customHeight="1"/>
    <row r="2135" ht="38.25" customHeight="1"/>
    <row r="2136" ht="38.25" customHeight="1"/>
    <row r="2137" ht="38.25" customHeight="1"/>
    <row r="2138" ht="38.25" customHeight="1"/>
    <row r="2139" ht="38.25" customHeight="1"/>
    <row r="2140" ht="38.25" customHeight="1"/>
    <row r="2141" ht="38.25" customHeight="1"/>
    <row r="2142" ht="38.25" customHeight="1"/>
    <row r="2143" ht="38.25" customHeight="1"/>
    <row r="2144" ht="38.25" customHeight="1"/>
    <row r="2145" ht="38.25" customHeight="1"/>
    <row r="2146" ht="38.25" customHeight="1"/>
    <row r="2147" ht="38.25" customHeight="1"/>
    <row r="2148" ht="38.25" customHeight="1"/>
    <row r="2149" ht="38.25" customHeight="1"/>
    <row r="2150" ht="38.25" customHeight="1"/>
    <row r="2151" ht="38.25" customHeight="1"/>
    <row r="2152" ht="38.25" customHeight="1"/>
    <row r="2153" ht="38.25" customHeight="1"/>
    <row r="2154" ht="38.25" customHeight="1"/>
    <row r="2155" ht="38.25" customHeight="1"/>
    <row r="2156" ht="38.25" customHeight="1"/>
    <row r="2157" ht="38.25" customHeight="1"/>
    <row r="2158" ht="38.25" customHeight="1"/>
    <row r="2159" ht="38.25" customHeight="1"/>
    <row r="2160" ht="38.25" customHeight="1"/>
    <row r="2161" ht="38.25" customHeight="1"/>
    <row r="2162" ht="38.25" customHeight="1"/>
    <row r="2163" ht="38.25" customHeight="1"/>
    <row r="2164" ht="38.25" customHeight="1"/>
    <row r="2165" ht="38.25" customHeight="1"/>
    <row r="2166" ht="38.25" customHeight="1"/>
    <row r="2167" ht="38.25" customHeight="1"/>
    <row r="2168" ht="38.25" customHeight="1"/>
    <row r="2169" ht="38.25" customHeight="1"/>
    <row r="2170" ht="38.25" customHeight="1"/>
    <row r="2171" ht="38.25" customHeight="1"/>
    <row r="2172" ht="38.25" customHeight="1"/>
    <row r="2173" ht="38.25" customHeight="1"/>
    <row r="2174" ht="38.25" customHeight="1"/>
    <row r="2175" ht="38.25" customHeight="1"/>
    <row r="2176" ht="38.25" customHeight="1"/>
    <row r="2177" ht="38.25" customHeight="1"/>
    <row r="2178" ht="38.25" customHeight="1"/>
    <row r="2179" ht="38.25" customHeight="1"/>
    <row r="2180" ht="38.25" customHeight="1"/>
    <row r="2181" ht="38.25" customHeight="1"/>
    <row r="2182" ht="38.25" customHeight="1"/>
    <row r="2183" ht="38.25" customHeight="1"/>
    <row r="2184" ht="38.25" customHeight="1"/>
    <row r="2185" ht="38.25" customHeight="1"/>
    <row r="2186" ht="38.25" customHeight="1"/>
    <row r="2187" ht="38.25" customHeight="1"/>
    <row r="2188" ht="38.25" customHeight="1"/>
    <row r="2189" ht="38.25" customHeight="1"/>
    <row r="2190" ht="38.25" customHeight="1"/>
    <row r="2191" ht="38.25" customHeight="1"/>
    <row r="2192" ht="38.25" customHeight="1"/>
    <row r="2193" ht="38.25" customHeight="1"/>
    <row r="2194" ht="38.25" customHeight="1"/>
    <row r="2195" ht="38.25" customHeight="1"/>
    <row r="2196" ht="38.25" customHeight="1"/>
    <row r="2197" ht="38.25" customHeight="1"/>
    <row r="2198" ht="38.25" customHeight="1"/>
    <row r="2199" ht="38.25" customHeight="1"/>
    <row r="2200" ht="38.25" customHeight="1"/>
    <row r="2201" ht="38.25" customHeight="1"/>
    <row r="2202" ht="38.25" customHeight="1"/>
    <row r="2203" ht="38.25" customHeight="1"/>
    <row r="2204" ht="38.25" customHeight="1"/>
    <row r="2205" ht="38.25" customHeight="1"/>
    <row r="2206" ht="38.25" customHeight="1"/>
    <row r="2207" ht="38.25" customHeight="1"/>
    <row r="2208" ht="38.25" customHeight="1"/>
    <row r="2209" ht="38.25" customHeight="1"/>
    <row r="2210" ht="38.25" customHeight="1"/>
    <row r="2211" ht="38.25" customHeight="1"/>
    <row r="2212" ht="38.25" customHeight="1"/>
    <row r="2213" ht="38.25" customHeight="1"/>
    <row r="2214" ht="38.25" customHeight="1"/>
    <row r="2215" ht="38.25" customHeight="1"/>
    <row r="2216" ht="38.25" customHeight="1"/>
    <row r="2217" ht="38.25" customHeight="1"/>
    <row r="2218" ht="38.25" customHeight="1"/>
    <row r="2219" ht="38.25" customHeight="1"/>
    <row r="2220" ht="38.25" customHeight="1"/>
    <row r="2221" ht="38.25" customHeight="1"/>
    <row r="2222" ht="38.25" customHeight="1"/>
    <row r="2223" ht="38.25" customHeight="1"/>
    <row r="2224" ht="38.25" customHeight="1"/>
    <row r="2225" ht="38.25" customHeight="1"/>
    <row r="2226" ht="38.25" customHeight="1"/>
    <row r="2227" ht="38.25" customHeight="1"/>
    <row r="2228" ht="38.25" customHeight="1"/>
    <row r="2229" ht="38.25" customHeight="1"/>
    <row r="2230" ht="38.25" customHeight="1"/>
    <row r="2231" ht="38.25" customHeight="1"/>
    <row r="2232" ht="38.25" customHeight="1"/>
    <row r="2233" ht="38.25" customHeight="1"/>
    <row r="2234" ht="38.25" customHeight="1"/>
    <row r="2235" ht="38.25" customHeight="1"/>
    <row r="2236" ht="38.25" customHeight="1"/>
    <row r="2237" ht="38.25" customHeight="1"/>
    <row r="2238" ht="38.25" customHeight="1"/>
    <row r="2239" ht="38.25" customHeight="1"/>
    <row r="2240" ht="38.25" customHeight="1"/>
    <row r="2241" ht="38.25" customHeight="1"/>
    <row r="2242" ht="38.25" customHeight="1"/>
    <row r="2243" ht="38.25" customHeight="1"/>
    <row r="2244" ht="38.25" customHeight="1"/>
    <row r="2245" ht="38.25" customHeight="1"/>
    <row r="2246" ht="38.25" customHeight="1"/>
    <row r="2247" ht="38.25" customHeight="1"/>
    <row r="2248" ht="38.25" customHeight="1"/>
    <row r="2249" ht="38.25" customHeight="1"/>
    <row r="2250" ht="38.25" customHeight="1"/>
    <row r="2251" ht="38.25" customHeight="1"/>
    <row r="2252" ht="38.25" customHeight="1"/>
    <row r="2253" ht="38.25" customHeight="1"/>
    <row r="2254" ht="38.25" customHeight="1"/>
    <row r="2255" ht="38.25" customHeight="1"/>
    <row r="2256" ht="38.25" customHeight="1"/>
    <row r="2257" ht="38.25" customHeight="1"/>
    <row r="2258" ht="38.25" customHeight="1"/>
    <row r="2259" ht="38.25" customHeight="1"/>
    <row r="2260" ht="38.25" customHeight="1"/>
    <row r="2261" ht="38.25" customHeight="1"/>
    <row r="2262" ht="38.25" customHeight="1"/>
    <row r="2263" ht="38.25" customHeight="1"/>
    <row r="2264" ht="38.25" customHeight="1"/>
    <row r="2265" ht="38.25" customHeight="1"/>
    <row r="2266" ht="38.25" customHeight="1"/>
    <row r="2267" ht="38.25" customHeight="1"/>
    <row r="2268" ht="38.25" customHeight="1"/>
    <row r="2269" ht="38.25" customHeight="1"/>
    <row r="2270" ht="38.25" customHeight="1"/>
    <row r="2271" ht="38.25" customHeight="1"/>
    <row r="2272" ht="38.25" customHeight="1"/>
    <row r="2273" ht="38.25" customHeight="1"/>
    <row r="2274" ht="38.25" customHeight="1"/>
    <row r="2275" ht="38.25" customHeight="1"/>
    <row r="2276" ht="38.25" customHeight="1"/>
    <row r="2277" ht="38.25" customHeight="1"/>
    <row r="2278" ht="38.25" customHeight="1"/>
    <row r="2279" ht="38.25" customHeight="1"/>
    <row r="2280" ht="38.25" customHeight="1"/>
    <row r="2281" ht="38.25" customHeight="1"/>
    <row r="2282" ht="38.25" customHeight="1"/>
    <row r="2283" ht="38.25" customHeight="1"/>
    <row r="2284" ht="38.25" customHeight="1"/>
    <row r="2285" ht="38.25" customHeight="1"/>
    <row r="2286" ht="38.25" customHeight="1"/>
    <row r="2287" ht="38.25" customHeight="1"/>
    <row r="2288" ht="38.25" customHeight="1"/>
    <row r="2289" ht="38.25" customHeight="1"/>
    <row r="2290" ht="38.25" customHeight="1"/>
    <row r="2291" ht="38.25" customHeight="1"/>
    <row r="2292" ht="38.25" customHeight="1"/>
    <row r="2293" ht="38.25" customHeight="1"/>
    <row r="2294" ht="38.25" customHeight="1"/>
    <row r="2295" ht="38.25" customHeight="1"/>
    <row r="2296" ht="38.25" customHeight="1"/>
    <row r="2297" ht="38.25" customHeight="1"/>
    <row r="2298" ht="38.25" customHeight="1"/>
    <row r="2299" ht="38.25" customHeight="1"/>
    <row r="2300" ht="38.25" customHeight="1"/>
    <row r="2301" ht="38.25" customHeight="1"/>
    <row r="2302" ht="38.25" customHeight="1"/>
    <row r="2303" ht="38.25" customHeight="1"/>
    <row r="2304" ht="38.25" customHeight="1"/>
    <row r="2305" ht="38.25" customHeight="1"/>
    <row r="2306" ht="38.25" customHeight="1"/>
    <row r="2307" ht="38.25" customHeight="1"/>
    <row r="2308" ht="38.25" customHeight="1"/>
    <row r="2309" ht="38.25" customHeight="1"/>
    <row r="2310" ht="38.25" customHeight="1"/>
    <row r="2311" ht="38.25" customHeight="1"/>
    <row r="2312" ht="38.25" customHeight="1"/>
    <row r="2313" ht="38.25" customHeight="1"/>
    <row r="2314" ht="38.25" customHeight="1"/>
    <row r="2315" ht="38.25" customHeight="1"/>
    <row r="2316" ht="38.25" customHeight="1"/>
    <row r="2317" ht="38.25" customHeight="1"/>
    <row r="2318" ht="38.25" customHeight="1"/>
    <row r="2319" ht="38.25" customHeight="1"/>
    <row r="2320" ht="38.25" customHeight="1"/>
    <row r="2321" ht="38.25" customHeight="1"/>
    <row r="2322" ht="38.25" customHeight="1"/>
    <row r="2323" ht="38.25" customHeight="1"/>
    <row r="2324" ht="38.25" customHeight="1"/>
    <row r="2325" ht="38.25" customHeight="1"/>
    <row r="2326" ht="38.25" customHeight="1"/>
    <row r="2327" ht="38.25" customHeight="1"/>
    <row r="2328" ht="38.25" customHeight="1"/>
    <row r="2329" ht="38.25" customHeight="1"/>
    <row r="2330" ht="38.25" customHeight="1"/>
    <row r="2331" ht="38.25" customHeight="1"/>
    <row r="2332" ht="38.25" customHeight="1"/>
    <row r="2333" ht="38.25" customHeight="1"/>
    <row r="2334" ht="38.25" customHeight="1"/>
    <row r="2335" ht="38.25" customHeight="1"/>
    <row r="2336" ht="38.25" customHeight="1"/>
    <row r="2337" ht="38.25" customHeight="1"/>
    <row r="2338" ht="38.25" customHeight="1"/>
    <row r="2339" ht="38.25" customHeight="1"/>
    <row r="2340" ht="38.25" customHeight="1"/>
    <row r="2341" ht="38.25" customHeight="1"/>
    <row r="2342" ht="38.25" customHeight="1"/>
    <row r="2343" ht="38.25" customHeight="1"/>
    <row r="2344" ht="38.25" customHeight="1"/>
    <row r="2345" ht="38.25" customHeight="1"/>
    <row r="2346" ht="38.25" customHeight="1"/>
    <row r="2347" ht="38.25" customHeight="1"/>
    <row r="2348" ht="38.25" customHeight="1"/>
    <row r="2349" ht="38.25" customHeight="1"/>
    <row r="2350" ht="38.25" customHeight="1"/>
    <row r="2351" ht="38.25" customHeight="1"/>
    <row r="2352" ht="38.25" customHeight="1"/>
    <row r="2353" ht="38.25" customHeight="1"/>
    <row r="2354" ht="38.25" customHeight="1"/>
    <row r="2355" ht="38.25" customHeight="1"/>
    <row r="2356" ht="38.25" customHeight="1"/>
    <row r="2357" ht="38.25" customHeight="1"/>
    <row r="2358" ht="38.25" customHeight="1"/>
    <row r="2359" ht="38.25" customHeight="1"/>
    <row r="2360" ht="38.25" customHeight="1"/>
    <row r="2361" ht="38.25" customHeight="1"/>
    <row r="2362" ht="38.25" customHeight="1"/>
    <row r="2363" ht="38.25" customHeight="1"/>
    <row r="2364" ht="38.25" customHeight="1"/>
    <row r="2365" ht="38.25" customHeight="1"/>
    <row r="2366" ht="38.25" customHeight="1"/>
    <row r="2367" ht="38.25" customHeight="1"/>
    <row r="2368" ht="38.25" customHeight="1"/>
    <row r="2369" ht="38.25" customHeight="1"/>
    <row r="2370" ht="38.25" customHeight="1"/>
    <row r="2371" ht="38.25" customHeight="1"/>
    <row r="2372" ht="38.25" customHeight="1"/>
    <row r="2373" ht="38.25" customHeight="1"/>
    <row r="2374" ht="38.25" customHeight="1"/>
    <row r="2375" ht="38.25" customHeight="1"/>
    <row r="2376" ht="38.25" customHeight="1"/>
    <row r="2377" ht="38.25" customHeight="1"/>
    <row r="2378" ht="38.25" customHeight="1"/>
    <row r="2379" ht="38.25" customHeight="1"/>
    <row r="2380" ht="38.25" customHeight="1"/>
    <row r="2381" ht="38.25" customHeight="1"/>
    <row r="2382" ht="38.25" customHeight="1"/>
    <row r="2383" ht="38.25" customHeight="1"/>
    <row r="2384" ht="38.25" customHeight="1"/>
    <row r="2385" ht="38.25" customHeight="1"/>
    <row r="2386" ht="38.25" customHeight="1"/>
    <row r="2387" ht="38.25" customHeight="1"/>
    <row r="2388" ht="38.25" customHeight="1"/>
    <row r="2389" ht="38.25" customHeight="1"/>
    <row r="2390" ht="38.25" customHeight="1"/>
    <row r="2391" ht="38.25" customHeight="1"/>
    <row r="2392" ht="38.25" customHeight="1"/>
    <row r="2393" ht="38.25" customHeight="1"/>
    <row r="2394" ht="38.25" customHeight="1"/>
    <row r="2395" ht="38.25" customHeight="1"/>
    <row r="2396" ht="38.25" customHeight="1"/>
    <row r="2397" ht="38.25" customHeight="1"/>
    <row r="2398" ht="38.25" customHeight="1"/>
    <row r="2399" ht="38.25" customHeight="1"/>
    <row r="2400" ht="38.25" customHeight="1"/>
    <row r="2401" ht="38.25" customHeight="1"/>
    <row r="2402" ht="38.25" customHeight="1"/>
    <row r="2403" ht="38.25" customHeight="1"/>
    <row r="2404" ht="38.25" customHeight="1"/>
    <row r="2405" ht="38.25" customHeight="1"/>
    <row r="2406" ht="38.25" customHeight="1"/>
    <row r="2407" ht="38.25" customHeight="1"/>
    <row r="2408" ht="38.25" customHeight="1"/>
    <row r="2409" ht="38.25" customHeight="1"/>
    <row r="2410" ht="38.25" customHeight="1"/>
    <row r="2411" ht="38.25" customHeight="1"/>
    <row r="2412" ht="38.25" customHeight="1"/>
    <row r="2413" ht="38.25" customHeight="1"/>
    <row r="2414" ht="38.25" customHeight="1"/>
    <row r="2415" ht="38.25" customHeight="1"/>
    <row r="2416" ht="38.25" customHeight="1"/>
    <row r="2417" ht="38.25" customHeight="1"/>
    <row r="2418" ht="38.25" customHeight="1"/>
    <row r="2419" ht="38.25" customHeight="1"/>
    <row r="2420" ht="38.25" customHeight="1"/>
    <row r="2421" ht="38.25" customHeight="1"/>
    <row r="2422" ht="38.25" customHeight="1"/>
    <row r="2423" ht="38.25" customHeight="1"/>
    <row r="2424" ht="38.25" customHeight="1"/>
    <row r="2425" ht="38.25" customHeight="1"/>
    <row r="2426" ht="38.25" customHeight="1"/>
    <row r="2427" ht="38.25" customHeight="1"/>
    <row r="2428" ht="38.25" customHeight="1"/>
    <row r="2429" ht="38.25" customHeight="1"/>
    <row r="2430" ht="38.25" customHeight="1"/>
    <row r="2431" ht="38.25" customHeight="1"/>
    <row r="2432" ht="38.25" customHeight="1"/>
    <row r="2433" ht="38.25" customHeight="1"/>
    <row r="2434" ht="38.25" customHeight="1"/>
    <row r="2435" ht="38.25" customHeight="1"/>
    <row r="2436" ht="38.25" customHeight="1"/>
    <row r="2437" ht="38.25" customHeight="1"/>
    <row r="2438" ht="38.25" customHeight="1"/>
    <row r="2439" ht="38.25" customHeight="1"/>
    <row r="2440" ht="38.25" customHeight="1"/>
    <row r="2441" ht="38.25" customHeight="1"/>
    <row r="2442" ht="38.25" customHeight="1"/>
    <row r="2443" ht="38.25" customHeight="1"/>
    <row r="2444" ht="38.25" customHeight="1"/>
    <row r="2445" ht="38.25" customHeight="1"/>
    <row r="2446" ht="38.25" customHeight="1"/>
    <row r="2447" ht="38.25" customHeight="1"/>
    <row r="2448" ht="38.25" customHeight="1"/>
    <row r="2449" ht="38.25" customHeight="1"/>
    <row r="2450" ht="38.25" customHeight="1"/>
    <row r="2451" ht="38.25" customHeight="1"/>
    <row r="2452" ht="38.25" customHeight="1"/>
    <row r="2453" ht="38.25" customHeight="1"/>
    <row r="2454" ht="38.25" customHeight="1"/>
    <row r="2455" ht="38.25" customHeight="1"/>
    <row r="2456" ht="38.25" customHeight="1"/>
    <row r="2457" ht="38.25" customHeight="1"/>
    <row r="2458" ht="38.25" customHeight="1"/>
    <row r="2459" ht="38.25" customHeight="1"/>
    <row r="2460" ht="38.25" customHeight="1"/>
    <row r="2461" ht="38.25" customHeight="1"/>
    <row r="2462" ht="38.25" customHeight="1"/>
    <row r="2463" ht="38.25" customHeight="1"/>
    <row r="2464" ht="38.25" customHeight="1"/>
    <row r="2465" ht="38.25" customHeight="1"/>
    <row r="2466" ht="38.25" customHeight="1"/>
    <row r="2467" ht="38.25" customHeight="1"/>
    <row r="2468" ht="38.25" customHeight="1"/>
    <row r="2469" ht="38.25" customHeight="1"/>
    <row r="2470" ht="38.25" customHeight="1"/>
    <row r="2471" ht="38.25" customHeight="1"/>
    <row r="2472" ht="38.25" customHeight="1"/>
    <row r="2473" ht="38.25" customHeight="1"/>
    <row r="2474" ht="38.25" customHeight="1"/>
    <row r="2475" ht="38.25" customHeight="1"/>
    <row r="2476" ht="38.25" customHeight="1"/>
    <row r="2477" ht="38.25" customHeight="1"/>
    <row r="2478" ht="38.25" customHeight="1"/>
    <row r="2479" ht="38.25" customHeight="1"/>
    <row r="2480" ht="38.25" customHeight="1"/>
    <row r="2481" ht="38.25" customHeight="1"/>
    <row r="2482" ht="38.25" customHeight="1"/>
    <row r="2483" ht="38.25" customHeight="1"/>
    <row r="2484" ht="38.25" customHeight="1"/>
    <row r="2485" ht="38.25" customHeight="1"/>
  </sheetData>
  <autoFilter ref="X6:AC296" xr:uid="{5435617E-154C-4726-AF71-9471DDDAB408}"/>
  <mergeCells count="4">
    <mergeCell ref="A1:E1"/>
    <mergeCell ref="A2:B2"/>
    <mergeCell ref="A3:B3"/>
    <mergeCell ref="A4:B4"/>
  </mergeCells>
  <phoneticPr fontId="37" type="noConversion"/>
  <hyperlinks>
    <hyperlink ref="F1" location="Instructions!A1" display="Instructions!A1" xr:uid="{46DDABC3-6C23-F74E-9910-B8AAE73E78E0}"/>
  </hyperlinks>
  <pageMargins left="0.7" right="0.7" top="0.75" bottom="0.75" header="0.3" footer="0.3"/>
  <pageSetup paperSize="9" scale="30" orientation="portrait" verticalDpi="0"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0185C-0D97-2744-9475-C29CAC8B44E4}">
  <dimension ref="A1:I20"/>
  <sheetViews>
    <sheetView topLeftCell="A11" workbookViewId="0">
      <selection activeCell="G12" sqref="G12"/>
    </sheetView>
  </sheetViews>
  <sheetFormatPr baseColWidth="10" defaultRowHeight="20" customHeight="1" outlineLevelRow="1"/>
  <cols>
    <col min="1" max="1" width="6" style="263" bestFit="1" customWidth="1"/>
    <col min="2" max="2" width="40" style="263" customWidth="1"/>
    <col min="3" max="3" width="132" style="263" customWidth="1"/>
    <col min="4" max="4" width="56" style="263" customWidth="1"/>
    <col min="5" max="5" width="52.25" style="263" customWidth="1"/>
    <col min="6" max="6" width="27.25" style="263" customWidth="1"/>
    <col min="7" max="7" width="33.5" style="263" customWidth="1"/>
    <col min="8" max="8" width="48.25" style="263" customWidth="1"/>
    <col min="9" max="9" width="83.25" style="250" customWidth="1"/>
    <col min="10" max="16384" width="10.75" style="250"/>
  </cols>
  <sheetData>
    <row r="1" spans="1:9" ht="48">
      <c r="A1" s="249" t="s">
        <v>2197</v>
      </c>
      <c r="B1" s="249" t="s">
        <v>2198</v>
      </c>
      <c r="C1" s="249" t="s">
        <v>2199</v>
      </c>
      <c r="D1" s="249" t="s">
        <v>2200</v>
      </c>
      <c r="E1" s="249" t="s">
        <v>2201</v>
      </c>
      <c r="F1" s="249" t="s">
        <v>2202</v>
      </c>
      <c r="G1" s="249" t="s">
        <v>2203</v>
      </c>
      <c r="H1" s="249" t="s">
        <v>2204</v>
      </c>
      <c r="I1" s="249" t="s">
        <v>2205</v>
      </c>
    </row>
    <row r="2" spans="1:9" ht="240">
      <c r="A2" s="251">
        <f>ROW()-1</f>
        <v>1</v>
      </c>
      <c r="B2" s="252" t="s">
        <v>2206</v>
      </c>
      <c r="C2" s="253" t="s">
        <v>2207</v>
      </c>
      <c r="D2" s="251" t="s">
        <v>2208</v>
      </c>
      <c r="E2" s="251">
        <v>1</v>
      </c>
      <c r="F2" s="254">
        <v>4420000</v>
      </c>
      <c r="G2" s="254">
        <f>E2*F2</f>
        <v>4420000</v>
      </c>
      <c r="H2" s="255">
        <v>0.06</v>
      </c>
      <c r="I2" s="256" t="s">
        <v>2209</v>
      </c>
    </row>
    <row r="3" spans="1:9" ht="19">
      <c r="A3" s="531" t="s">
        <v>2210</v>
      </c>
      <c r="B3" s="532"/>
      <c r="C3" s="532"/>
      <c r="D3" s="532"/>
      <c r="E3" s="533"/>
      <c r="F3" s="257"/>
      <c r="G3" s="257"/>
      <c r="H3" s="258"/>
      <c r="I3" s="259"/>
    </row>
    <row r="4" spans="1:9" ht="48">
      <c r="A4" s="249" t="s">
        <v>2197</v>
      </c>
      <c r="B4" s="249" t="s">
        <v>2211</v>
      </c>
      <c r="C4" s="249" t="s">
        <v>2212</v>
      </c>
      <c r="D4" s="260" t="s">
        <v>2213</v>
      </c>
      <c r="E4" s="249" t="s">
        <v>2205</v>
      </c>
      <c r="F4" s="249" t="s">
        <v>2214</v>
      </c>
      <c r="G4" s="249" t="s">
        <v>2281</v>
      </c>
      <c r="H4" s="249" t="s">
        <v>2216</v>
      </c>
      <c r="I4" s="267" t="s">
        <v>2215</v>
      </c>
    </row>
    <row r="5" spans="1:9" ht="75" outlineLevel="1">
      <c r="A5" s="251">
        <f t="shared" ref="A5:A16" si="0">ROW()-4</f>
        <v>1</v>
      </c>
      <c r="B5" s="252" t="s">
        <v>2217</v>
      </c>
      <c r="C5" s="252" t="s">
        <v>2551</v>
      </c>
      <c r="D5" s="261" t="s">
        <v>2218</v>
      </c>
      <c r="E5" s="252" t="s">
        <v>2219</v>
      </c>
      <c r="F5" s="266" t="s">
        <v>2282</v>
      </c>
      <c r="G5" s="266"/>
      <c r="H5" s="262"/>
      <c r="I5" s="262" t="s">
        <v>2283</v>
      </c>
    </row>
    <row r="6" spans="1:9" ht="75">
      <c r="A6" s="251">
        <f t="shared" si="0"/>
        <v>2</v>
      </c>
      <c r="B6" s="252" t="s">
        <v>2220</v>
      </c>
      <c r="C6" s="252" t="s">
        <v>2221</v>
      </c>
      <c r="D6" s="261" t="s">
        <v>2222</v>
      </c>
      <c r="E6" s="252"/>
      <c r="F6" s="266" t="s">
        <v>2550</v>
      </c>
      <c r="G6" s="296"/>
      <c r="H6" s="250"/>
      <c r="I6" s="263" t="s">
        <v>2284</v>
      </c>
    </row>
    <row r="7" spans="1:9" ht="60">
      <c r="A7" s="251">
        <f t="shared" si="0"/>
        <v>3</v>
      </c>
      <c r="B7" s="252" t="s">
        <v>2285</v>
      </c>
      <c r="C7" s="252" t="s">
        <v>2223</v>
      </c>
      <c r="D7" s="261" t="s">
        <v>2286</v>
      </c>
      <c r="E7" s="252"/>
      <c r="F7" s="266" t="s">
        <v>2408</v>
      </c>
      <c r="G7" s="296"/>
      <c r="H7" s="250"/>
    </row>
    <row r="8" spans="1:9" ht="75">
      <c r="A8" s="251">
        <f t="shared" si="0"/>
        <v>4</v>
      </c>
      <c r="B8" s="251" t="s">
        <v>2287</v>
      </c>
      <c r="C8" s="252" t="s">
        <v>2225</v>
      </c>
      <c r="D8" s="261" t="s">
        <v>2226</v>
      </c>
      <c r="E8" s="252"/>
      <c r="F8" s="266" t="s">
        <v>2500</v>
      </c>
      <c r="G8" s="296"/>
    </row>
    <row r="9" spans="1:9" ht="342">
      <c r="A9" s="251">
        <f t="shared" si="0"/>
        <v>5</v>
      </c>
      <c r="B9" s="252" t="s">
        <v>2288</v>
      </c>
      <c r="C9" s="252" t="s">
        <v>2289</v>
      </c>
      <c r="D9" s="261" t="s">
        <v>2227</v>
      </c>
      <c r="E9" s="252"/>
      <c r="F9" s="266" t="s">
        <v>2477</v>
      </c>
      <c r="G9" s="296"/>
    </row>
    <row r="10" spans="1:9" ht="105">
      <c r="A10" s="251">
        <f t="shared" si="0"/>
        <v>6</v>
      </c>
      <c r="B10" s="252" t="s">
        <v>2290</v>
      </c>
      <c r="C10" s="252" t="s">
        <v>2228</v>
      </c>
      <c r="D10" s="261" t="s">
        <v>2291</v>
      </c>
      <c r="E10" s="252"/>
      <c r="F10" s="266" t="s">
        <v>2481</v>
      </c>
      <c r="G10" s="296"/>
      <c r="H10" s="264"/>
    </row>
    <row r="11" spans="1:9" ht="120">
      <c r="A11" s="251">
        <f t="shared" si="0"/>
        <v>7</v>
      </c>
      <c r="B11" s="252" t="s">
        <v>2292</v>
      </c>
      <c r="C11" s="252" t="s">
        <v>2293</v>
      </c>
      <c r="D11" s="261" t="s">
        <v>2294</v>
      </c>
      <c r="E11" s="252"/>
      <c r="F11" s="266" t="s">
        <v>2488</v>
      </c>
      <c r="G11" s="296"/>
      <c r="H11" s="250"/>
    </row>
    <row r="12" spans="1:9" ht="60">
      <c r="A12" s="251">
        <f t="shared" si="0"/>
        <v>8</v>
      </c>
      <c r="B12" s="251" t="s">
        <v>2295</v>
      </c>
      <c r="C12" s="252" t="s">
        <v>2229</v>
      </c>
      <c r="D12" s="261" t="s">
        <v>2404</v>
      </c>
      <c r="E12" s="252"/>
      <c r="F12" s="296"/>
      <c r="G12" s="296" t="s">
        <v>2556</v>
      </c>
      <c r="H12" s="250"/>
    </row>
    <row r="13" spans="1:9" ht="45">
      <c r="A13" s="251">
        <f t="shared" si="0"/>
        <v>9</v>
      </c>
      <c r="B13" s="252" t="s">
        <v>2296</v>
      </c>
      <c r="C13" s="252" t="s">
        <v>2297</v>
      </c>
      <c r="D13" s="261" t="s">
        <v>2298</v>
      </c>
      <c r="E13" s="252"/>
      <c r="F13" s="266" t="s">
        <v>2299</v>
      </c>
      <c r="G13" s="296"/>
      <c r="H13" s="250"/>
    </row>
    <row r="14" spans="1:9" ht="90">
      <c r="A14" s="251">
        <f t="shared" si="0"/>
        <v>10</v>
      </c>
      <c r="B14" s="252" t="s">
        <v>2300</v>
      </c>
      <c r="C14" s="252" t="s">
        <v>2301</v>
      </c>
      <c r="D14" s="261" t="s">
        <v>2302</v>
      </c>
      <c r="E14" s="252"/>
      <c r="F14" s="266" t="s">
        <v>2409</v>
      </c>
      <c r="G14" s="296" t="s">
        <v>2509</v>
      </c>
      <c r="H14" s="250"/>
    </row>
    <row r="15" spans="1:9" ht="75">
      <c r="A15" s="251">
        <f t="shared" si="0"/>
        <v>11</v>
      </c>
      <c r="B15" s="252" t="s">
        <v>2303</v>
      </c>
      <c r="C15" s="252" t="s">
        <v>2304</v>
      </c>
      <c r="D15" s="261" t="s">
        <v>2305</v>
      </c>
      <c r="E15" s="252"/>
      <c r="F15" s="266" t="s">
        <v>2306</v>
      </c>
      <c r="G15" s="296"/>
      <c r="H15" s="250"/>
    </row>
    <row r="16" spans="1:9" s="333" customFormat="1" ht="408" customHeight="1">
      <c r="A16" s="329">
        <f t="shared" si="0"/>
        <v>12</v>
      </c>
      <c r="B16" s="329" t="s">
        <v>2307</v>
      </c>
      <c r="C16" s="330" t="s">
        <v>2230</v>
      </c>
      <c r="D16" s="331" t="s">
        <v>2231</v>
      </c>
      <c r="E16" s="330"/>
      <c r="F16" s="328" t="s">
        <v>2555</v>
      </c>
      <c r="G16" s="332"/>
      <c r="I16" s="334" t="s">
        <v>2308</v>
      </c>
    </row>
    <row r="17" spans="8:8" ht="14">
      <c r="H17" s="250"/>
    </row>
    <row r="18" spans="8:8" ht="14">
      <c r="H18" s="250"/>
    </row>
    <row r="19" spans="8:8" ht="14">
      <c r="H19" s="250"/>
    </row>
    <row r="20" spans="8:8" ht="14">
      <c r="H20" s="250"/>
    </row>
  </sheetData>
  <mergeCells count="1">
    <mergeCell ref="A3:E3"/>
  </mergeCells>
  <phoneticPr fontId="37" type="noConversion"/>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A55A-D9D3-1648-8969-D28DC864A9DD}">
  <dimension ref="A1:K965"/>
  <sheetViews>
    <sheetView topLeftCell="A32" workbookViewId="0">
      <selection activeCell="D54" sqref="D54"/>
    </sheetView>
  </sheetViews>
  <sheetFormatPr baseColWidth="10" defaultRowHeight="15"/>
  <cols>
    <col min="1" max="1" width="23.75" style="297" customWidth="1"/>
    <col min="2" max="2" width="15.75" style="297" customWidth="1"/>
    <col min="3" max="3" width="48.25" style="297" customWidth="1"/>
    <col min="4" max="4" width="62" style="298" customWidth="1"/>
    <col min="5" max="5" width="18.5" style="297" customWidth="1"/>
    <col min="6" max="6" width="18.25" style="297" customWidth="1"/>
    <col min="7" max="7" width="24" style="250" customWidth="1"/>
    <col min="8" max="8" width="16" style="263" customWidth="1"/>
    <col min="9" max="9" width="16.5" style="297" customWidth="1"/>
    <col min="10" max="10" width="43.25" style="297" customWidth="1"/>
    <col min="11" max="11" width="39.5" style="250" customWidth="1"/>
    <col min="12" max="16384" width="10.75" style="250"/>
  </cols>
  <sheetData>
    <row r="1" spans="1:11" ht="45">
      <c r="A1" s="299" t="s">
        <v>2309</v>
      </c>
      <c r="B1" s="541" t="s">
        <v>2310</v>
      </c>
      <c r="C1" s="542"/>
      <c r="D1" s="542"/>
      <c r="E1" s="542"/>
      <c r="F1" s="542"/>
      <c r="G1" s="542"/>
      <c r="H1" s="542"/>
      <c r="I1" s="300"/>
    </row>
    <row r="2" spans="1:11" ht="64">
      <c r="A2" s="249" t="s">
        <v>2197</v>
      </c>
      <c r="B2" s="249" t="s">
        <v>2211</v>
      </c>
      <c r="C2" s="249" t="s">
        <v>2212</v>
      </c>
      <c r="D2" s="301" t="s">
        <v>2213</v>
      </c>
      <c r="E2" s="249" t="s">
        <v>2311</v>
      </c>
      <c r="F2" s="249" t="s">
        <v>2202</v>
      </c>
      <c r="G2" s="302" t="s">
        <v>2203</v>
      </c>
      <c r="H2" s="249" t="s">
        <v>2204</v>
      </c>
      <c r="I2" s="249" t="s">
        <v>2205</v>
      </c>
      <c r="J2" s="249" t="s">
        <v>2312</v>
      </c>
      <c r="K2" s="303" t="s">
        <v>2313</v>
      </c>
    </row>
    <row r="3" spans="1:11" ht="60">
      <c r="A3" s="251">
        <f t="shared" ref="A3:A34" si="0">ROW()-2</f>
        <v>1</v>
      </c>
      <c r="B3" s="252" t="s">
        <v>2314</v>
      </c>
      <c r="C3" s="304" t="s">
        <v>2315</v>
      </c>
      <c r="D3" s="305" t="s">
        <v>2316</v>
      </c>
      <c r="E3" s="306">
        <v>30</v>
      </c>
      <c r="F3" s="307">
        <v>2611</v>
      </c>
      <c r="G3" s="308">
        <f t="shared" ref="G3:G12" si="1">E3*F3</f>
        <v>78330</v>
      </c>
      <c r="H3" s="255">
        <v>0.06</v>
      </c>
      <c r="I3" s="309"/>
      <c r="J3" s="310" t="s">
        <v>2317</v>
      </c>
      <c r="K3" s="310"/>
    </row>
    <row r="4" spans="1:11" ht="60">
      <c r="A4" s="251">
        <f t="shared" si="0"/>
        <v>2</v>
      </c>
      <c r="B4" s="252" t="s">
        <v>2318</v>
      </c>
      <c r="C4" s="304" t="s">
        <v>2319</v>
      </c>
      <c r="D4" s="311" t="s">
        <v>2320</v>
      </c>
      <c r="E4" s="306">
        <v>30</v>
      </c>
      <c r="F4" s="307">
        <v>2611</v>
      </c>
      <c r="G4" s="308">
        <f t="shared" si="1"/>
        <v>78330</v>
      </c>
      <c r="H4" s="255">
        <v>0.06</v>
      </c>
      <c r="I4" s="309"/>
      <c r="J4" s="310" t="s">
        <v>2321</v>
      </c>
      <c r="K4" s="310"/>
    </row>
    <row r="5" spans="1:11" ht="84">
      <c r="A5" s="251">
        <f t="shared" si="0"/>
        <v>3</v>
      </c>
      <c r="B5" s="252" t="s">
        <v>2322</v>
      </c>
      <c r="C5" s="304" t="s">
        <v>2323</v>
      </c>
      <c r="D5" s="311" t="s">
        <v>2324</v>
      </c>
      <c r="E5" s="306">
        <v>25</v>
      </c>
      <c r="F5" s="307">
        <v>2611</v>
      </c>
      <c r="G5" s="308">
        <f t="shared" si="1"/>
        <v>65275</v>
      </c>
      <c r="H5" s="255">
        <v>0.06</v>
      </c>
      <c r="I5" s="309"/>
      <c r="J5" s="310" t="s">
        <v>2438</v>
      </c>
      <c r="K5" s="310"/>
    </row>
    <row r="6" spans="1:11" ht="34">
      <c r="A6" s="251">
        <f t="shared" si="0"/>
        <v>4</v>
      </c>
      <c r="B6" s="251" t="s">
        <v>2437</v>
      </c>
      <c r="C6" s="304" t="s">
        <v>2435</v>
      </c>
      <c r="D6" s="311" t="s">
        <v>2325</v>
      </c>
      <c r="E6" s="306">
        <v>25</v>
      </c>
      <c r="F6" s="307">
        <v>2611</v>
      </c>
      <c r="G6" s="308">
        <f t="shared" si="1"/>
        <v>65275</v>
      </c>
      <c r="H6" s="255">
        <v>0.06</v>
      </c>
      <c r="I6" s="309"/>
      <c r="J6" s="310" t="s">
        <v>2504</v>
      </c>
      <c r="K6" s="310"/>
    </row>
    <row r="7" spans="1:11" ht="72">
      <c r="A7" s="251">
        <f t="shared" si="0"/>
        <v>5</v>
      </c>
      <c r="B7" s="252" t="s">
        <v>2439</v>
      </c>
      <c r="C7" s="304" t="s">
        <v>2549</v>
      </c>
      <c r="D7" s="311" t="s">
        <v>2548</v>
      </c>
      <c r="E7" s="306">
        <v>30</v>
      </c>
      <c r="F7" s="307">
        <v>2611</v>
      </c>
      <c r="G7" s="308">
        <f t="shared" si="1"/>
        <v>78330</v>
      </c>
      <c r="H7" s="255">
        <v>0.06</v>
      </c>
      <c r="I7" s="309"/>
      <c r="J7" s="310"/>
      <c r="K7" s="310"/>
    </row>
    <row r="8" spans="1:11" ht="102">
      <c r="A8" s="251">
        <f t="shared" si="0"/>
        <v>6</v>
      </c>
      <c r="B8" s="251" t="s">
        <v>2441</v>
      </c>
      <c r="C8" s="304" t="s">
        <v>2440</v>
      </c>
      <c r="D8" s="311" t="s">
        <v>2442</v>
      </c>
      <c r="E8" s="306">
        <v>55</v>
      </c>
      <c r="F8" s="307">
        <v>2611</v>
      </c>
      <c r="G8" s="308">
        <f t="shared" si="1"/>
        <v>143605</v>
      </c>
      <c r="H8" s="255">
        <v>0.06</v>
      </c>
      <c r="I8" s="309"/>
      <c r="J8" s="310" t="s">
        <v>2443</v>
      </c>
      <c r="K8" s="310"/>
    </row>
    <row r="9" spans="1:11" ht="105">
      <c r="A9" s="251">
        <f t="shared" si="0"/>
        <v>7</v>
      </c>
      <c r="B9" s="252" t="s">
        <v>2444</v>
      </c>
      <c r="C9" s="304" t="s">
        <v>2326</v>
      </c>
      <c r="D9" s="311" t="s">
        <v>2327</v>
      </c>
      <c r="E9" s="306">
        <v>30</v>
      </c>
      <c r="F9" s="307">
        <v>2611</v>
      </c>
      <c r="G9" s="308">
        <f t="shared" si="1"/>
        <v>78330</v>
      </c>
      <c r="H9" s="255">
        <v>0.06</v>
      </c>
      <c r="I9" s="309"/>
      <c r="J9" s="310" t="s">
        <v>2445</v>
      </c>
      <c r="K9" s="310"/>
    </row>
    <row r="10" spans="1:11" ht="45">
      <c r="A10" s="251">
        <f t="shared" si="0"/>
        <v>8</v>
      </c>
      <c r="B10" s="252" t="s">
        <v>2446</v>
      </c>
      <c r="C10" s="304" t="s">
        <v>2328</v>
      </c>
      <c r="D10" s="311" t="s">
        <v>2328</v>
      </c>
      <c r="E10" s="306">
        <v>25</v>
      </c>
      <c r="F10" s="307">
        <v>2611</v>
      </c>
      <c r="G10" s="308">
        <f t="shared" si="1"/>
        <v>65275</v>
      </c>
      <c r="H10" s="255">
        <v>0.06</v>
      </c>
      <c r="I10" s="309"/>
      <c r="J10" s="310" t="s">
        <v>2449</v>
      </c>
      <c r="K10" s="310"/>
    </row>
    <row r="11" spans="1:11" ht="60">
      <c r="A11" s="251">
        <f t="shared" si="0"/>
        <v>9</v>
      </c>
      <c r="B11" s="252" t="s">
        <v>2451</v>
      </c>
      <c r="C11" s="304" t="s">
        <v>2450</v>
      </c>
      <c r="D11" s="311" t="s">
        <v>2329</v>
      </c>
      <c r="E11" s="306">
        <v>85</v>
      </c>
      <c r="F11" s="307">
        <v>2611</v>
      </c>
      <c r="G11" s="308">
        <f t="shared" si="1"/>
        <v>221935</v>
      </c>
      <c r="H11" s="255">
        <v>0.06</v>
      </c>
      <c r="I11" s="309"/>
      <c r="J11" s="310" t="s">
        <v>2453</v>
      </c>
      <c r="K11" s="310"/>
    </row>
    <row r="12" spans="1:11" ht="68">
      <c r="A12" s="251">
        <f t="shared" si="0"/>
        <v>10</v>
      </c>
      <c r="B12" s="251" t="s">
        <v>2448</v>
      </c>
      <c r="C12" s="304" t="s">
        <v>2447</v>
      </c>
      <c r="D12" s="312" t="s">
        <v>2455</v>
      </c>
      <c r="E12" s="537">
        <v>30</v>
      </c>
      <c r="F12" s="538">
        <v>2611</v>
      </c>
      <c r="G12" s="539">
        <f t="shared" si="1"/>
        <v>78330</v>
      </c>
      <c r="H12" s="255">
        <v>0.06</v>
      </c>
      <c r="I12" s="309"/>
      <c r="J12" s="310" t="s">
        <v>2456</v>
      </c>
      <c r="K12" s="310"/>
    </row>
    <row r="13" spans="1:11" ht="34">
      <c r="A13" s="251">
        <f t="shared" si="0"/>
        <v>11</v>
      </c>
      <c r="B13" s="251" t="s">
        <v>2454</v>
      </c>
      <c r="C13" s="304" t="s">
        <v>2330</v>
      </c>
      <c r="D13" s="312" t="s">
        <v>2331</v>
      </c>
      <c r="E13" s="537"/>
      <c r="F13" s="538"/>
      <c r="G13" s="539"/>
      <c r="H13" s="255">
        <v>0.06</v>
      </c>
      <c r="I13" s="309"/>
      <c r="J13" s="310" t="s">
        <v>2408</v>
      </c>
      <c r="K13" s="310"/>
    </row>
    <row r="14" spans="1:11" ht="64">
      <c r="A14" s="251">
        <f t="shared" si="0"/>
        <v>12</v>
      </c>
      <c r="B14" s="252" t="s">
        <v>2300</v>
      </c>
      <c r="C14" s="304" t="s">
        <v>2332</v>
      </c>
      <c r="D14" s="312" t="s">
        <v>2302</v>
      </c>
      <c r="E14" s="537"/>
      <c r="F14" s="538"/>
      <c r="G14" s="539"/>
      <c r="H14" s="255">
        <v>0.06</v>
      </c>
      <c r="I14" s="309"/>
      <c r="J14" s="310" t="s">
        <v>2409</v>
      </c>
      <c r="K14" s="310"/>
    </row>
    <row r="15" spans="1:11" ht="31">
      <c r="A15" s="251">
        <f t="shared" si="0"/>
        <v>13</v>
      </c>
      <c r="B15" s="251">
        <v>3.2</v>
      </c>
      <c r="C15" s="304" t="s">
        <v>2508</v>
      </c>
      <c r="D15" s="312" t="s">
        <v>2512</v>
      </c>
      <c r="E15" s="537"/>
      <c r="F15" s="538"/>
      <c r="G15" s="539"/>
      <c r="H15" s="255">
        <v>0.06</v>
      </c>
      <c r="I15" s="309"/>
      <c r="J15" s="310" t="s">
        <v>2513</v>
      </c>
      <c r="K15" s="310"/>
    </row>
    <row r="16" spans="1:11" ht="32">
      <c r="A16" s="251">
        <f t="shared" si="0"/>
        <v>14</v>
      </c>
      <c r="B16" s="251">
        <v>3.2</v>
      </c>
      <c r="C16" s="540" t="s">
        <v>2510</v>
      </c>
      <c r="D16" s="312" t="s">
        <v>2511</v>
      </c>
      <c r="E16" s="537">
        <v>30</v>
      </c>
      <c r="F16" s="538">
        <v>2611</v>
      </c>
      <c r="G16" s="539">
        <f>E16*F16</f>
        <v>78330</v>
      </c>
      <c r="H16" s="255">
        <v>0.06</v>
      </c>
      <c r="I16" s="309"/>
      <c r="J16" s="310" t="s">
        <v>2516</v>
      </c>
      <c r="K16" s="310"/>
    </row>
    <row r="17" spans="1:11" ht="31">
      <c r="A17" s="251">
        <f t="shared" si="0"/>
        <v>15</v>
      </c>
      <c r="B17" s="251">
        <v>3.2</v>
      </c>
      <c r="C17" s="540"/>
      <c r="D17" s="312" t="s">
        <v>2514</v>
      </c>
      <c r="E17" s="537"/>
      <c r="F17" s="538"/>
      <c r="G17" s="539"/>
      <c r="H17" s="255">
        <v>0.06</v>
      </c>
      <c r="I17" s="309"/>
      <c r="J17" s="310" t="s">
        <v>2515</v>
      </c>
      <c r="K17" s="310"/>
    </row>
    <row r="18" spans="1:11" ht="45">
      <c r="A18" s="251">
        <f t="shared" si="0"/>
        <v>16</v>
      </c>
      <c r="B18" s="251" t="s">
        <v>2333</v>
      </c>
      <c r="C18" s="540" t="s">
        <v>2517</v>
      </c>
      <c r="D18" s="312" t="s">
        <v>2519</v>
      </c>
      <c r="E18" s="537"/>
      <c r="F18" s="538"/>
      <c r="G18" s="539"/>
      <c r="H18" s="255">
        <v>0.06</v>
      </c>
      <c r="I18" s="309"/>
      <c r="J18" s="310" t="s">
        <v>2421</v>
      </c>
      <c r="K18" s="310"/>
    </row>
    <row r="19" spans="1:11" ht="60">
      <c r="A19" s="251">
        <f t="shared" si="0"/>
        <v>17</v>
      </c>
      <c r="B19" s="251" t="s">
        <v>2422</v>
      </c>
      <c r="C19" s="540"/>
      <c r="D19" s="312" t="s">
        <v>2423</v>
      </c>
      <c r="E19" s="537"/>
      <c r="F19" s="538"/>
      <c r="G19" s="539"/>
      <c r="H19" s="255">
        <v>0.06</v>
      </c>
      <c r="I19" s="309"/>
      <c r="J19" s="310" t="s">
        <v>2520</v>
      </c>
      <c r="K19" s="310"/>
    </row>
    <row r="20" spans="1:11" ht="31">
      <c r="A20" s="251">
        <f t="shared" si="0"/>
        <v>18</v>
      </c>
      <c r="B20" s="251" t="s">
        <v>2424</v>
      </c>
      <c r="C20" s="540" t="s">
        <v>2334</v>
      </c>
      <c r="D20" s="312" t="s">
        <v>2335</v>
      </c>
      <c r="E20" s="537">
        <v>30</v>
      </c>
      <c r="F20" s="538">
        <v>2611</v>
      </c>
      <c r="G20" s="539">
        <f>E20*F20</f>
        <v>78330</v>
      </c>
      <c r="H20" s="255">
        <v>0.06</v>
      </c>
      <c r="I20" s="309"/>
      <c r="J20" s="310" t="s">
        <v>2434</v>
      </c>
      <c r="K20" s="310"/>
    </row>
    <row r="21" spans="1:11" ht="31">
      <c r="A21" s="251">
        <f t="shared" si="0"/>
        <v>19</v>
      </c>
      <c r="B21" s="251" t="s">
        <v>2426</v>
      </c>
      <c r="C21" s="540"/>
      <c r="D21" s="312" t="s">
        <v>2518</v>
      </c>
      <c r="E21" s="537"/>
      <c r="F21" s="538"/>
      <c r="G21" s="539"/>
      <c r="H21" s="255">
        <v>0.06</v>
      </c>
      <c r="I21" s="309"/>
      <c r="J21" s="310" t="s">
        <v>2433</v>
      </c>
      <c r="K21" s="310"/>
    </row>
    <row r="22" spans="1:11" ht="31">
      <c r="A22" s="251">
        <f t="shared" si="0"/>
        <v>20</v>
      </c>
      <c r="B22" s="251" t="s">
        <v>2428</v>
      </c>
      <c r="C22" s="540"/>
      <c r="D22" s="312" t="s">
        <v>2336</v>
      </c>
      <c r="E22" s="537"/>
      <c r="F22" s="538"/>
      <c r="G22" s="539"/>
      <c r="H22" s="255">
        <v>0.06</v>
      </c>
      <c r="I22" s="309"/>
      <c r="J22" s="310" t="s">
        <v>2432</v>
      </c>
      <c r="K22" s="310"/>
    </row>
    <row r="23" spans="1:11" ht="68">
      <c r="A23" s="251">
        <f t="shared" si="0"/>
        <v>21</v>
      </c>
      <c r="B23" s="251" t="s">
        <v>2337</v>
      </c>
      <c r="C23" s="304" t="s">
        <v>2338</v>
      </c>
      <c r="D23" s="313" t="s">
        <v>2457</v>
      </c>
      <c r="E23" s="537"/>
      <c r="F23" s="538"/>
      <c r="G23" s="539"/>
      <c r="H23" s="255">
        <v>0.06</v>
      </c>
      <c r="I23" s="309"/>
      <c r="J23" s="310" t="s">
        <v>2460</v>
      </c>
      <c r="K23" s="310"/>
    </row>
    <row r="24" spans="1:11" ht="34">
      <c r="A24" s="251">
        <f t="shared" si="0"/>
        <v>22</v>
      </c>
      <c r="B24" s="251" t="s">
        <v>2337</v>
      </c>
      <c r="C24" s="304" t="s">
        <v>2338</v>
      </c>
      <c r="D24" s="314" t="s">
        <v>2458</v>
      </c>
      <c r="E24" s="306">
        <v>0</v>
      </c>
      <c r="F24" s="307"/>
      <c r="G24" s="308">
        <v>0</v>
      </c>
      <c r="H24" s="255">
        <v>0.06</v>
      </c>
      <c r="I24" s="309"/>
      <c r="J24" s="310" t="s">
        <v>2459</v>
      </c>
      <c r="K24" s="310"/>
    </row>
    <row r="25" spans="1:11" ht="34">
      <c r="A25" s="251">
        <f t="shared" si="0"/>
        <v>23</v>
      </c>
      <c r="B25" s="251" t="s">
        <v>2462</v>
      </c>
      <c r="C25" s="304" t="s">
        <v>2547</v>
      </c>
      <c r="D25" s="314" t="s">
        <v>2461</v>
      </c>
      <c r="E25" s="537">
        <v>25</v>
      </c>
      <c r="F25" s="538">
        <v>2611</v>
      </c>
      <c r="G25" s="539">
        <f>E25*F25</f>
        <v>65275</v>
      </c>
      <c r="H25" s="255">
        <v>0.06</v>
      </c>
      <c r="I25" s="309"/>
      <c r="J25" s="310"/>
      <c r="K25" s="310"/>
    </row>
    <row r="26" spans="1:11" ht="34">
      <c r="A26" s="251">
        <f t="shared" si="0"/>
        <v>24</v>
      </c>
      <c r="B26" s="251" t="s">
        <v>2337</v>
      </c>
      <c r="C26" s="304" t="s">
        <v>2338</v>
      </c>
      <c r="D26" s="315" t="s">
        <v>2521</v>
      </c>
      <c r="E26" s="537"/>
      <c r="F26" s="538"/>
      <c r="G26" s="539"/>
      <c r="H26" s="255">
        <v>0.06</v>
      </c>
      <c r="I26" s="309"/>
      <c r="J26" s="310"/>
      <c r="K26" s="310"/>
    </row>
    <row r="27" spans="1:11" ht="34">
      <c r="A27" s="251">
        <f t="shared" si="0"/>
        <v>25</v>
      </c>
      <c r="B27" s="251" t="s">
        <v>2337</v>
      </c>
      <c r="C27" s="304" t="s">
        <v>2338</v>
      </c>
      <c r="D27" s="315" t="s">
        <v>2522</v>
      </c>
      <c r="E27" s="537">
        <v>130</v>
      </c>
      <c r="F27" s="538">
        <v>2611</v>
      </c>
      <c r="G27" s="539">
        <f>E27*F27</f>
        <v>339430</v>
      </c>
      <c r="H27" s="255">
        <v>0.06</v>
      </c>
      <c r="I27" s="309"/>
      <c r="J27" s="310" t="s">
        <v>2523</v>
      </c>
      <c r="K27" s="310"/>
    </row>
    <row r="28" spans="1:11" ht="50">
      <c r="A28" s="251">
        <f t="shared" si="0"/>
        <v>26</v>
      </c>
      <c r="B28" s="251" t="s">
        <v>2337</v>
      </c>
      <c r="C28" s="304" t="s">
        <v>2338</v>
      </c>
      <c r="D28" s="313" t="s">
        <v>2524</v>
      </c>
      <c r="E28" s="537"/>
      <c r="F28" s="538"/>
      <c r="G28" s="539"/>
      <c r="H28" s="255">
        <v>0.06</v>
      </c>
      <c r="I28" s="309"/>
      <c r="J28" s="310" t="s">
        <v>2554</v>
      </c>
      <c r="K28" s="310"/>
    </row>
    <row r="29" spans="1:11" ht="50">
      <c r="A29" s="251">
        <f t="shared" si="0"/>
        <v>27</v>
      </c>
      <c r="B29" s="251" t="s">
        <v>2337</v>
      </c>
      <c r="C29" s="304" t="s">
        <v>2338</v>
      </c>
      <c r="D29" s="313" t="s">
        <v>2552</v>
      </c>
      <c r="E29" s="537">
        <v>25</v>
      </c>
      <c r="F29" s="538">
        <v>2611</v>
      </c>
      <c r="G29" s="539">
        <f>E29*F29</f>
        <v>65275</v>
      </c>
      <c r="H29" s="255">
        <v>0.06</v>
      </c>
      <c r="I29" s="309"/>
      <c r="J29" s="310" t="s">
        <v>2553</v>
      </c>
      <c r="K29" s="310"/>
    </row>
    <row r="30" spans="1:11" ht="34">
      <c r="A30" s="251">
        <f t="shared" si="0"/>
        <v>28</v>
      </c>
      <c r="B30" s="251" t="s">
        <v>2337</v>
      </c>
      <c r="C30" s="304" t="s">
        <v>2338</v>
      </c>
      <c r="D30" s="315" t="s">
        <v>2557</v>
      </c>
      <c r="E30" s="537"/>
      <c r="F30" s="538"/>
      <c r="G30" s="539"/>
      <c r="H30" s="255">
        <v>0.06</v>
      </c>
      <c r="I30" s="309"/>
      <c r="J30" s="310" t="s">
        <v>2558</v>
      </c>
      <c r="K30" s="310"/>
    </row>
    <row r="31" spans="1:11" ht="34">
      <c r="A31" s="251">
        <f t="shared" si="0"/>
        <v>29</v>
      </c>
      <c r="B31" s="251" t="s">
        <v>2337</v>
      </c>
      <c r="C31" s="304" t="s">
        <v>2338</v>
      </c>
      <c r="D31" s="313" t="s">
        <v>2559</v>
      </c>
      <c r="E31" s="537"/>
      <c r="F31" s="538"/>
      <c r="G31" s="539"/>
      <c r="H31" s="255">
        <v>0.06</v>
      </c>
      <c r="I31" s="309"/>
      <c r="J31" s="310" t="s">
        <v>2560</v>
      </c>
      <c r="K31" s="310"/>
    </row>
    <row r="32" spans="1:11" ht="34">
      <c r="A32" s="251">
        <f t="shared" si="0"/>
        <v>30</v>
      </c>
      <c r="B32" s="251" t="s">
        <v>2337</v>
      </c>
      <c r="C32" s="304" t="s">
        <v>2338</v>
      </c>
      <c r="D32" s="315" t="s">
        <v>2561</v>
      </c>
      <c r="E32" s="537"/>
      <c r="F32" s="538"/>
      <c r="G32" s="539"/>
      <c r="H32" s="255">
        <v>0.06</v>
      </c>
      <c r="I32" s="309"/>
      <c r="J32" s="310"/>
      <c r="K32" s="310"/>
    </row>
    <row r="33" spans="1:11" ht="31">
      <c r="A33" s="251">
        <f t="shared" si="0"/>
        <v>31</v>
      </c>
      <c r="B33" s="251" t="s">
        <v>2337</v>
      </c>
      <c r="C33" s="304" t="s">
        <v>2338</v>
      </c>
      <c r="D33" s="478" t="s">
        <v>2562</v>
      </c>
      <c r="E33" s="306">
        <v>50</v>
      </c>
      <c r="F33" s="307">
        <v>2611</v>
      </c>
      <c r="G33" s="307">
        <f t="shared" ref="G33:G54" si="2">E33*F33</f>
        <v>130550</v>
      </c>
      <c r="H33" s="255">
        <v>0.06</v>
      </c>
      <c r="I33" s="309"/>
      <c r="J33" s="310"/>
      <c r="K33" s="310"/>
    </row>
    <row r="34" spans="1:11" ht="31">
      <c r="A34" s="251">
        <f t="shared" si="0"/>
        <v>32</v>
      </c>
      <c r="B34" s="251" t="s">
        <v>2337</v>
      </c>
      <c r="C34" s="304" t="s">
        <v>2338</v>
      </c>
      <c r="D34" s="478" t="s">
        <v>2564</v>
      </c>
      <c r="E34" s="306">
        <v>10</v>
      </c>
      <c r="F34" s="307">
        <v>2611</v>
      </c>
      <c r="G34" s="307">
        <f t="shared" si="2"/>
        <v>26110</v>
      </c>
      <c r="H34" s="255">
        <v>0.06</v>
      </c>
      <c r="I34" s="309"/>
      <c r="J34" s="310"/>
      <c r="K34" s="310"/>
    </row>
    <row r="35" spans="1:11" ht="31">
      <c r="A35" s="251">
        <f t="shared" ref="A35:A54" si="3">ROW()-2</f>
        <v>33</v>
      </c>
      <c r="B35" s="251" t="s">
        <v>2337</v>
      </c>
      <c r="C35" s="304" t="s">
        <v>2338</v>
      </c>
      <c r="D35" s="314" t="s">
        <v>2339</v>
      </c>
      <c r="E35" s="306">
        <v>28</v>
      </c>
      <c r="F35" s="307">
        <v>2611</v>
      </c>
      <c r="G35" s="307">
        <f t="shared" si="2"/>
        <v>73108</v>
      </c>
      <c r="H35" s="255">
        <v>0.06</v>
      </c>
      <c r="I35" s="309"/>
      <c r="J35" s="310"/>
      <c r="K35" s="310"/>
    </row>
    <row r="36" spans="1:11" ht="34">
      <c r="A36" s="251">
        <f t="shared" si="3"/>
        <v>34</v>
      </c>
      <c r="B36" s="251" t="s">
        <v>2337</v>
      </c>
      <c r="C36" s="304" t="s">
        <v>2338</v>
      </c>
      <c r="D36" s="314" t="s">
        <v>2563</v>
      </c>
      <c r="E36" s="306">
        <v>45</v>
      </c>
      <c r="F36" s="307">
        <v>2611</v>
      </c>
      <c r="G36" s="307">
        <f t="shared" si="2"/>
        <v>117495</v>
      </c>
      <c r="H36" s="255">
        <v>0.06</v>
      </c>
      <c r="I36" s="309"/>
      <c r="J36" s="310"/>
      <c r="K36" s="310"/>
    </row>
    <row r="37" spans="1:11" ht="32">
      <c r="A37" s="251">
        <f t="shared" si="3"/>
        <v>35</v>
      </c>
      <c r="B37" s="251" t="s">
        <v>2337</v>
      </c>
      <c r="C37" s="304" t="s">
        <v>2338</v>
      </c>
      <c r="D37" s="314" t="s">
        <v>2340</v>
      </c>
      <c r="E37" s="306">
        <v>15</v>
      </c>
      <c r="F37" s="307">
        <v>2611</v>
      </c>
      <c r="G37" s="307">
        <f t="shared" si="2"/>
        <v>39165</v>
      </c>
      <c r="H37" s="255">
        <v>0.06</v>
      </c>
      <c r="I37" s="309"/>
      <c r="J37" s="310"/>
      <c r="K37" s="310"/>
    </row>
    <row r="38" spans="1:11" ht="32">
      <c r="A38" s="251">
        <f t="shared" si="3"/>
        <v>36</v>
      </c>
      <c r="B38" s="251" t="s">
        <v>2337</v>
      </c>
      <c r="C38" s="304" t="s">
        <v>2338</v>
      </c>
      <c r="D38" s="314" t="s">
        <v>2341</v>
      </c>
      <c r="E38" s="306">
        <v>10</v>
      </c>
      <c r="F38" s="307">
        <v>2611</v>
      </c>
      <c r="G38" s="307">
        <f t="shared" si="2"/>
        <v>26110</v>
      </c>
      <c r="H38" s="255">
        <v>0.06</v>
      </c>
      <c r="I38" s="309"/>
      <c r="J38" s="310"/>
      <c r="K38" s="310"/>
    </row>
    <row r="39" spans="1:11" ht="32">
      <c r="A39" s="251">
        <f t="shared" si="3"/>
        <v>37</v>
      </c>
      <c r="B39" s="251" t="s">
        <v>2337</v>
      </c>
      <c r="C39" s="304" t="s">
        <v>2338</v>
      </c>
      <c r="D39" s="313" t="s">
        <v>2342</v>
      </c>
      <c r="E39" s="306">
        <v>10</v>
      </c>
      <c r="F39" s="307">
        <v>2611</v>
      </c>
      <c r="G39" s="307">
        <f t="shared" si="2"/>
        <v>26110</v>
      </c>
      <c r="H39" s="255">
        <v>0.06</v>
      </c>
      <c r="I39" s="309"/>
      <c r="J39" s="310"/>
      <c r="K39" s="310"/>
    </row>
    <row r="40" spans="1:11" ht="32">
      <c r="A40" s="251">
        <f t="shared" si="3"/>
        <v>38</v>
      </c>
      <c r="B40" s="251" t="s">
        <v>2337</v>
      </c>
      <c r="C40" s="304" t="s">
        <v>2338</v>
      </c>
      <c r="D40" s="313" t="s">
        <v>2343</v>
      </c>
      <c r="E40" s="306">
        <v>8</v>
      </c>
      <c r="F40" s="307">
        <v>2611</v>
      </c>
      <c r="G40" s="307">
        <f t="shared" si="2"/>
        <v>20888</v>
      </c>
      <c r="H40" s="255">
        <v>0.06</v>
      </c>
      <c r="I40" s="309"/>
      <c r="J40" s="310"/>
      <c r="K40" s="310"/>
    </row>
    <row r="41" spans="1:11" ht="34">
      <c r="A41" s="251">
        <f t="shared" si="3"/>
        <v>39</v>
      </c>
      <c r="B41" s="251" t="s">
        <v>2337</v>
      </c>
      <c r="C41" s="304" t="s">
        <v>2338</v>
      </c>
      <c r="D41" s="313" t="s">
        <v>2565</v>
      </c>
      <c r="E41" s="306">
        <v>15</v>
      </c>
      <c r="F41" s="307">
        <v>2611</v>
      </c>
      <c r="G41" s="307">
        <f t="shared" si="2"/>
        <v>39165</v>
      </c>
      <c r="H41" s="255">
        <v>0.06</v>
      </c>
      <c r="I41" s="309"/>
      <c r="J41" s="310"/>
      <c r="K41" s="310"/>
    </row>
    <row r="42" spans="1:11" ht="32">
      <c r="A42" s="251">
        <f t="shared" si="3"/>
        <v>40</v>
      </c>
      <c r="B42" s="251" t="s">
        <v>2337</v>
      </c>
      <c r="C42" s="304" t="s">
        <v>2338</v>
      </c>
      <c r="D42" s="314" t="s">
        <v>2344</v>
      </c>
      <c r="E42" s="306">
        <v>5</v>
      </c>
      <c r="F42" s="307">
        <v>2611</v>
      </c>
      <c r="G42" s="307">
        <f t="shared" si="2"/>
        <v>13055</v>
      </c>
      <c r="H42" s="255">
        <v>0.06</v>
      </c>
      <c r="I42" s="309"/>
      <c r="J42" s="310"/>
      <c r="K42" s="310"/>
    </row>
    <row r="43" spans="1:11" ht="31">
      <c r="A43" s="251">
        <f t="shared" si="3"/>
        <v>41</v>
      </c>
      <c r="B43" s="251" t="s">
        <v>2337</v>
      </c>
      <c r="C43" s="304" t="s">
        <v>2338</v>
      </c>
      <c r="D43" s="313" t="s">
        <v>2345</v>
      </c>
      <c r="E43" s="306">
        <v>10</v>
      </c>
      <c r="F43" s="307">
        <v>2611</v>
      </c>
      <c r="G43" s="307">
        <f t="shared" si="2"/>
        <v>26110</v>
      </c>
      <c r="H43" s="255">
        <v>0.06</v>
      </c>
      <c r="I43" s="309"/>
      <c r="J43" s="310"/>
      <c r="K43" s="310"/>
    </row>
    <row r="44" spans="1:11" ht="32">
      <c r="A44" s="251">
        <f t="shared" si="3"/>
        <v>42</v>
      </c>
      <c r="B44" s="251" t="s">
        <v>2337</v>
      </c>
      <c r="C44" s="304" t="s">
        <v>2338</v>
      </c>
      <c r="D44" s="314" t="s">
        <v>2346</v>
      </c>
      <c r="E44" s="306">
        <v>10</v>
      </c>
      <c r="F44" s="307">
        <v>2611</v>
      </c>
      <c r="G44" s="307">
        <f t="shared" si="2"/>
        <v>26110</v>
      </c>
      <c r="H44" s="255">
        <v>0.06</v>
      </c>
      <c r="I44" s="309"/>
      <c r="J44" s="310"/>
      <c r="K44" s="310"/>
    </row>
    <row r="45" spans="1:11" ht="32">
      <c r="A45" s="251">
        <f t="shared" si="3"/>
        <v>43</v>
      </c>
      <c r="B45" s="251" t="s">
        <v>2337</v>
      </c>
      <c r="C45" s="304" t="s">
        <v>2338</v>
      </c>
      <c r="D45" s="314" t="s">
        <v>2347</v>
      </c>
      <c r="E45" s="306">
        <v>10</v>
      </c>
      <c r="F45" s="307">
        <v>2611</v>
      </c>
      <c r="G45" s="307">
        <f t="shared" si="2"/>
        <v>26110</v>
      </c>
      <c r="H45" s="255">
        <v>0.06</v>
      </c>
      <c r="I45" s="309"/>
      <c r="J45" s="310"/>
      <c r="K45" s="310"/>
    </row>
    <row r="46" spans="1:11" ht="32">
      <c r="A46" s="251">
        <f t="shared" si="3"/>
        <v>44</v>
      </c>
      <c r="B46" s="251" t="s">
        <v>2337</v>
      </c>
      <c r="C46" s="304" t="s">
        <v>2338</v>
      </c>
      <c r="D46" s="314" t="s">
        <v>2348</v>
      </c>
      <c r="E46" s="306">
        <v>10</v>
      </c>
      <c r="F46" s="307">
        <v>2611</v>
      </c>
      <c r="G46" s="307">
        <f t="shared" si="2"/>
        <v>26110</v>
      </c>
      <c r="H46" s="255">
        <v>0.06</v>
      </c>
      <c r="I46" s="309"/>
      <c r="J46" s="310"/>
      <c r="K46" s="310"/>
    </row>
    <row r="47" spans="1:11" ht="32">
      <c r="A47" s="251">
        <f t="shared" si="3"/>
        <v>45</v>
      </c>
      <c r="B47" s="251" t="s">
        <v>2337</v>
      </c>
      <c r="C47" s="304" t="s">
        <v>2338</v>
      </c>
      <c r="D47" s="314" t="s">
        <v>2349</v>
      </c>
      <c r="E47" s="306">
        <v>6</v>
      </c>
      <c r="F47" s="307">
        <v>2611</v>
      </c>
      <c r="G47" s="307">
        <f t="shared" si="2"/>
        <v>15666</v>
      </c>
      <c r="H47" s="255">
        <v>0.06</v>
      </c>
      <c r="I47" s="309"/>
      <c r="J47" s="310"/>
      <c r="K47" s="310"/>
    </row>
    <row r="48" spans="1:11" ht="32">
      <c r="A48" s="251">
        <f t="shared" si="3"/>
        <v>46</v>
      </c>
      <c r="B48" s="251" t="s">
        <v>2337</v>
      </c>
      <c r="C48" s="304" t="s">
        <v>2338</v>
      </c>
      <c r="D48" s="313" t="s">
        <v>2350</v>
      </c>
      <c r="E48" s="306">
        <v>25</v>
      </c>
      <c r="F48" s="307">
        <v>2611</v>
      </c>
      <c r="G48" s="307">
        <f t="shared" si="2"/>
        <v>65275</v>
      </c>
      <c r="H48" s="255">
        <v>0.06</v>
      </c>
      <c r="I48" s="309"/>
      <c r="J48" s="310"/>
      <c r="K48" s="310"/>
    </row>
    <row r="49" spans="1:11" ht="50">
      <c r="A49" s="251">
        <f t="shared" si="3"/>
        <v>47</v>
      </c>
      <c r="B49" s="251" t="s">
        <v>2337</v>
      </c>
      <c r="C49" s="304" t="s">
        <v>2338</v>
      </c>
      <c r="D49" s="314" t="s">
        <v>2570</v>
      </c>
      <c r="E49" s="306">
        <v>30</v>
      </c>
      <c r="F49" s="307">
        <v>2611</v>
      </c>
      <c r="G49" s="307">
        <f t="shared" si="2"/>
        <v>78330</v>
      </c>
      <c r="H49" s="255">
        <v>0.06</v>
      </c>
      <c r="I49" s="309"/>
      <c r="J49" s="310" t="s">
        <v>2571</v>
      </c>
      <c r="K49" s="310"/>
    </row>
    <row r="50" spans="1:11" ht="32">
      <c r="A50" s="251">
        <f t="shared" si="3"/>
        <v>48</v>
      </c>
      <c r="B50" s="251" t="s">
        <v>2337</v>
      </c>
      <c r="C50" s="304" t="s">
        <v>2338</v>
      </c>
      <c r="D50" s="313" t="s">
        <v>2351</v>
      </c>
      <c r="E50" s="306">
        <v>25</v>
      </c>
      <c r="F50" s="307">
        <v>2611</v>
      </c>
      <c r="G50" s="307">
        <f t="shared" si="2"/>
        <v>65275</v>
      </c>
      <c r="H50" s="255">
        <v>0.06</v>
      </c>
      <c r="I50" s="309"/>
      <c r="J50" s="310"/>
      <c r="K50" s="310"/>
    </row>
    <row r="51" spans="1:11" ht="32">
      <c r="A51" s="251">
        <f t="shared" si="3"/>
        <v>49</v>
      </c>
      <c r="B51" s="251" t="s">
        <v>2337</v>
      </c>
      <c r="C51" s="304" t="s">
        <v>2338</v>
      </c>
      <c r="D51" s="313" t="s">
        <v>2352</v>
      </c>
      <c r="E51" s="306">
        <v>10</v>
      </c>
      <c r="F51" s="307">
        <v>2611</v>
      </c>
      <c r="G51" s="307">
        <f t="shared" si="2"/>
        <v>26110</v>
      </c>
      <c r="H51" s="255">
        <v>0.06</v>
      </c>
      <c r="I51" s="309"/>
      <c r="J51" s="310"/>
      <c r="K51" s="310"/>
    </row>
    <row r="52" spans="1:11" ht="66">
      <c r="A52" s="251">
        <f t="shared" si="3"/>
        <v>50</v>
      </c>
      <c r="B52" s="251" t="s">
        <v>2462</v>
      </c>
      <c r="C52" s="304" t="s">
        <v>2338</v>
      </c>
      <c r="D52" s="315" t="s">
        <v>2569</v>
      </c>
      <c r="E52" s="306">
        <v>5</v>
      </c>
      <c r="F52" s="307">
        <v>2611</v>
      </c>
      <c r="G52" s="307">
        <f t="shared" si="2"/>
        <v>13055</v>
      </c>
      <c r="H52" s="255">
        <v>0.06</v>
      </c>
      <c r="I52" s="309"/>
      <c r="J52" s="310"/>
      <c r="K52" s="310"/>
    </row>
    <row r="53" spans="1:11" ht="31">
      <c r="A53" s="251">
        <f t="shared" si="3"/>
        <v>51</v>
      </c>
      <c r="B53" s="251" t="s">
        <v>2337</v>
      </c>
      <c r="C53" s="304" t="s">
        <v>2338</v>
      </c>
      <c r="D53" s="478" t="s">
        <v>2568</v>
      </c>
      <c r="E53" s="306">
        <v>5</v>
      </c>
      <c r="F53" s="307">
        <v>2611</v>
      </c>
      <c r="G53" s="307">
        <f t="shared" si="2"/>
        <v>13055</v>
      </c>
      <c r="H53" s="255">
        <v>0.06</v>
      </c>
      <c r="I53" s="309"/>
      <c r="J53" s="310"/>
      <c r="K53" s="310"/>
    </row>
    <row r="54" spans="1:11" ht="66">
      <c r="A54" s="251">
        <f t="shared" si="3"/>
        <v>52</v>
      </c>
      <c r="B54" s="251" t="s">
        <v>2337</v>
      </c>
      <c r="C54" s="304" t="s">
        <v>2338</v>
      </c>
      <c r="D54" s="315" t="s">
        <v>2566</v>
      </c>
      <c r="E54" s="306">
        <v>3</v>
      </c>
      <c r="F54" s="307">
        <v>2611</v>
      </c>
      <c r="G54" s="307">
        <f t="shared" si="2"/>
        <v>7833</v>
      </c>
      <c r="H54" s="255">
        <v>0.06</v>
      </c>
      <c r="I54" s="309"/>
      <c r="J54" s="310" t="s">
        <v>2567</v>
      </c>
      <c r="K54" s="310"/>
    </row>
    <row r="55" spans="1:11" ht="14">
      <c r="A55" s="534" t="s">
        <v>2353</v>
      </c>
      <c r="B55" s="535"/>
      <c r="C55" s="535"/>
      <c r="D55" s="536"/>
      <c r="E55" s="306"/>
      <c r="F55" s="307"/>
      <c r="G55" s="316"/>
      <c r="H55" s="255"/>
      <c r="I55" s="317"/>
      <c r="J55" s="310"/>
      <c r="K55" s="310"/>
    </row>
    <row r="56" spans="1:11" ht="75">
      <c r="A56" s="251">
        <v>53</v>
      </c>
      <c r="B56" s="252" t="s">
        <v>2463</v>
      </c>
      <c r="C56" s="252" t="s">
        <v>2355</v>
      </c>
      <c r="D56" s="253" t="s">
        <v>2356</v>
      </c>
      <c r="E56" s="318">
        <v>-10</v>
      </c>
      <c r="F56" s="307">
        <v>2611</v>
      </c>
      <c r="G56" s="319">
        <f t="shared" ref="G56:G84" si="4">E56*F56</f>
        <v>-26110</v>
      </c>
      <c r="H56" s="255">
        <v>0.06</v>
      </c>
      <c r="I56" s="320"/>
      <c r="J56" s="310"/>
      <c r="K56" s="310" t="s">
        <v>2525</v>
      </c>
    </row>
    <row r="57" spans="1:11" ht="75">
      <c r="A57" s="251">
        <v>54</v>
      </c>
      <c r="B57" s="252" t="s">
        <v>2354</v>
      </c>
      <c r="C57" s="252" t="s">
        <v>2355</v>
      </c>
      <c r="D57" s="253" t="s">
        <v>2464</v>
      </c>
      <c r="E57" s="318">
        <v>10</v>
      </c>
      <c r="F57" s="307">
        <v>2611</v>
      </c>
      <c r="G57" s="319">
        <f t="shared" si="4"/>
        <v>26110</v>
      </c>
      <c r="H57" s="255">
        <v>0.06</v>
      </c>
      <c r="I57" s="320" t="s">
        <v>2357</v>
      </c>
      <c r="J57" s="310" t="s">
        <v>2465</v>
      </c>
      <c r="K57" s="310"/>
    </row>
    <row r="58" spans="1:11" ht="75">
      <c r="A58" s="251">
        <v>55</v>
      </c>
      <c r="B58" s="252" t="s">
        <v>2358</v>
      </c>
      <c r="C58" s="252" t="s">
        <v>2359</v>
      </c>
      <c r="D58" s="253" t="s">
        <v>2466</v>
      </c>
      <c r="E58" s="318">
        <v>10</v>
      </c>
      <c r="F58" s="307">
        <v>2611</v>
      </c>
      <c r="G58" s="319">
        <f t="shared" si="4"/>
        <v>26110</v>
      </c>
      <c r="H58" s="255">
        <v>0.06</v>
      </c>
      <c r="I58" s="320" t="s">
        <v>2357</v>
      </c>
      <c r="J58" s="310" t="s">
        <v>2467</v>
      </c>
      <c r="K58" s="310"/>
    </row>
    <row r="59" spans="1:11" ht="120">
      <c r="A59" s="251">
        <v>56</v>
      </c>
      <c r="B59" s="252" t="s">
        <v>2469</v>
      </c>
      <c r="C59" s="252" t="s">
        <v>2360</v>
      </c>
      <c r="D59" s="253" t="s">
        <v>2468</v>
      </c>
      <c r="E59" s="318">
        <v>15</v>
      </c>
      <c r="F59" s="307">
        <v>2611</v>
      </c>
      <c r="G59" s="319">
        <f t="shared" si="4"/>
        <v>39165</v>
      </c>
      <c r="H59" s="255">
        <v>0.06</v>
      </c>
      <c r="I59" s="320"/>
      <c r="J59" s="310" t="s">
        <v>2470</v>
      </c>
      <c r="K59" s="310"/>
    </row>
    <row r="60" spans="1:11" ht="75">
      <c r="A60" s="251">
        <v>57</v>
      </c>
      <c r="B60" s="252" t="s">
        <v>2471</v>
      </c>
      <c r="C60" s="252" t="s">
        <v>2361</v>
      </c>
      <c r="D60" s="253" t="s">
        <v>2362</v>
      </c>
      <c r="E60" s="318">
        <v>20</v>
      </c>
      <c r="F60" s="307">
        <v>2611</v>
      </c>
      <c r="G60" s="319">
        <f t="shared" si="4"/>
        <v>52220</v>
      </c>
      <c r="H60" s="255">
        <v>0.06</v>
      </c>
      <c r="I60" s="320" t="s">
        <v>2363</v>
      </c>
      <c r="J60" s="310" t="s">
        <v>2472</v>
      </c>
      <c r="K60" s="310"/>
    </row>
    <row r="61" spans="1:11" ht="75">
      <c r="A61" s="251">
        <v>58</v>
      </c>
      <c r="B61" s="252" t="s">
        <v>2364</v>
      </c>
      <c r="C61" s="252" t="s">
        <v>2365</v>
      </c>
      <c r="D61" s="253" t="s">
        <v>2473</v>
      </c>
      <c r="E61" s="318">
        <v>8</v>
      </c>
      <c r="F61" s="307">
        <v>2611</v>
      </c>
      <c r="G61" s="319">
        <f t="shared" si="4"/>
        <v>20888</v>
      </c>
      <c r="H61" s="255">
        <v>0.06</v>
      </c>
      <c r="I61" s="320"/>
      <c r="J61" s="310" t="s">
        <v>2474</v>
      </c>
      <c r="K61" s="310"/>
    </row>
    <row r="62" spans="1:11" ht="75">
      <c r="A62" s="251">
        <v>59</v>
      </c>
      <c r="B62" s="252" t="s">
        <v>2366</v>
      </c>
      <c r="C62" s="252" t="s">
        <v>2367</v>
      </c>
      <c r="D62" s="253" t="s">
        <v>2368</v>
      </c>
      <c r="E62" s="318">
        <v>-20</v>
      </c>
      <c r="F62" s="307">
        <v>2611</v>
      </c>
      <c r="G62" s="319">
        <f t="shared" si="4"/>
        <v>-52220</v>
      </c>
      <c r="H62" s="255">
        <v>0.06</v>
      </c>
      <c r="I62" s="320"/>
      <c r="J62" s="310"/>
      <c r="K62" s="310" t="s">
        <v>2525</v>
      </c>
    </row>
    <row r="63" spans="1:11" ht="90">
      <c r="A63" s="251">
        <v>60</v>
      </c>
      <c r="B63" s="252" t="s">
        <v>2369</v>
      </c>
      <c r="C63" s="252" t="s">
        <v>2367</v>
      </c>
      <c r="D63" s="253" t="s">
        <v>2475</v>
      </c>
      <c r="E63" s="318">
        <v>10</v>
      </c>
      <c r="F63" s="307">
        <v>2611</v>
      </c>
      <c r="G63" s="319">
        <f t="shared" si="4"/>
        <v>26110</v>
      </c>
      <c r="H63" s="255">
        <v>0.06</v>
      </c>
      <c r="I63" s="253" t="s">
        <v>2370</v>
      </c>
      <c r="J63" s="310" t="s">
        <v>2476</v>
      </c>
      <c r="K63" s="310"/>
    </row>
    <row r="64" spans="1:11" ht="30">
      <c r="A64" s="251">
        <v>61</v>
      </c>
      <c r="B64" s="251" t="s">
        <v>2371</v>
      </c>
      <c r="C64" s="251" t="s">
        <v>2372</v>
      </c>
      <c r="D64" s="253" t="s">
        <v>2373</v>
      </c>
      <c r="E64" s="318">
        <v>-30</v>
      </c>
      <c r="F64" s="307">
        <v>2611</v>
      </c>
      <c r="G64" s="319">
        <f t="shared" si="4"/>
        <v>-78330</v>
      </c>
      <c r="H64" s="255">
        <v>0.06</v>
      </c>
      <c r="I64" s="320"/>
      <c r="J64" s="310"/>
      <c r="K64" s="310"/>
    </row>
    <row r="65" spans="1:11" ht="75">
      <c r="A65" s="251">
        <v>62</v>
      </c>
      <c r="B65" s="252" t="s">
        <v>2479</v>
      </c>
      <c r="C65" s="252" t="s">
        <v>2374</v>
      </c>
      <c r="D65" s="253" t="s">
        <v>2478</v>
      </c>
      <c r="E65" s="318">
        <v>30</v>
      </c>
      <c r="F65" s="307">
        <v>2611</v>
      </c>
      <c r="G65" s="319">
        <f t="shared" si="4"/>
        <v>78330</v>
      </c>
      <c r="H65" s="255">
        <v>0.06</v>
      </c>
      <c r="I65" s="320"/>
      <c r="J65" s="310" t="s">
        <v>2480</v>
      </c>
      <c r="K65" s="310"/>
    </row>
    <row r="66" spans="1:11">
      <c r="A66" s="251">
        <v>63</v>
      </c>
      <c r="B66" s="251" t="s">
        <v>2375</v>
      </c>
      <c r="C66" s="251" t="s">
        <v>2376</v>
      </c>
      <c r="D66" s="253" t="s">
        <v>2482</v>
      </c>
      <c r="E66" s="318">
        <v>10</v>
      </c>
      <c r="F66" s="307">
        <v>2611</v>
      </c>
      <c r="G66" s="319">
        <f t="shared" si="4"/>
        <v>26110</v>
      </c>
      <c r="H66" s="255">
        <v>0.06</v>
      </c>
      <c r="I66" s="320"/>
      <c r="J66" s="310" t="s">
        <v>2483</v>
      </c>
      <c r="K66" s="310"/>
    </row>
    <row r="67" spans="1:11">
      <c r="A67" s="251">
        <v>64</v>
      </c>
      <c r="B67" s="251" t="s">
        <v>2375</v>
      </c>
      <c r="C67" s="251" t="s">
        <v>2377</v>
      </c>
      <c r="D67" s="253" t="s">
        <v>2484</v>
      </c>
      <c r="E67" s="318">
        <v>10</v>
      </c>
      <c r="F67" s="307">
        <v>2611</v>
      </c>
      <c r="G67" s="319">
        <f t="shared" si="4"/>
        <v>26110</v>
      </c>
      <c r="H67" s="255">
        <v>0.06</v>
      </c>
      <c r="I67" s="320"/>
      <c r="J67" s="310" t="s">
        <v>2485</v>
      </c>
      <c r="K67" s="310"/>
    </row>
    <row r="68" spans="1:11" ht="45">
      <c r="A68" s="251">
        <v>65</v>
      </c>
      <c r="B68" s="251" t="s">
        <v>2489</v>
      </c>
      <c r="C68" s="251" t="s">
        <v>2378</v>
      </c>
      <c r="D68" s="253" t="s">
        <v>2486</v>
      </c>
      <c r="E68" s="318">
        <v>10</v>
      </c>
      <c r="F68" s="307">
        <v>2611</v>
      </c>
      <c r="G68" s="319">
        <f t="shared" si="4"/>
        <v>26110</v>
      </c>
      <c r="H68" s="255">
        <v>0.06</v>
      </c>
      <c r="I68" s="320"/>
      <c r="J68" s="310" t="s">
        <v>2487</v>
      </c>
      <c r="K68" s="310"/>
    </row>
    <row r="69" spans="1:11" ht="45">
      <c r="A69" s="251">
        <v>66</v>
      </c>
      <c r="B69" s="252" t="s">
        <v>2492</v>
      </c>
      <c r="C69" s="252" t="s">
        <v>2379</v>
      </c>
      <c r="D69" s="253" t="s">
        <v>2490</v>
      </c>
      <c r="E69" s="318">
        <v>10</v>
      </c>
      <c r="F69" s="307">
        <v>2611</v>
      </c>
      <c r="G69" s="319">
        <f t="shared" si="4"/>
        <v>26110</v>
      </c>
      <c r="H69" s="255">
        <v>0.06</v>
      </c>
      <c r="I69" s="320"/>
      <c r="J69" s="310" t="s">
        <v>2491</v>
      </c>
      <c r="K69" s="310"/>
    </row>
    <row r="70" spans="1:11" ht="45">
      <c r="A70" s="251">
        <v>67</v>
      </c>
      <c r="B70" s="252" t="s">
        <v>2495</v>
      </c>
      <c r="C70" s="252" t="s">
        <v>2494</v>
      </c>
      <c r="D70" s="253" t="s">
        <v>2493</v>
      </c>
      <c r="E70" s="318">
        <v>8</v>
      </c>
      <c r="F70" s="307">
        <v>2611</v>
      </c>
      <c r="G70" s="319">
        <f t="shared" si="4"/>
        <v>20888</v>
      </c>
      <c r="H70" s="255">
        <v>0.06</v>
      </c>
      <c r="I70" s="320"/>
      <c r="J70" s="310" t="s">
        <v>2496</v>
      </c>
      <c r="K70" s="310"/>
    </row>
    <row r="71" spans="1:11" ht="45">
      <c r="A71" s="251">
        <v>68</v>
      </c>
      <c r="B71" s="252" t="s">
        <v>2380</v>
      </c>
      <c r="C71" s="252" t="s">
        <v>2381</v>
      </c>
      <c r="D71" s="253" t="s">
        <v>2497</v>
      </c>
      <c r="E71" s="318">
        <v>5</v>
      </c>
      <c r="F71" s="307">
        <v>2611</v>
      </c>
      <c r="G71" s="319">
        <f t="shared" si="4"/>
        <v>13055</v>
      </c>
      <c r="H71" s="255">
        <v>0.06</v>
      </c>
      <c r="I71" s="320"/>
      <c r="J71" s="310" t="s">
        <v>2498</v>
      </c>
      <c r="K71" s="310"/>
    </row>
    <row r="72" spans="1:11" ht="75">
      <c r="A72" s="251">
        <v>69</v>
      </c>
      <c r="B72" s="252" t="s">
        <v>2382</v>
      </c>
      <c r="C72" s="252" t="s">
        <v>2383</v>
      </c>
      <c r="D72" s="253" t="s">
        <v>2499</v>
      </c>
      <c r="E72" s="318">
        <v>8</v>
      </c>
      <c r="F72" s="307">
        <v>2611</v>
      </c>
      <c r="G72" s="319">
        <f t="shared" si="4"/>
        <v>20888</v>
      </c>
      <c r="H72" s="255">
        <v>0.06</v>
      </c>
      <c r="I72" s="320"/>
      <c r="J72" s="310" t="s">
        <v>2501</v>
      </c>
      <c r="K72" s="310"/>
    </row>
    <row r="73" spans="1:11" ht="120">
      <c r="A73" s="251">
        <v>70</v>
      </c>
      <c r="B73" s="251" t="s">
        <v>2224</v>
      </c>
      <c r="C73" s="252" t="s">
        <v>2502</v>
      </c>
      <c r="D73" s="253" t="s">
        <v>2503</v>
      </c>
      <c r="E73" s="318">
        <v>20</v>
      </c>
      <c r="F73" s="307">
        <v>2611</v>
      </c>
      <c r="G73" s="319">
        <f t="shared" si="4"/>
        <v>52220</v>
      </c>
      <c r="H73" s="255">
        <v>0.06</v>
      </c>
      <c r="I73" s="320"/>
      <c r="J73" s="310" t="s">
        <v>2505</v>
      </c>
      <c r="K73" s="310"/>
    </row>
    <row r="74" spans="1:11" ht="45">
      <c r="A74" s="251">
        <v>71</v>
      </c>
      <c r="B74" s="251" t="s">
        <v>2384</v>
      </c>
      <c r="C74" s="252" t="s">
        <v>2385</v>
      </c>
      <c r="D74" s="253" t="s">
        <v>2506</v>
      </c>
      <c r="E74" s="318">
        <v>8</v>
      </c>
      <c r="F74" s="307">
        <v>2611</v>
      </c>
      <c r="G74" s="319">
        <f t="shared" si="4"/>
        <v>20888</v>
      </c>
      <c r="H74" s="255">
        <v>0.06</v>
      </c>
      <c r="I74" s="320"/>
      <c r="J74" s="310" t="s">
        <v>2526</v>
      </c>
      <c r="K74" s="310"/>
    </row>
    <row r="75" spans="1:11" ht="30">
      <c r="A75" s="251">
        <v>72</v>
      </c>
      <c r="B75" s="251" t="s">
        <v>2295</v>
      </c>
      <c r="C75" s="252" t="s">
        <v>2527</v>
      </c>
      <c r="D75" s="253" t="s">
        <v>2507</v>
      </c>
      <c r="E75" s="318">
        <v>20</v>
      </c>
      <c r="F75" s="307">
        <v>2611</v>
      </c>
      <c r="G75" s="319">
        <f t="shared" si="4"/>
        <v>52220</v>
      </c>
      <c r="H75" s="255">
        <v>0.06</v>
      </c>
      <c r="I75" s="320"/>
      <c r="J75" s="310" t="s">
        <v>2528</v>
      </c>
      <c r="K75" s="310"/>
    </row>
    <row r="76" spans="1:11" ht="60">
      <c r="A76" s="251">
        <v>73</v>
      </c>
      <c r="B76" s="251" t="s">
        <v>2386</v>
      </c>
      <c r="C76" s="252" t="s">
        <v>2387</v>
      </c>
      <c r="D76" s="253" t="s">
        <v>2529</v>
      </c>
      <c r="E76" s="318">
        <v>5</v>
      </c>
      <c r="F76" s="307">
        <v>2611</v>
      </c>
      <c r="G76" s="319">
        <f t="shared" si="4"/>
        <v>13055</v>
      </c>
      <c r="H76" s="255">
        <v>0.06</v>
      </c>
      <c r="I76" s="320"/>
      <c r="J76" s="310" t="s">
        <v>2530</v>
      </c>
      <c r="K76" s="310"/>
    </row>
    <row r="77" spans="1:11" ht="45">
      <c r="A77" s="251">
        <v>74</v>
      </c>
      <c r="B77" s="251" t="s">
        <v>2532</v>
      </c>
      <c r="C77" s="252" t="s">
        <v>2388</v>
      </c>
      <c r="D77" s="253" t="s">
        <v>2531</v>
      </c>
      <c r="E77" s="318">
        <v>3</v>
      </c>
      <c r="F77" s="307">
        <v>2611</v>
      </c>
      <c r="G77" s="319">
        <f t="shared" si="4"/>
        <v>7833</v>
      </c>
      <c r="H77" s="255">
        <v>0.06</v>
      </c>
      <c r="I77" s="320"/>
      <c r="J77" s="310"/>
      <c r="K77" s="310" t="s">
        <v>2533</v>
      </c>
    </row>
    <row r="78" spans="1:11" ht="30">
      <c r="A78" s="251">
        <v>75</v>
      </c>
      <c r="B78" s="251" t="s">
        <v>2389</v>
      </c>
      <c r="C78" s="252" t="s">
        <v>2390</v>
      </c>
      <c r="D78" s="253" t="s">
        <v>2391</v>
      </c>
      <c r="E78" s="318">
        <v>8</v>
      </c>
      <c r="F78" s="307">
        <v>2611</v>
      </c>
      <c r="G78" s="319">
        <f t="shared" si="4"/>
        <v>20888</v>
      </c>
      <c r="H78" s="255">
        <v>0.06</v>
      </c>
      <c r="I78" s="320"/>
      <c r="J78" s="310"/>
      <c r="K78" s="310"/>
    </row>
    <row r="79" spans="1:11" ht="105">
      <c r="A79" s="251">
        <v>76</v>
      </c>
      <c r="B79" s="251" t="s">
        <v>2416</v>
      </c>
      <c r="C79" s="252" t="s">
        <v>2392</v>
      </c>
      <c r="D79" s="253" t="s">
        <v>2393</v>
      </c>
      <c r="E79" s="318">
        <v>5</v>
      </c>
      <c r="F79" s="307">
        <v>2611</v>
      </c>
      <c r="G79" s="319">
        <f t="shared" si="4"/>
        <v>13055</v>
      </c>
      <c r="H79" s="255">
        <v>0.06</v>
      </c>
      <c r="I79" s="320"/>
      <c r="J79" s="310" t="s">
        <v>2417</v>
      </c>
      <c r="K79" s="310"/>
    </row>
    <row r="80" spans="1:11" ht="270">
      <c r="A80" s="251">
        <v>77</v>
      </c>
      <c r="B80" s="251" t="s">
        <v>2535</v>
      </c>
      <c r="C80" s="252" t="s">
        <v>2394</v>
      </c>
      <c r="D80" s="253" t="s">
        <v>2534</v>
      </c>
      <c r="E80" s="318">
        <v>10</v>
      </c>
      <c r="F80" s="307">
        <v>2611</v>
      </c>
      <c r="G80" s="319">
        <f t="shared" si="4"/>
        <v>26110</v>
      </c>
      <c r="H80" s="255">
        <v>0.06</v>
      </c>
      <c r="I80" s="320"/>
      <c r="J80" s="310" t="s">
        <v>2536</v>
      </c>
      <c r="K80" s="310"/>
    </row>
    <row r="81" spans="1:11" ht="60">
      <c r="A81" s="251">
        <v>78</v>
      </c>
      <c r="B81" s="251" t="s">
        <v>2395</v>
      </c>
      <c r="C81" s="252" t="s">
        <v>2538</v>
      </c>
      <c r="D81" s="253" t="s">
        <v>2537</v>
      </c>
      <c r="E81" s="318">
        <v>20</v>
      </c>
      <c r="F81" s="307">
        <v>2611</v>
      </c>
      <c r="G81" s="319">
        <f t="shared" si="4"/>
        <v>52220</v>
      </c>
      <c r="H81" s="255">
        <v>0.06</v>
      </c>
      <c r="I81" s="320"/>
      <c r="J81" s="310" t="s">
        <v>2539</v>
      </c>
      <c r="K81" s="310"/>
    </row>
    <row r="82" spans="1:11" ht="180">
      <c r="A82" s="251">
        <v>79</v>
      </c>
      <c r="B82" s="251" t="s">
        <v>2396</v>
      </c>
      <c r="C82" s="252" t="s">
        <v>2540</v>
      </c>
      <c r="D82" s="253" t="s">
        <v>2397</v>
      </c>
      <c r="E82" s="318">
        <v>10</v>
      </c>
      <c r="F82" s="307">
        <v>2611</v>
      </c>
      <c r="G82" s="319">
        <f t="shared" si="4"/>
        <v>26110</v>
      </c>
      <c r="H82" s="255">
        <v>0.06</v>
      </c>
      <c r="I82" s="320"/>
      <c r="J82" s="310" t="s">
        <v>2541</v>
      </c>
      <c r="K82" s="310"/>
    </row>
    <row r="83" spans="1:11" ht="90">
      <c r="A83" s="251">
        <v>80</v>
      </c>
      <c r="B83" s="252" t="s">
        <v>2398</v>
      </c>
      <c r="C83" s="252" t="s">
        <v>2542</v>
      </c>
      <c r="D83" s="253" t="s">
        <v>2400</v>
      </c>
      <c r="E83" s="318">
        <v>-30</v>
      </c>
      <c r="F83" s="307">
        <v>2611</v>
      </c>
      <c r="G83" s="319">
        <f t="shared" si="4"/>
        <v>-78330</v>
      </c>
      <c r="H83" s="255">
        <v>0.06</v>
      </c>
      <c r="I83" s="320"/>
      <c r="J83" s="310"/>
      <c r="K83" s="310"/>
    </row>
    <row r="84" spans="1:11" ht="60">
      <c r="A84" s="251">
        <v>81</v>
      </c>
      <c r="B84" s="252" t="s">
        <v>2398</v>
      </c>
      <c r="C84" s="252" t="s">
        <v>2399</v>
      </c>
      <c r="D84" s="253" t="s">
        <v>2401</v>
      </c>
      <c r="E84" s="318">
        <v>0</v>
      </c>
      <c r="F84" s="307">
        <v>2611</v>
      </c>
      <c r="G84" s="319">
        <f t="shared" si="4"/>
        <v>0</v>
      </c>
      <c r="H84" s="255">
        <v>0.06</v>
      </c>
      <c r="I84" s="253" t="s">
        <v>2402</v>
      </c>
      <c r="J84" s="310"/>
      <c r="K84" s="310"/>
    </row>
    <row r="85" spans="1:11" ht="14">
      <c r="A85" s="321" t="s">
        <v>2403</v>
      </c>
      <c r="B85" s="321"/>
      <c r="C85" s="321"/>
      <c r="D85" s="321"/>
      <c r="E85" s="321">
        <f>SUM(E3:E84)</f>
        <v>1133</v>
      </c>
      <c r="F85" s="322"/>
      <c r="G85" s="323">
        <f>SUM(G3:G84)</f>
        <v>2958263</v>
      </c>
      <c r="H85" s="324"/>
      <c r="I85" s="321"/>
    </row>
    <row r="86" spans="1:11">
      <c r="G86" s="325"/>
    </row>
    <row r="87" spans="1:11">
      <c r="G87" s="325"/>
    </row>
    <row r="88" spans="1:11">
      <c r="G88" s="325"/>
    </row>
    <row r="89" spans="1:11">
      <c r="G89" s="325"/>
    </row>
    <row r="90" spans="1:11">
      <c r="G90" s="325"/>
    </row>
    <row r="91" spans="1:11">
      <c r="G91" s="326"/>
    </row>
    <row r="92" spans="1:11">
      <c r="G92" s="325"/>
    </row>
    <row r="93" spans="1:11">
      <c r="G93" s="325"/>
    </row>
    <row r="94" spans="1:11">
      <c r="G94" s="325"/>
    </row>
    <row r="95" spans="1:11">
      <c r="G95" s="325"/>
    </row>
    <row r="96" spans="1:11">
      <c r="G96" s="325"/>
    </row>
    <row r="97" spans="7:7">
      <c r="G97" s="325"/>
    </row>
    <row r="98" spans="7:7">
      <c r="G98" s="325"/>
    </row>
    <row r="99" spans="7:7">
      <c r="G99" s="325"/>
    </row>
    <row r="100" spans="7:7">
      <c r="G100" s="325"/>
    </row>
    <row r="101" spans="7:7">
      <c r="G101" s="325"/>
    </row>
    <row r="102" spans="7:7">
      <c r="G102" s="325"/>
    </row>
    <row r="103" spans="7:7">
      <c r="G103" s="325"/>
    </row>
    <row r="104" spans="7:7">
      <c r="G104" s="325"/>
    </row>
    <row r="105" spans="7:7">
      <c r="G105" s="325"/>
    </row>
    <row r="106" spans="7:7">
      <c r="G106" s="325"/>
    </row>
    <row r="107" spans="7:7">
      <c r="G107" s="325"/>
    </row>
    <row r="108" spans="7:7">
      <c r="G108" s="325"/>
    </row>
    <row r="109" spans="7:7">
      <c r="G109" s="325"/>
    </row>
    <row r="110" spans="7:7">
      <c r="G110" s="325"/>
    </row>
    <row r="111" spans="7:7">
      <c r="G111" s="325"/>
    </row>
    <row r="112" spans="7:7">
      <c r="G112" s="325"/>
    </row>
    <row r="113" spans="7:7">
      <c r="G113" s="325"/>
    </row>
    <row r="114" spans="7:7">
      <c r="G114" s="325"/>
    </row>
    <row r="115" spans="7:7">
      <c r="G115" s="325"/>
    </row>
    <row r="116" spans="7:7">
      <c r="G116" s="325"/>
    </row>
    <row r="117" spans="7:7">
      <c r="G117" s="325"/>
    </row>
    <row r="118" spans="7:7">
      <c r="G118" s="325"/>
    </row>
    <row r="119" spans="7:7">
      <c r="G119" s="325"/>
    </row>
    <row r="120" spans="7:7">
      <c r="G120" s="325"/>
    </row>
    <row r="121" spans="7:7">
      <c r="G121" s="325"/>
    </row>
    <row r="122" spans="7:7">
      <c r="G122" s="325"/>
    </row>
    <row r="123" spans="7:7">
      <c r="G123" s="325"/>
    </row>
    <row r="124" spans="7:7">
      <c r="G124" s="325"/>
    </row>
    <row r="125" spans="7:7">
      <c r="G125" s="325"/>
    </row>
    <row r="126" spans="7:7">
      <c r="G126" s="325"/>
    </row>
    <row r="127" spans="7:7">
      <c r="G127" s="325"/>
    </row>
    <row r="128" spans="7:7">
      <c r="G128" s="325"/>
    </row>
    <row r="129" spans="7:7">
      <c r="G129" s="325"/>
    </row>
    <row r="130" spans="7:7">
      <c r="G130" s="325"/>
    </row>
    <row r="131" spans="7:7">
      <c r="G131" s="325"/>
    </row>
    <row r="132" spans="7:7">
      <c r="G132" s="325"/>
    </row>
    <row r="133" spans="7:7">
      <c r="G133" s="325"/>
    </row>
    <row r="134" spans="7:7">
      <c r="G134" s="325"/>
    </row>
    <row r="135" spans="7:7">
      <c r="G135" s="325"/>
    </row>
    <row r="136" spans="7:7">
      <c r="G136" s="325"/>
    </row>
    <row r="137" spans="7:7">
      <c r="G137" s="325"/>
    </row>
    <row r="138" spans="7:7">
      <c r="G138" s="325"/>
    </row>
    <row r="139" spans="7:7">
      <c r="G139" s="325"/>
    </row>
    <row r="140" spans="7:7">
      <c r="G140" s="325"/>
    </row>
    <row r="141" spans="7:7">
      <c r="G141" s="325"/>
    </row>
    <row r="142" spans="7:7">
      <c r="G142" s="325"/>
    </row>
    <row r="143" spans="7:7">
      <c r="G143" s="325"/>
    </row>
    <row r="144" spans="7:7">
      <c r="G144" s="325"/>
    </row>
    <row r="145" spans="7:7">
      <c r="G145" s="325"/>
    </row>
    <row r="146" spans="7:7">
      <c r="G146" s="325"/>
    </row>
    <row r="147" spans="7:7">
      <c r="G147" s="325"/>
    </row>
    <row r="148" spans="7:7">
      <c r="G148" s="325"/>
    </row>
    <row r="149" spans="7:7">
      <c r="G149" s="325"/>
    </row>
    <row r="150" spans="7:7">
      <c r="G150" s="325"/>
    </row>
    <row r="151" spans="7:7">
      <c r="G151" s="325"/>
    </row>
    <row r="152" spans="7:7">
      <c r="G152" s="325"/>
    </row>
    <row r="153" spans="7:7">
      <c r="G153" s="325"/>
    </row>
    <row r="154" spans="7:7">
      <c r="G154" s="325"/>
    </row>
    <row r="155" spans="7:7">
      <c r="G155" s="325"/>
    </row>
    <row r="156" spans="7:7">
      <c r="G156" s="325"/>
    </row>
    <row r="157" spans="7:7">
      <c r="G157" s="325"/>
    </row>
    <row r="158" spans="7:7">
      <c r="G158" s="325"/>
    </row>
    <row r="159" spans="7:7">
      <c r="G159" s="325"/>
    </row>
    <row r="160" spans="7:7">
      <c r="G160" s="325"/>
    </row>
    <row r="161" spans="7:7">
      <c r="G161" s="325"/>
    </row>
    <row r="162" spans="7:7">
      <c r="G162" s="325"/>
    </row>
    <row r="163" spans="7:7">
      <c r="G163" s="325"/>
    </row>
    <row r="164" spans="7:7">
      <c r="G164" s="325"/>
    </row>
    <row r="165" spans="7:7">
      <c r="G165" s="325"/>
    </row>
    <row r="166" spans="7:7">
      <c r="G166" s="325"/>
    </row>
    <row r="167" spans="7:7">
      <c r="G167" s="325"/>
    </row>
    <row r="168" spans="7:7">
      <c r="G168" s="325"/>
    </row>
    <row r="169" spans="7:7">
      <c r="G169" s="325"/>
    </row>
    <row r="170" spans="7:7">
      <c r="G170" s="325"/>
    </row>
    <row r="171" spans="7:7">
      <c r="G171" s="325"/>
    </row>
    <row r="172" spans="7:7">
      <c r="G172" s="325"/>
    </row>
    <row r="173" spans="7:7">
      <c r="G173" s="325"/>
    </row>
    <row r="174" spans="7:7">
      <c r="G174" s="325"/>
    </row>
    <row r="175" spans="7:7">
      <c r="G175" s="325"/>
    </row>
    <row r="176" spans="7:7">
      <c r="G176" s="325"/>
    </row>
    <row r="177" spans="7:7">
      <c r="G177" s="325"/>
    </row>
    <row r="178" spans="7:7">
      <c r="G178" s="325"/>
    </row>
    <row r="179" spans="7:7">
      <c r="G179" s="325"/>
    </row>
    <row r="180" spans="7:7">
      <c r="G180" s="325"/>
    </row>
    <row r="181" spans="7:7">
      <c r="G181" s="325"/>
    </row>
    <row r="182" spans="7:7">
      <c r="G182" s="325"/>
    </row>
    <row r="183" spans="7:7">
      <c r="G183" s="325"/>
    </row>
    <row r="184" spans="7:7">
      <c r="G184" s="325"/>
    </row>
    <row r="185" spans="7:7">
      <c r="G185" s="325"/>
    </row>
    <row r="186" spans="7:7">
      <c r="G186" s="325"/>
    </row>
    <row r="187" spans="7:7">
      <c r="G187" s="325"/>
    </row>
    <row r="188" spans="7:7">
      <c r="G188" s="325"/>
    </row>
    <row r="189" spans="7:7">
      <c r="G189" s="325"/>
    </row>
    <row r="190" spans="7:7">
      <c r="G190" s="325"/>
    </row>
    <row r="191" spans="7:7">
      <c r="G191" s="325"/>
    </row>
    <row r="192" spans="7:7">
      <c r="G192" s="325"/>
    </row>
    <row r="193" spans="7:7">
      <c r="G193" s="325"/>
    </row>
    <row r="194" spans="7:7">
      <c r="G194" s="325"/>
    </row>
    <row r="195" spans="7:7">
      <c r="G195" s="325"/>
    </row>
    <row r="196" spans="7:7">
      <c r="G196" s="325"/>
    </row>
    <row r="197" spans="7:7">
      <c r="G197" s="325"/>
    </row>
    <row r="198" spans="7:7">
      <c r="G198" s="325"/>
    </row>
    <row r="199" spans="7:7">
      <c r="G199" s="325"/>
    </row>
    <row r="200" spans="7:7">
      <c r="G200" s="325"/>
    </row>
    <row r="201" spans="7:7">
      <c r="G201" s="325"/>
    </row>
    <row r="202" spans="7:7">
      <c r="G202" s="325"/>
    </row>
    <row r="203" spans="7:7">
      <c r="G203" s="325"/>
    </row>
    <row r="204" spans="7:7">
      <c r="G204" s="325"/>
    </row>
    <row r="205" spans="7:7">
      <c r="G205" s="325"/>
    </row>
    <row r="206" spans="7:7">
      <c r="G206" s="325"/>
    </row>
    <row r="207" spans="7:7">
      <c r="G207" s="325"/>
    </row>
    <row r="208" spans="7:7">
      <c r="G208" s="325"/>
    </row>
    <row r="209" spans="7:7">
      <c r="G209" s="325"/>
    </row>
    <row r="210" spans="7:7">
      <c r="G210" s="325"/>
    </row>
    <row r="211" spans="7:7">
      <c r="G211" s="325"/>
    </row>
    <row r="212" spans="7:7">
      <c r="G212" s="325"/>
    </row>
    <row r="213" spans="7:7">
      <c r="G213" s="325"/>
    </row>
    <row r="214" spans="7:7">
      <c r="G214" s="325"/>
    </row>
    <row r="215" spans="7:7">
      <c r="G215" s="325"/>
    </row>
    <row r="216" spans="7:7">
      <c r="G216" s="325"/>
    </row>
    <row r="217" spans="7:7">
      <c r="G217" s="325"/>
    </row>
    <row r="218" spans="7:7">
      <c r="G218" s="325"/>
    </row>
    <row r="219" spans="7:7">
      <c r="G219" s="325"/>
    </row>
    <row r="220" spans="7:7">
      <c r="G220" s="325"/>
    </row>
    <row r="221" spans="7:7">
      <c r="G221" s="325"/>
    </row>
    <row r="222" spans="7:7">
      <c r="G222" s="325"/>
    </row>
    <row r="223" spans="7:7">
      <c r="G223" s="325"/>
    </row>
    <row r="224" spans="7:7">
      <c r="G224" s="325"/>
    </row>
    <row r="225" spans="7:7">
      <c r="G225" s="325"/>
    </row>
    <row r="226" spans="7:7">
      <c r="G226" s="325"/>
    </row>
    <row r="227" spans="7:7">
      <c r="G227" s="325"/>
    </row>
    <row r="228" spans="7:7">
      <c r="G228" s="325"/>
    </row>
    <row r="229" spans="7:7">
      <c r="G229" s="325"/>
    </row>
    <row r="230" spans="7:7">
      <c r="G230" s="325"/>
    </row>
    <row r="231" spans="7:7">
      <c r="G231" s="325"/>
    </row>
    <row r="232" spans="7:7">
      <c r="G232" s="325"/>
    </row>
    <row r="233" spans="7:7">
      <c r="G233" s="325"/>
    </row>
    <row r="234" spans="7:7">
      <c r="G234" s="325"/>
    </row>
    <row r="235" spans="7:7">
      <c r="G235" s="325"/>
    </row>
    <row r="236" spans="7:7">
      <c r="G236" s="325"/>
    </row>
    <row r="237" spans="7:7">
      <c r="G237" s="325"/>
    </row>
    <row r="238" spans="7:7">
      <c r="G238" s="325"/>
    </row>
    <row r="239" spans="7:7">
      <c r="G239" s="325"/>
    </row>
    <row r="240" spans="7:7">
      <c r="G240" s="325"/>
    </row>
    <row r="241" spans="7:7">
      <c r="G241" s="325"/>
    </row>
    <row r="242" spans="7:7">
      <c r="G242" s="325"/>
    </row>
    <row r="243" spans="7:7">
      <c r="G243" s="325"/>
    </row>
    <row r="244" spans="7:7">
      <c r="G244" s="325"/>
    </row>
    <row r="245" spans="7:7">
      <c r="G245" s="325"/>
    </row>
    <row r="246" spans="7:7">
      <c r="G246" s="325"/>
    </row>
    <row r="247" spans="7:7">
      <c r="G247" s="325"/>
    </row>
    <row r="248" spans="7:7">
      <c r="G248" s="325"/>
    </row>
    <row r="249" spans="7:7">
      <c r="G249" s="325"/>
    </row>
    <row r="250" spans="7:7">
      <c r="G250" s="325"/>
    </row>
    <row r="251" spans="7:7">
      <c r="G251" s="325"/>
    </row>
    <row r="252" spans="7:7">
      <c r="G252" s="325"/>
    </row>
    <row r="253" spans="7:7">
      <c r="G253" s="325"/>
    </row>
    <row r="254" spans="7:7">
      <c r="G254" s="325"/>
    </row>
    <row r="255" spans="7:7">
      <c r="G255" s="325"/>
    </row>
    <row r="256" spans="7:7">
      <c r="G256" s="325"/>
    </row>
    <row r="257" spans="7:7">
      <c r="G257" s="325"/>
    </row>
    <row r="258" spans="7:7">
      <c r="G258" s="325"/>
    </row>
    <row r="259" spans="7:7">
      <c r="G259" s="325"/>
    </row>
    <row r="260" spans="7:7">
      <c r="G260" s="325"/>
    </row>
    <row r="261" spans="7:7">
      <c r="G261" s="325"/>
    </row>
    <row r="262" spans="7:7">
      <c r="G262" s="325"/>
    </row>
    <row r="263" spans="7:7">
      <c r="G263" s="325"/>
    </row>
    <row r="264" spans="7:7">
      <c r="G264" s="325"/>
    </row>
    <row r="265" spans="7:7">
      <c r="G265" s="325"/>
    </row>
    <row r="266" spans="7:7">
      <c r="G266" s="325"/>
    </row>
    <row r="267" spans="7:7">
      <c r="G267" s="325"/>
    </row>
    <row r="268" spans="7:7">
      <c r="G268" s="325"/>
    </row>
    <row r="269" spans="7:7">
      <c r="G269" s="325"/>
    </row>
    <row r="270" spans="7:7">
      <c r="G270" s="325"/>
    </row>
    <row r="271" spans="7:7">
      <c r="G271" s="325"/>
    </row>
    <row r="272" spans="7:7">
      <c r="G272" s="325"/>
    </row>
    <row r="273" spans="7:7">
      <c r="G273" s="325"/>
    </row>
    <row r="274" spans="7:7">
      <c r="G274" s="325"/>
    </row>
    <row r="275" spans="7:7">
      <c r="G275" s="325"/>
    </row>
    <row r="276" spans="7:7">
      <c r="G276" s="325"/>
    </row>
    <row r="277" spans="7:7">
      <c r="G277" s="325"/>
    </row>
    <row r="278" spans="7:7">
      <c r="G278" s="325"/>
    </row>
    <row r="279" spans="7:7">
      <c r="G279" s="325"/>
    </row>
    <row r="280" spans="7:7">
      <c r="G280" s="325"/>
    </row>
    <row r="281" spans="7:7">
      <c r="G281" s="325"/>
    </row>
    <row r="282" spans="7:7">
      <c r="G282" s="325"/>
    </row>
    <row r="283" spans="7:7">
      <c r="G283" s="325"/>
    </row>
    <row r="284" spans="7:7">
      <c r="G284" s="325"/>
    </row>
    <row r="285" spans="7:7">
      <c r="G285" s="325"/>
    </row>
    <row r="286" spans="7:7">
      <c r="G286" s="325"/>
    </row>
    <row r="287" spans="7:7">
      <c r="G287" s="325"/>
    </row>
    <row r="288" spans="7:7">
      <c r="G288" s="325"/>
    </row>
    <row r="289" spans="7:7">
      <c r="G289" s="325"/>
    </row>
    <row r="290" spans="7:7">
      <c r="G290" s="325"/>
    </row>
    <row r="291" spans="7:7">
      <c r="G291" s="325"/>
    </row>
    <row r="292" spans="7:7">
      <c r="G292" s="325"/>
    </row>
    <row r="293" spans="7:7">
      <c r="G293" s="325"/>
    </row>
    <row r="294" spans="7:7">
      <c r="G294" s="325"/>
    </row>
    <row r="295" spans="7:7">
      <c r="G295" s="325"/>
    </row>
    <row r="296" spans="7:7">
      <c r="G296" s="325"/>
    </row>
    <row r="297" spans="7:7">
      <c r="G297" s="325"/>
    </row>
    <row r="298" spans="7:7">
      <c r="G298" s="325"/>
    </row>
    <row r="299" spans="7:7">
      <c r="G299" s="325"/>
    </row>
    <row r="300" spans="7:7">
      <c r="G300" s="325"/>
    </row>
    <row r="301" spans="7:7">
      <c r="G301" s="325"/>
    </row>
    <row r="302" spans="7:7">
      <c r="G302" s="325"/>
    </row>
    <row r="303" spans="7:7">
      <c r="G303" s="325"/>
    </row>
    <row r="304" spans="7:7">
      <c r="G304" s="325"/>
    </row>
    <row r="305" spans="7:7">
      <c r="G305" s="325"/>
    </row>
    <row r="306" spans="7:7">
      <c r="G306" s="325"/>
    </row>
    <row r="307" spans="7:7">
      <c r="G307" s="325"/>
    </row>
    <row r="308" spans="7:7">
      <c r="G308" s="325"/>
    </row>
    <row r="309" spans="7:7">
      <c r="G309" s="325"/>
    </row>
    <row r="310" spans="7:7">
      <c r="G310" s="325"/>
    </row>
    <row r="311" spans="7:7">
      <c r="G311" s="325"/>
    </row>
    <row r="312" spans="7:7">
      <c r="G312" s="325"/>
    </row>
    <row r="313" spans="7:7">
      <c r="G313" s="325"/>
    </row>
    <row r="314" spans="7:7">
      <c r="G314" s="325"/>
    </row>
    <row r="315" spans="7:7">
      <c r="G315" s="325"/>
    </row>
    <row r="316" spans="7:7">
      <c r="G316" s="325"/>
    </row>
    <row r="317" spans="7:7">
      <c r="G317" s="325"/>
    </row>
    <row r="318" spans="7:7">
      <c r="G318" s="325"/>
    </row>
    <row r="319" spans="7:7">
      <c r="G319" s="325"/>
    </row>
    <row r="320" spans="7:7">
      <c r="G320" s="325"/>
    </row>
    <row r="321" spans="7:7">
      <c r="G321" s="325"/>
    </row>
    <row r="322" spans="7:7">
      <c r="G322" s="325"/>
    </row>
    <row r="323" spans="7:7">
      <c r="G323" s="325"/>
    </row>
    <row r="324" spans="7:7">
      <c r="G324" s="325"/>
    </row>
    <row r="325" spans="7:7">
      <c r="G325" s="325"/>
    </row>
    <row r="326" spans="7:7">
      <c r="G326" s="325"/>
    </row>
    <row r="327" spans="7:7">
      <c r="G327" s="325"/>
    </row>
    <row r="328" spans="7:7">
      <c r="G328" s="325"/>
    </row>
    <row r="329" spans="7:7">
      <c r="G329" s="325"/>
    </row>
    <row r="330" spans="7:7">
      <c r="G330" s="325"/>
    </row>
    <row r="331" spans="7:7">
      <c r="G331" s="325"/>
    </row>
    <row r="332" spans="7:7">
      <c r="G332" s="325"/>
    </row>
    <row r="333" spans="7:7">
      <c r="G333" s="325"/>
    </row>
    <row r="334" spans="7:7">
      <c r="G334" s="325"/>
    </row>
    <row r="335" spans="7:7">
      <c r="G335" s="325"/>
    </row>
    <row r="336" spans="7:7">
      <c r="G336" s="325"/>
    </row>
    <row r="337" spans="7:7">
      <c r="G337" s="325"/>
    </row>
    <row r="338" spans="7:7">
      <c r="G338" s="325"/>
    </row>
    <row r="339" spans="7:7">
      <c r="G339" s="325"/>
    </row>
    <row r="340" spans="7:7">
      <c r="G340" s="325"/>
    </row>
    <row r="341" spans="7:7">
      <c r="G341" s="325"/>
    </row>
    <row r="342" spans="7:7">
      <c r="G342" s="325"/>
    </row>
    <row r="343" spans="7:7">
      <c r="G343" s="325"/>
    </row>
    <row r="344" spans="7:7">
      <c r="G344" s="325"/>
    </row>
    <row r="345" spans="7:7">
      <c r="G345" s="325"/>
    </row>
    <row r="346" spans="7:7">
      <c r="G346" s="325"/>
    </row>
    <row r="347" spans="7:7">
      <c r="G347" s="325"/>
    </row>
    <row r="348" spans="7:7">
      <c r="G348" s="325"/>
    </row>
    <row r="349" spans="7:7">
      <c r="G349" s="325"/>
    </row>
    <row r="350" spans="7:7">
      <c r="G350" s="325"/>
    </row>
    <row r="351" spans="7:7">
      <c r="G351" s="325"/>
    </row>
    <row r="352" spans="7:7">
      <c r="G352" s="325"/>
    </row>
    <row r="353" spans="7:7">
      <c r="G353" s="325"/>
    </row>
    <row r="354" spans="7:7">
      <c r="G354" s="325"/>
    </row>
    <row r="355" spans="7:7">
      <c r="G355" s="325"/>
    </row>
    <row r="356" spans="7:7">
      <c r="G356" s="325"/>
    </row>
    <row r="357" spans="7:7">
      <c r="G357" s="325"/>
    </row>
    <row r="358" spans="7:7">
      <c r="G358" s="325"/>
    </row>
    <row r="359" spans="7:7">
      <c r="G359" s="325"/>
    </row>
    <row r="360" spans="7:7">
      <c r="G360" s="325"/>
    </row>
    <row r="361" spans="7:7">
      <c r="G361" s="325"/>
    </row>
    <row r="362" spans="7:7">
      <c r="G362" s="325"/>
    </row>
    <row r="363" spans="7:7">
      <c r="G363" s="325"/>
    </row>
    <row r="364" spans="7:7">
      <c r="G364" s="325"/>
    </row>
    <row r="365" spans="7:7">
      <c r="G365" s="325"/>
    </row>
    <row r="366" spans="7:7">
      <c r="G366" s="325"/>
    </row>
    <row r="367" spans="7:7">
      <c r="G367" s="325"/>
    </row>
    <row r="368" spans="7:7">
      <c r="G368" s="325"/>
    </row>
    <row r="369" spans="7:7">
      <c r="G369" s="325"/>
    </row>
    <row r="370" spans="7:7">
      <c r="G370" s="325"/>
    </row>
    <row r="371" spans="7:7">
      <c r="G371" s="325"/>
    </row>
    <row r="372" spans="7:7">
      <c r="G372" s="325"/>
    </row>
    <row r="373" spans="7:7">
      <c r="G373" s="325"/>
    </row>
    <row r="374" spans="7:7">
      <c r="G374" s="325"/>
    </row>
    <row r="375" spans="7:7">
      <c r="G375" s="325"/>
    </row>
    <row r="376" spans="7:7">
      <c r="G376" s="325"/>
    </row>
    <row r="377" spans="7:7">
      <c r="G377" s="325"/>
    </row>
    <row r="378" spans="7:7">
      <c r="G378" s="325"/>
    </row>
    <row r="379" spans="7:7">
      <c r="G379" s="325"/>
    </row>
    <row r="380" spans="7:7">
      <c r="G380" s="325"/>
    </row>
    <row r="381" spans="7:7">
      <c r="G381" s="325"/>
    </row>
    <row r="382" spans="7:7">
      <c r="G382" s="325"/>
    </row>
    <row r="383" spans="7:7">
      <c r="G383" s="325"/>
    </row>
    <row r="384" spans="7:7">
      <c r="G384" s="325"/>
    </row>
    <row r="385" spans="7:7">
      <c r="G385" s="325"/>
    </row>
    <row r="386" spans="7:7">
      <c r="G386" s="325"/>
    </row>
    <row r="387" spans="7:7">
      <c r="G387" s="325"/>
    </row>
    <row r="388" spans="7:7">
      <c r="G388" s="325"/>
    </row>
    <row r="389" spans="7:7">
      <c r="G389" s="325"/>
    </row>
    <row r="390" spans="7:7">
      <c r="G390" s="325"/>
    </row>
    <row r="391" spans="7:7">
      <c r="G391" s="325"/>
    </row>
    <row r="392" spans="7:7">
      <c r="G392" s="325"/>
    </row>
    <row r="393" spans="7:7">
      <c r="G393" s="325"/>
    </row>
    <row r="394" spans="7:7">
      <c r="G394" s="325"/>
    </row>
    <row r="395" spans="7:7">
      <c r="G395" s="325"/>
    </row>
    <row r="396" spans="7:7">
      <c r="G396" s="325"/>
    </row>
    <row r="397" spans="7:7">
      <c r="G397" s="325"/>
    </row>
    <row r="398" spans="7:7">
      <c r="G398" s="325"/>
    </row>
    <row r="399" spans="7:7">
      <c r="G399" s="325"/>
    </row>
    <row r="400" spans="7:7">
      <c r="G400" s="325"/>
    </row>
    <row r="401" spans="7:7">
      <c r="G401" s="325"/>
    </row>
    <row r="402" spans="7:7">
      <c r="G402" s="325"/>
    </row>
    <row r="403" spans="7:7">
      <c r="G403" s="325"/>
    </row>
    <row r="404" spans="7:7">
      <c r="G404" s="325"/>
    </row>
    <row r="405" spans="7:7">
      <c r="G405" s="325"/>
    </row>
    <row r="406" spans="7:7">
      <c r="G406" s="325"/>
    </row>
    <row r="407" spans="7:7">
      <c r="G407" s="325"/>
    </row>
    <row r="408" spans="7:7">
      <c r="G408" s="325"/>
    </row>
    <row r="409" spans="7:7">
      <c r="G409" s="325"/>
    </row>
    <row r="410" spans="7:7">
      <c r="G410" s="325"/>
    </row>
    <row r="411" spans="7:7">
      <c r="G411" s="325"/>
    </row>
    <row r="412" spans="7:7">
      <c r="G412" s="325"/>
    </row>
    <row r="413" spans="7:7">
      <c r="G413" s="325"/>
    </row>
    <row r="414" spans="7:7">
      <c r="G414" s="325"/>
    </row>
    <row r="415" spans="7:7">
      <c r="G415" s="325"/>
    </row>
    <row r="416" spans="7:7">
      <c r="G416" s="325"/>
    </row>
    <row r="417" spans="7:7">
      <c r="G417" s="325"/>
    </row>
    <row r="418" spans="7:7">
      <c r="G418" s="325"/>
    </row>
    <row r="419" spans="7:7">
      <c r="G419" s="325"/>
    </row>
    <row r="420" spans="7:7">
      <c r="G420" s="325"/>
    </row>
    <row r="421" spans="7:7">
      <c r="G421" s="325"/>
    </row>
    <row r="422" spans="7:7">
      <c r="G422" s="325"/>
    </row>
    <row r="423" spans="7:7">
      <c r="G423" s="325"/>
    </row>
    <row r="424" spans="7:7">
      <c r="G424" s="325"/>
    </row>
    <row r="425" spans="7:7">
      <c r="G425" s="325"/>
    </row>
    <row r="426" spans="7:7">
      <c r="G426" s="325"/>
    </row>
    <row r="427" spans="7:7">
      <c r="G427" s="325"/>
    </row>
    <row r="428" spans="7:7">
      <c r="G428" s="325"/>
    </row>
    <row r="429" spans="7:7">
      <c r="G429" s="325"/>
    </row>
    <row r="430" spans="7:7">
      <c r="G430" s="325"/>
    </row>
    <row r="431" spans="7:7">
      <c r="G431" s="325"/>
    </row>
    <row r="432" spans="7:7">
      <c r="G432" s="325"/>
    </row>
    <row r="433" spans="7:7">
      <c r="G433" s="325"/>
    </row>
    <row r="434" spans="7:7">
      <c r="G434" s="325"/>
    </row>
    <row r="435" spans="7:7">
      <c r="G435" s="325"/>
    </row>
    <row r="436" spans="7:7">
      <c r="G436" s="325"/>
    </row>
    <row r="437" spans="7:7">
      <c r="G437" s="325"/>
    </row>
    <row r="438" spans="7:7">
      <c r="G438" s="325"/>
    </row>
    <row r="439" spans="7:7">
      <c r="G439" s="325"/>
    </row>
    <row r="440" spans="7:7">
      <c r="G440" s="325"/>
    </row>
    <row r="441" spans="7:7">
      <c r="G441" s="325"/>
    </row>
    <row r="442" spans="7:7">
      <c r="G442" s="325"/>
    </row>
    <row r="443" spans="7:7">
      <c r="G443" s="325"/>
    </row>
    <row r="444" spans="7:7">
      <c r="G444" s="325"/>
    </row>
    <row r="445" spans="7:7">
      <c r="G445" s="325"/>
    </row>
    <row r="446" spans="7:7">
      <c r="G446" s="325"/>
    </row>
    <row r="447" spans="7:7">
      <c r="G447" s="325"/>
    </row>
    <row r="448" spans="7:7">
      <c r="G448" s="325"/>
    </row>
    <row r="449" spans="7:7">
      <c r="G449" s="325"/>
    </row>
    <row r="450" spans="7:7">
      <c r="G450" s="325"/>
    </row>
    <row r="451" spans="7:7">
      <c r="G451" s="325"/>
    </row>
    <row r="452" spans="7:7">
      <c r="G452" s="325"/>
    </row>
    <row r="453" spans="7:7">
      <c r="G453" s="325"/>
    </row>
    <row r="454" spans="7:7">
      <c r="G454" s="325"/>
    </row>
    <row r="455" spans="7:7">
      <c r="G455" s="325"/>
    </row>
    <row r="456" spans="7:7">
      <c r="G456" s="325"/>
    </row>
    <row r="457" spans="7:7">
      <c r="G457" s="325"/>
    </row>
    <row r="458" spans="7:7">
      <c r="G458" s="325"/>
    </row>
    <row r="459" spans="7:7">
      <c r="G459" s="325"/>
    </row>
    <row r="460" spans="7:7">
      <c r="G460" s="325"/>
    </row>
    <row r="461" spans="7:7">
      <c r="G461" s="325"/>
    </row>
    <row r="462" spans="7:7">
      <c r="G462" s="325"/>
    </row>
    <row r="463" spans="7:7">
      <c r="G463" s="325"/>
    </row>
    <row r="464" spans="7:7">
      <c r="G464" s="325"/>
    </row>
    <row r="465" spans="7:7">
      <c r="G465" s="325"/>
    </row>
    <row r="466" spans="7:7">
      <c r="G466" s="325"/>
    </row>
    <row r="467" spans="7:7">
      <c r="G467" s="325"/>
    </row>
    <row r="468" spans="7:7">
      <c r="G468" s="325"/>
    </row>
    <row r="469" spans="7:7">
      <c r="G469" s="325"/>
    </row>
    <row r="470" spans="7:7">
      <c r="G470" s="325"/>
    </row>
    <row r="471" spans="7:7">
      <c r="G471" s="325"/>
    </row>
    <row r="472" spans="7:7">
      <c r="G472" s="325"/>
    </row>
    <row r="473" spans="7:7">
      <c r="G473" s="325"/>
    </row>
    <row r="474" spans="7:7">
      <c r="G474" s="325"/>
    </row>
    <row r="475" spans="7:7">
      <c r="G475" s="325"/>
    </row>
    <row r="476" spans="7:7">
      <c r="G476" s="325"/>
    </row>
    <row r="477" spans="7:7">
      <c r="G477" s="325"/>
    </row>
    <row r="478" spans="7:7">
      <c r="G478" s="325"/>
    </row>
    <row r="479" spans="7:7">
      <c r="G479" s="325"/>
    </row>
    <row r="480" spans="7:7">
      <c r="G480" s="325"/>
    </row>
    <row r="481" spans="7:7">
      <c r="G481" s="325"/>
    </row>
    <row r="482" spans="7:7">
      <c r="G482" s="325"/>
    </row>
    <row r="483" spans="7:7">
      <c r="G483" s="325"/>
    </row>
    <row r="484" spans="7:7">
      <c r="G484" s="325"/>
    </row>
    <row r="485" spans="7:7">
      <c r="G485" s="325"/>
    </row>
    <row r="486" spans="7:7">
      <c r="G486" s="325"/>
    </row>
    <row r="487" spans="7:7">
      <c r="G487" s="325"/>
    </row>
    <row r="488" spans="7:7">
      <c r="G488" s="325"/>
    </row>
    <row r="489" spans="7:7">
      <c r="G489" s="325"/>
    </row>
    <row r="490" spans="7:7">
      <c r="G490" s="325"/>
    </row>
    <row r="491" spans="7:7">
      <c r="G491" s="325"/>
    </row>
    <row r="492" spans="7:7">
      <c r="G492" s="325"/>
    </row>
    <row r="493" spans="7:7">
      <c r="G493" s="325"/>
    </row>
    <row r="494" spans="7:7">
      <c r="G494" s="325"/>
    </row>
    <row r="495" spans="7:7">
      <c r="G495" s="325"/>
    </row>
    <row r="496" spans="7:7">
      <c r="G496" s="325"/>
    </row>
    <row r="497" spans="7:7">
      <c r="G497" s="325"/>
    </row>
    <row r="498" spans="7:7">
      <c r="G498" s="325"/>
    </row>
    <row r="499" spans="7:7">
      <c r="G499" s="325"/>
    </row>
    <row r="500" spans="7:7">
      <c r="G500" s="325"/>
    </row>
    <row r="501" spans="7:7">
      <c r="G501" s="325"/>
    </row>
    <row r="502" spans="7:7">
      <c r="G502" s="325"/>
    </row>
    <row r="503" spans="7:7">
      <c r="G503" s="325"/>
    </row>
    <row r="504" spans="7:7">
      <c r="G504" s="325"/>
    </row>
    <row r="505" spans="7:7">
      <c r="G505" s="325"/>
    </row>
    <row r="506" spans="7:7">
      <c r="G506" s="325"/>
    </row>
    <row r="507" spans="7:7">
      <c r="G507" s="325"/>
    </row>
    <row r="508" spans="7:7">
      <c r="G508" s="325"/>
    </row>
    <row r="509" spans="7:7">
      <c r="G509" s="325"/>
    </row>
    <row r="510" spans="7:7">
      <c r="G510" s="325"/>
    </row>
    <row r="511" spans="7:7">
      <c r="G511" s="325"/>
    </row>
    <row r="512" spans="7:7">
      <c r="G512" s="325"/>
    </row>
    <row r="513" spans="7:7">
      <c r="G513" s="325"/>
    </row>
    <row r="514" spans="7:7">
      <c r="G514" s="325"/>
    </row>
    <row r="515" spans="7:7">
      <c r="G515" s="325"/>
    </row>
    <row r="516" spans="7:7">
      <c r="G516" s="325"/>
    </row>
    <row r="517" spans="7:7">
      <c r="G517" s="325"/>
    </row>
    <row r="518" spans="7:7">
      <c r="G518" s="325"/>
    </row>
    <row r="519" spans="7:7">
      <c r="G519" s="325"/>
    </row>
    <row r="520" spans="7:7">
      <c r="G520" s="325"/>
    </row>
    <row r="521" spans="7:7">
      <c r="G521" s="325"/>
    </row>
    <row r="522" spans="7:7">
      <c r="G522" s="325"/>
    </row>
    <row r="523" spans="7:7">
      <c r="G523" s="325"/>
    </row>
    <row r="524" spans="7:7">
      <c r="G524" s="325"/>
    </row>
    <row r="525" spans="7:7">
      <c r="G525" s="325"/>
    </row>
    <row r="526" spans="7:7">
      <c r="G526" s="325"/>
    </row>
    <row r="527" spans="7:7">
      <c r="G527" s="325"/>
    </row>
    <row r="528" spans="7:7">
      <c r="G528" s="325"/>
    </row>
    <row r="529" spans="7:7">
      <c r="G529" s="325"/>
    </row>
    <row r="530" spans="7:7">
      <c r="G530" s="325"/>
    </row>
    <row r="531" spans="7:7">
      <c r="G531" s="325"/>
    </row>
    <row r="532" spans="7:7">
      <c r="G532" s="325"/>
    </row>
    <row r="533" spans="7:7">
      <c r="G533" s="325"/>
    </row>
    <row r="534" spans="7:7">
      <c r="G534" s="325"/>
    </row>
    <row r="535" spans="7:7">
      <c r="G535" s="325"/>
    </row>
    <row r="536" spans="7:7">
      <c r="G536" s="325"/>
    </row>
    <row r="537" spans="7:7">
      <c r="G537" s="325"/>
    </row>
    <row r="538" spans="7:7">
      <c r="G538" s="325"/>
    </row>
    <row r="539" spans="7:7">
      <c r="G539" s="325"/>
    </row>
    <row r="540" spans="7:7">
      <c r="G540" s="325"/>
    </row>
    <row r="541" spans="7:7">
      <c r="G541" s="325"/>
    </row>
    <row r="542" spans="7:7">
      <c r="G542" s="325"/>
    </row>
    <row r="543" spans="7:7">
      <c r="G543" s="325"/>
    </row>
    <row r="544" spans="7:7">
      <c r="G544" s="325"/>
    </row>
    <row r="545" spans="7:7">
      <c r="G545" s="325"/>
    </row>
    <row r="546" spans="7:7">
      <c r="G546" s="325"/>
    </row>
    <row r="547" spans="7:7">
      <c r="G547" s="325"/>
    </row>
    <row r="548" spans="7:7">
      <c r="G548" s="325"/>
    </row>
    <row r="549" spans="7:7">
      <c r="G549" s="325"/>
    </row>
    <row r="550" spans="7:7">
      <c r="G550" s="325"/>
    </row>
    <row r="551" spans="7:7">
      <c r="G551" s="325"/>
    </row>
    <row r="552" spans="7:7">
      <c r="G552" s="325"/>
    </row>
    <row r="553" spans="7:7">
      <c r="G553" s="325"/>
    </row>
    <row r="554" spans="7:7">
      <c r="G554" s="325"/>
    </row>
    <row r="555" spans="7:7">
      <c r="G555" s="325"/>
    </row>
    <row r="556" spans="7:7">
      <c r="G556" s="325"/>
    </row>
    <row r="557" spans="7:7">
      <c r="G557" s="325"/>
    </row>
    <row r="558" spans="7:7">
      <c r="G558" s="325"/>
    </row>
    <row r="559" spans="7:7">
      <c r="G559" s="325"/>
    </row>
    <row r="560" spans="7:7">
      <c r="G560" s="325"/>
    </row>
    <row r="561" spans="7:7">
      <c r="G561" s="325"/>
    </row>
    <row r="562" spans="7:7">
      <c r="G562" s="325"/>
    </row>
    <row r="563" spans="7:7">
      <c r="G563" s="325"/>
    </row>
    <row r="564" spans="7:7">
      <c r="G564" s="325"/>
    </row>
    <row r="565" spans="7:7">
      <c r="G565" s="325"/>
    </row>
    <row r="566" spans="7:7">
      <c r="G566" s="325"/>
    </row>
    <row r="567" spans="7:7">
      <c r="G567" s="325"/>
    </row>
    <row r="568" spans="7:7">
      <c r="G568" s="325"/>
    </row>
    <row r="569" spans="7:7">
      <c r="G569" s="325"/>
    </row>
    <row r="570" spans="7:7">
      <c r="G570" s="325"/>
    </row>
    <row r="571" spans="7:7">
      <c r="G571" s="325"/>
    </row>
    <row r="572" spans="7:7">
      <c r="G572" s="325"/>
    </row>
    <row r="573" spans="7:7">
      <c r="G573" s="325"/>
    </row>
    <row r="574" spans="7:7">
      <c r="G574" s="325"/>
    </row>
    <row r="575" spans="7:7">
      <c r="G575" s="325"/>
    </row>
    <row r="576" spans="7:7">
      <c r="G576" s="325"/>
    </row>
    <row r="577" spans="7:7">
      <c r="G577" s="325"/>
    </row>
    <row r="578" spans="7:7">
      <c r="G578" s="325"/>
    </row>
    <row r="579" spans="7:7">
      <c r="G579" s="325"/>
    </row>
    <row r="580" spans="7:7">
      <c r="G580" s="325"/>
    </row>
    <row r="581" spans="7:7">
      <c r="G581" s="325"/>
    </row>
    <row r="582" spans="7:7">
      <c r="G582" s="325"/>
    </row>
    <row r="583" spans="7:7">
      <c r="G583" s="325"/>
    </row>
    <row r="584" spans="7:7">
      <c r="G584" s="325"/>
    </row>
    <row r="585" spans="7:7">
      <c r="G585" s="325"/>
    </row>
    <row r="586" spans="7:7">
      <c r="G586" s="325"/>
    </row>
    <row r="587" spans="7:7">
      <c r="G587" s="325"/>
    </row>
    <row r="588" spans="7:7">
      <c r="G588" s="325"/>
    </row>
    <row r="589" spans="7:7">
      <c r="G589" s="325"/>
    </row>
    <row r="590" spans="7:7">
      <c r="G590" s="325"/>
    </row>
    <row r="591" spans="7:7">
      <c r="G591" s="325"/>
    </row>
    <row r="592" spans="7:7">
      <c r="G592" s="325"/>
    </row>
    <row r="593" spans="7:7">
      <c r="G593" s="325"/>
    </row>
    <row r="594" spans="7:7">
      <c r="G594" s="325"/>
    </row>
    <row r="595" spans="7:7">
      <c r="G595" s="325"/>
    </row>
    <row r="596" spans="7:7">
      <c r="G596" s="325"/>
    </row>
    <row r="597" spans="7:7">
      <c r="G597" s="325"/>
    </row>
    <row r="598" spans="7:7">
      <c r="G598" s="325"/>
    </row>
    <row r="599" spans="7:7">
      <c r="G599" s="325"/>
    </row>
    <row r="600" spans="7:7">
      <c r="G600" s="325"/>
    </row>
    <row r="601" spans="7:7">
      <c r="G601" s="325"/>
    </row>
    <row r="602" spans="7:7">
      <c r="G602" s="325"/>
    </row>
    <row r="603" spans="7:7">
      <c r="G603" s="325"/>
    </row>
    <row r="604" spans="7:7">
      <c r="G604" s="325"/>
    </row>
    <row r="605" spans="7:7">
      <c r="G605" s="325"/>
    </row>
    <row r="606" spans="7:7">
      <c r="G606" s="325"/>
    </row>
    <row r="607" spans="7:7">
      <c r="G607" s="325"/>
    </row>
    <row r="608" spans="7:7">
      <c r="G608" s="325"/>
    </row>
    <row r="609" spans="7:7">
      <c r="G609" s="325"/>
    </row>
    <row r="610" spans="7:7">
      <c r="G610" s="325"/>
    </row>
    <row r="611" spans="7:7">
      <c r="G611" s="325"/>
    </row>
    <row r="612" spans="7:7">
      <c r="G612" s="325"/>
    </row>
    <row r="613" spans="7:7">
      <c r="G613" s="325"/>
    </row>
    <row r="614" spans="7:7">
      <c r="G614" s="325"/>
    </row>
    <row r="615" spans="7:7">
      <c r="G615" s="325"/>
    </row>
    <row r="616" spans="7:7">
      <c r="G616" s="325"/>
    </row>
    <row r="617" spans="7:7">
      <c r="G617" s="325"/>
    </row>
    <row r="618" spans="7:7">
      <c r="G618" s="325"/>
    </row>
    <row r="619" spans="7:7">
      <c r="G619" s="325"/>
    </row>
    <row r="620" spans="7:7">
      <c r="G620" s="325"/>
    </row>
    <row r="621" spans="7:7">
      <c r="G621" s="325"/>
    </row>
    <row r="622" spans="7:7">
      <c r="G622" s="325"/>
    </row>
    <row r="623" spans="7:7">
      <c r="G623" s="325"/>
    </row>
    <row r="624" spans="7:7">
      <c r="G624" s="325"/>
    </row>
    <row r="625" spans="7:7">
      <c r="G625" s="325"/>
    </row>
    <row r="626" spans="7:7">
      <c r="G626" s="325"/>
    </row>
    <row r="627" spans="7:7">
      <c r="G627" s="325"/>
    </row>
    <row r="628" spans="7:7">
      <c r="G628" s="325"/>
    </row>
    <row r="629" spans="7:7">
      <c r="G629" s="325"/>
    </row>
    <row r="630" spans="7:7">
      <c r="G630" s="325"/>
    </row>
    <row r="631" spans="7:7">
      <c r="G631" s="325"/>
    </row>
    <row r="632" spans="7:7">
      <c r="G632" s="325"/>
    </row>
    <row r="633" spans="7:7">
      <c r="G633" s="325"/>
    </row>
    <row r="634" spans="7:7">
      <c r="G634" s="325"/>
    </row>
    <row r="635" spans="7:7">
      <c r="G635" s="325"/>
    </row>
    <row r="636" spans="7:7">
      <c r="G636" s="325"/>
    </row>
    <row r="637" spans="7:7">
      <c r="G637" s="325"/>
    </row>
    <row r="638" spans="7:7">
      <c r="G638" s="325"/>
    </row>
    <row r="639" spans="7:7">
      <c r="G639" s="325"/>
    </row>
    <row r="640" spans="7:7">
      <c r="G640" s="325"/>
    </row>
    <row r="641" spans="7:7">
      <c r="G641" s="325"/>
    </row>
    <row r="642" spans="7:7">
      <c r="G642" s="325"/>
    </row>
    <row r="643" spans="7:7">
      <c r="G643" s="325"/>
    </row>
    <row r="644" spans="7:7">
      <c r="G644" s="325"/>
    </row>
    <row r="645" spans="7:7">
      <c r="G645" s="325"/>
    </row>
    <row r="646" spans="7:7">
      <c r="G646" s="325"/>
    </row>
    <row r="647" spans="7:7">
      <c r="G647" s="325"/>
    </row>
    <row r="648" spans="7:7">
      <c r="G648" s="325"/>
    </row>
    <row r="649" spans="7:7">
      <c r="G649" s="325"/>
    </row>
    <row r="650" spans="7:7">
      <c r="G650" s="325"/>
    </row>
    <row r="651" spans="7:7">
      <c r="G651" s="325"/>
    </row>
    <row r="652" spans="7:7">
      <c r="G652" s="325"/>
    </row>
    <row r="653" spans="7:7">
      <c r="G653" s="325"/>
    </row>
    <row r="654" spans="7:7">
      <c r="G654" s="325"/>
    </row>
    <row r="655" spans="7:7">
      <c r="G655" s="325"/>
    </row>
    <row r="656" spans="7:7">
      <c r="G656" s="325"/>
    </row>
    <row r="657" spans="7:7">
      <c r="G657" s="325"/>
    </row>
    <row r="658" spans="7:7">
      <c r="G658" s="325"/>
    </row>
    <row r="659" spans="7:7">
      <c r="G659" s="325"/>
    </row>
    <row r="660" spans="7:7">
      <c r="G660" s="325"/>
    </row>
    <row r="661" spans="7:7">
      <c r="G661" s="325"/>
    </row>
    <row r="662" spans="7:7">
      <c r="G662" s="325"/>
    </row>
    <row r="663" spans="7:7">
      <c r="G663" s="325"/>
    </row>
    <row r="664" spans="7:7">
      <c r="G664" s="325"/>
    </row>
    <row r="665" spans="7:7">
      <c r="G665" s="325"/>
    </row>
    <row r="666" spans="7:7">
      <c r="G666" s="325"/>
    </row>
    <row r="667" spans="7:7">
      <c r="G667" s="325"/>
    </row>
    <row r="668" spans="7:7">
      <c r="G668" s="325"/>
    </row>
    <row r="669" spans="7:7">
      <c r="G669" s="325"/>
    </row>
    <row r="670" spans="7:7">
      <c r="G670" s="325"/>
    </row>
    <row r="671" spans="7:7">
      <c r="G671" s="325"/>
    </row>
    <row r="672" spans="7:7">
      <c r="G672" s="325"/>
    </row>
    <row r="673" spans="7:7">
      <c r="G673" s="325"/>
    </row>
    <row r="674" spans="7:7">
      <c r="G674" s="325"/>
    </row>
    <row r="675" spans="7:7">
      <c r="G675" s="325"/>
    </row>
    <row r="676" spans="7:7">
      <c r="G676" s="325"/>
    </row>
    <row r="677" spans="7:7">
      <c r="G677" s="325"/>
    </row>
    <row r="678" spans="7:7">
      <c r="G678" s="325"/>
    </row>
    <row r="679" spans="7:7">
      <c r="G679" s="325"/>
    </row>
    <row r="680" spans="7:7">
      <c r="G680" s="325"/>
    </row>
    <row r="681" spans="7:7">
      <c r="G681" s="325"/>
    </row>
    <row r="682" spans="7:7">
      <c r="G682" s="325"/>
    </row>
    <row r="683" spans="7:7">
      <c r="G683" s="325"/>
    </row>
    <row r="684" spans="7:7">
      <c r="G684" s="325"/>
    </row>
    <row r="685" spans="7:7">
      <c r="G685" s="325"/>
    </row>
    <row r="686" spans="7:7">
      <c r="G686" s="325"/>
    </row>
    <row r="687" spans="7:7">
      <c r="G687" s="325"/>
    </row>
    <row r="688" spans="7:7">
      <c r="G688" s="325"/>
    </row>
    <row r="689" spans="7:7">
      <c r="G689" s="325"/>
    </row>
    <row r="690" spans="7:7">
      <c r="G690" s="325"/>
    </row>
    <row r="691" spans="7:7">
      <c r="G691" s="325"/>
    </row>
    <row r="692" spans="7:7">
      <c r="G692" s="325"/>
    </row>
    <row r="693" spans="7:7">
      <c r="G693" s="325"/>
    </row>
    <row r="694" spans="7:7">
      <c r="G694" s="325"/>
    </row>
    <row r="695" spans="7:7">
      <c r="G695" s="325"/>
    </row>
    <row r="696" spans="7:7">
      <c r="G696" s="325"/>
    </row>
    <row r="697" spans="7:7">
      <c r="G697" s="325"/>
    </row>
    <row r="698" spans="7:7">
      <c r="G698" s="325"/>
    </row>
    <row r="699" spans="7:7">
      <c r="G699" s="325"/>
    </row>
    <row r="700" spans="7:7">
      <c r="G700" s="325"/>
    </row>
    <row r="701" spans="7:7">
      <c r="G701" s="325"/>
    </row>
    <row r="702" spans="7:7">
      <c r="G702" s="325"/>
    </row>
    <row r="703" spans="7:7">
      <c r="G703" s="325"/>
    </row>
    <row r="704" spans="7:7">
      <c r="G704" s="325"/>
    </row>
    <row r="705" spans="7:7">
      <c r="G705" s="325"/>
    </row>
    <row r="706" spans="7:7">
      <c r="G706" s="325"/>
    </row>
    <row r="707" spans="7:7">
      <c r="G707" s="325"/>
    </row>
    <row r="708" spans="7:7">
      <c r="G708" s="325"/>
    </row>
    <row r="709" spans="7:7">
      <c r="G709" s="325"/>
    </row>
    <row r="710" spans="7:7">
      <c r="G710" s="325"/>
    </row>
    <row r="711" spans="7:7">
      <c r="G711" s="325"/>
    </row>
    <row r="712" spans="7:7">
      <c r="G712" s="325"/>
    </row>
    <row r="713" spans="7:7">
      <c r="G713" s="325"/>
    </row>
    <row r="714" spans="7:7">
      <c r="G714" s="325"/>
    </row>
    <row r="715" spans="7:7">
      <c r="G715" s="325"/>
    </row>
    <row r="716" spans="7:7">
      <c r="G716" s="325"/>
    </row>
    <row r="717" spans="7:7">
      <c r="G717" s="325"/>
    </row>
    <row r="718" spans="7:7">
      <c r="G718" s="325"/>
    </row>
    <row r="719" spans="7:7">
      <c r="G719" s="325"/>
    </row>
    <row r="720" spans="7:7">
      <c r="G720" s="325"/>
    </row>
    <row r="721" spans="7:7">
      <c r="G721" s="325"/>
    </row>
    <row r="722" spans="7:7">
      <c r="G722" s="325"/>
    </row>
    <row r="723" spans="7:7">
      <c r="G723" s="325"/>
    </row>
    <row r="724" spans="7:7">
      <c r="G724" s="325"/>
    </row>
    <row r="725" spans="7:7">
      <c r="G725" s="325"/>
    </row>
    <row r="726" spans="7:7">
      <c r="G726" s="325"/>
    </row>
    <row r="727" spans="7:7">
      <c r="G727" s="325"/>
    </row>
    <row r="728" spans="7:7">
      <c r="G728" s="325"/>
    </row>
    <row r="729" spans="7:7">
      <c r="G729" s="325"/>
    </row>
    <row r="730" spans="7:7">
      <c r="G730" s="325"/>
    </row>
    <row r="731" spans="7:7">
      <c r="G731" s="325"/>
    </row>
    <row r="732" spans="7:7">
      <c r="G732" s="325"/>
    </row>
    <row r="733" spans="7:7">
      <c r="G733" s="325"/>
    </row>
    <row r="734" spans="7:7">
      <c r="G734" s="325"/>
    </row>
    <row r="735" spans="7:7">
      <c r="G735" s="325"/>
    </row>
    <row r="736" spans="7:7">
      <c r="G736" s="325"/>
    </row>
    <row r="737" spans="7:7">
      <c r="G737" s="325"/>
    </row>
    <row r="738" spans="7:7">
      <c r="G738" s="325"/>
    </row>
    <row r="739" spans="7:7">
      <c r="G739" s="325"/>
    </row>
    <row r="740" spans="7:7">
      <c r="G740" s="325"/>
    </row>
    <row r="741" spans="7:7">
      <c r="G741" s="325"/>
    </row>
    <row r="742" spans="7:7">
      <c r="G742" s="325"/>
    </row>
    <row r="743" spans="7:7">
      <c r="G743" s="325"/>
    </row>
    <row r="744" spans="7:7">
      <c r="G744" s="325"/>
    </row>
    <row r="745" spans="7:7">
      <c r="G745" s="325"/>
    </row>
    <row r="746" spans="7:7">
      <c r="G746" s="325"/>
    </row>
    <row r="747" spans="7:7">
      <c r="G747" s="325"/>
    </row>
    <row r="748" spans="7:7">
      <c r="G748" s="325"/>
    </row>
    <row r="749" spans="7:7">
      <c r="G749" s="325"/>
    </row>
    <row r="750" spans="7:7">
      <c r="G750" s="325"/>
    </row>
    <row r="751" spans="7:7">
      <c r="G751" s="325"/>
    </row>
    <row r="752" spans="7:7">
      <c r="G752" s="325"/>
    </row>
    <row r="753" spans="7:7">
      <c r="G753" s="325"/>
    </row>
    <row r="754" spans="7:7">
      <c r="G754" s="325"/>
    </row>
    <row r="755" spans="7:7">
      <c r="G755" s="325"/>
    </row>
    <row r="756" spans="7:7">
      <c r="G756" s="325"/>
    </row>
    <row r="757" spans="7:7">
      <c r="G757" s="325"/>
    </row>
    <row r="758" spans="7:7">
      <c r="G758" s="325"/>
    </row>
    <row r="759" spans="7:7">
      <c r="G759" s="325"/>
    </row>
    <row r="760" spans="7:7">
      <c r="G760" s="325"/>
    </row>
    <row r="761" spans="7:7">
      <c r="G761" s="325"/>
    </row>
    <row r="762" spans="7:7">
      <c r="G762" s="325"/>
    </row>
    <row r="763" spans="7:7">
      <c r="G763" s="325"/>
    </row>
    <row r="764" spans="7:7">
      <c r="G764" s="325"/>
    </row>
    <row r="765" spans="7:7">
      <c r="G765" s="325"/>
    </row>
    <row r="766" spans="7:7">
      <c r="G766" s="325"/>
    </row>
    <row r="767" spans="7:7">
      <c r="G767" s="325"/>
    </row>
    <row r="768" spans="7:7">
      <c r="G768" s="325"/>
    </row>
    <row r="769" spans="7:7">
      <c r="G769" s="325"/>
    </row>
    <row r="770" spans="7:7">
      <c r="G770" s="325"/>
    </row>
    <row r="771" spans="7:7">
      <c r="G771" s="325"/>
    </row>
    <row r="772" spans="7:7">
      <c r="G772" s="325"/>
    </row>
    <row r="773" spans="7:7">
      <c r="G773" s="325"/>
    </row>
    <row r="774" spans="7:7">
      <c r="G774" s="325"/>
    </row>
    <row r="775" spans="7:7">
      <c r="G775" s="325"/>
    </row>
    <row r="776" spans="7:7">
      <c r="G776" s="325"/>
    </row>
    <row r="777" spans="7:7">
      <c r="G777" s="325"/>
    </row>
    <row r="778" spans="7:7">
      <c r="G778" s="325"/>
    </row>
    <row r="779" spans="7:7">
      <c r="G779" s="325"/>
    </row>
    <row r="780" spans="7:7">
      <c r="G780" s="325"/>
    </row>
    <row r="781" spans="7:7">
      <c r="G781" s="325"/>
    </row>
    <row r="782" spans="7:7">
      <c r="G782" s="325"/>
    </row>
    <row r="783" spans="7:7">
      <c r="G783" s="325"/>
    </row>
    <row r="784" spans="7:7">
      <c r="G784" s="325"/>
    </row>
    <row r="785" spans="7:7">
      <c r="G785" s="325"/>
    </row>
    <row r="786" spans="7:7">
      <c r="G786" s="325"/>
    </row>
    <row r="787" spans="7:7">
      <c r="G787" s="325"/>
    </row>
    <row r="788" spans="7:7">
      <c r="G788" s="325"/>
    </row>
    <row r="789" spans="7:7">
      <c r="G789" s="325"/>
    </row>
    <row r="790" spans="7:7">
      <c r="G790" s="325"/>
    </row>
    <row r="791" spans="7:7">
      <c r="G791" s="325"/>
    </row>
    <row r="792" spans="7:7">
      <c r="G792" s="325"/>
    </row>
    <row r="793" spans="7:7">
      <c r="G793" s="325"/>
    </row>
    <row r="794" spans="7:7">
      <c r="G794" s="325"/>
    </row>
    <row r="795" spans="7:7">
      <c r="G795" s="325"/>
    </row>
    <row r="796" spans="7:7">
      <c r="G796" s="325"/>
    </row>
    <row r="797" spans="7:7">
      <c r="G797" s="325"/>
    </row>
    <row r="798" spans="7:7">
      <c r="G798" s="325"/>
    </row>
    <row r="799" spans="7:7">
      <c r="G799" s="325"/>
    </row>
    <row r="800" spans="7:7">
      <c r="G800" s="325"/>
    </row>
    <row r="801" spans="7:7">
      <c r="G801" s="325"/>
    </row>
    <row r="802" spans="7:7">
      <c r="G802" s="325"/>
    </row>
    <row r="803" spans="7:7">
      <c r="G803" s="325"/>
    </row>
    <row r="804" spans="7:7">
      <c r="G804" s="325"/>
    </row>
    <row r="805" spans="7:7">
      <c r="G805" s="325"/>
    </row>
    <row r="806" spans="7:7">
      <c r="G806" s="325"/>
    </row>
    <row r="807" spans="7:7">
      <c r="G807" s="325"/>
    </row>
    <row r="808" spans="7:7">
      <c r="G808" s="325"/>
    </row>
    <row r="809" spans="7:7">
      <c r="G809" s="325"/>
    </row>
    <row r="810" spans="7:7">
      <c r="G810" s="325"/>
    </row>
    <row r="811" spans="7:7">
      <c r="G811" s="325"/>
    </row>
    <row r="812" spans="7:7">
      <c r="G812" s="325"/>
    </row>
    <row r="813" spans="7:7">
      <c r="G813" s="325"/>
    </row>
    <row r="814" spans="7:7">
      <c r="G814" s="325"/>
    </row>
    <row r="815" spans="7:7">
      <c r="G815" s="325"/>
    </row>
    <row r="816" spans="7:7">
      <c r="G816" s="325"/>
    </row>
    <row r="817" spans="7:7">
      <c r="G817" s="325"/>
    </row>
    <row r="818" spans="7:7">
      <c r="G818" s="325"/>
    </row>
    <row r="819" spans="7:7">
      <c r="G819" s="325"/>
    </row>
    <row r="820" spans="7:7">
      <c r="G820" s="325"/>
    </row>
    <row r="821" spans="7:7">
      <c r="G821" s="325"/>
    </row>
    <row r="822" spans="7:7">
      <c r="G822" s="325"/>
    </row>
    <row r="823" spans="7:7">
      <c r="G823" s="325"/>
    </row>
    <row r="824" spans="7:7">
      <c r="G824" s="325"/>
    </row>
    <row r="825" spans="7:7">
      <c r="G825" s="325"/>
    </row>
    <row r="826" spans="7:7">
      <c r="G826" s="325"/>
    </row>
    <row r="827" spans="7:7">
      <c r="G827" s="325"/>
    </row>
    <row r="828" spans="7:7">
      <c r="G828" s="325"/>
    </row>
    <row r="829" spans="7:7">
      <c r="G829" s="325"/>
    </row>
    <row r="830" spans="7:7">
      <c r="G830" s="325"/>
    </row>
    <row r="831" spans="7:7">
      <c r="G831" s="325"/>
    </row>
    <row r="832" spans="7:7">
      <c r="G832" s="325"/>
    </row>
    <row r="833" spans="7:7">
      <c r="G833" s="325"/>
    </row>
    <row r="834" spans="7:7">
      <c r="G834" s="325"/>
    </row>
    <row r="835" spans="7:7">
      <c r="G835" s="325"/>
    </row>
    <row r="836" spans="7:7">
      <c r="G836" s="325"/>
    </row>
    <row r="837" spans="7:7">
      <c r="G837" s="325"/>
    </row>
    <row r="838" spans="7:7">
      <c r="G838" s="325"/>
    </row>
    <row r="839" spans="7:7">
      <c r="G839" s="325"/>
    </row>
    <row r="840" spans="7:7">
      <c r="G840" s="325"/>
    </row>
    <row r="841" spans="7:7">
      <c r="G841" s="325"/>
    </row>
    <row r="842" spans="7:7">
      <c r="G842" s="325"/>
    </row>
    <row r="843" spans="7:7">
      <c r="G843" s="325"/>
    </row>
    <row r="844" spans="7:7">
      <c r="G844" s="325"/>
    </row>
    <row r="845" spans="7:7">
      <c r="G845" s="325"/>
    </row>
    <row r="846" spans="7:7">
      <c r="G846" s="325"/>
    </row>
    <row r="847" spans="7:7">
      <c r="G847" s="325"/>
    </row>
    <row r="848" spans="7:7">
      <c r="G848" s="325"/>
    </row>
    <row r="849" spans="7:7">
      <c r="G849" s="325"/>
    </row>
    <row r="850" spans="7:7">
      <c r="G850" s="325"/>
    </row>
    <row r="851" spans="7:7">
      <c r="G851" s="325"/>
    </row>
    <row r="852" spans="7:7">
      <c r="G852" s="325"/>
    </row>
    <row r="853" spans="7:7">
      <c r="G853" s="325"/>
    </row>
    <row r="854" spans="7:7">
      <c r="G854" s="325"/>
    </row>
    <row r="855" spans="7:7">
      <c r="G855" s="325"/>
    </row>
    <row r="856" spans="7:7">
      <c r="G856" s="325"/>
    </row>
    <row r="857" spans="7:7">
      <c r="G857" s="325"/>
    </row>
    <row r="858" spans="7:7">
      <c r="G858" s="325"/>
    </row>
    <row r="859" spans="7:7">
      <c r="G859" s="325"/>
    </row>
    <row r="860" spans="7:7">
      <c r="G860" s="325"/>
    </row>
    <row r="861" spans="7:7">
      <c r="G861" s="325"/>
    </row>
    <row r="862" spans="7:7">
      <c r="G862" s="325"/>
    </row>
    <row r="863" spans="7:7">
      <c r="G863" s="325"/>
    </row>
    <row r="864" spans="7:7">
      <c r="G864" s="325"/>
    </row>
    <row r="865" spans="7:7">
      <c r="G865" s="325"/>
    </row>
    <row r="866" spans="7:7">
      <c r="G866" s="325"/>
    </row>
    <row r="867" spans="7:7">
      <c r="G867" s="325"/>
    </row>
    <row r="868" spans="7:7">
      <c r="G868" s="325"/>
    </row>
    <row r="869" spans="7:7">
      <c r="G869" s="325"/>
    </row>
    <row r="870" spans="7:7">
      <c r="G870" s="325"/>
    </row>
    <row r="871" spans="7:7">
      <c r="G871" s="325"/>
    </row>
    <row r="872" spans="7:7">
      <c r="G872" s="325"/>
    </row>
    <row r="873" spans="7:7">
      <c r="G873" s="325"/>
    </row>
    <row r="874" spans="7:7">
      <c r="G874" s="325"/>
    </row>
    <row r="875" spans="7:7">
      <c r="G875" s="325"/>
    </row>
    <row r="876" spans="7:7">
      <c r="G876" s="325"/>
    </row>
    <row r="877" spans="7:7">
      <c r="G877" s="325"/>
    </row>
    <row r="878" spans="7:7">
      <c r="G878" s="325"/>
    </row>
    <row r="879" spans="7:7">
      <c r="G879" s="325"/>
    </row>
    <row r="880" spans="7:7">
      <c r="G880" s="325"/>
    </row>
    <row r="881" spans="7:7">
      <c r="G881" s="325"/>
    </row>
    <row r="882" spans="7:7">
      <c r="G882" s="325"/>
    </row>
    <row r="883" spans="7:7">
      <c r="G883" s="325"/>
    </row>
    <row r="884" spans="7:7">
      <c r="G884" s="325"/>
    </row>
    <row r="885" spans="7:7">
      <c r="G885" s="325"/>
    </row>
    <row r="886" spans="7:7">
      <c r="G886" s="325"/>
    </row>
    <row r="887" spans="7:7">
      <c r="G887" s="325"/>
    </row>
    <row r="888" spans="7:7">
      <c r="G888" s="325"/>
    </row>
    <row r="889" spans="7:7">
      <c r="G889" s="325"/>
    </row>
    <row r="890" spans="7:7">
      <c r="G890" s="325"/>
    </row>
    <row r="891" spans="7:7">
      <c r="G891" s="325"/>
    </row>
    <row r="892" spans="7:7">
      <c r="G892" s="325"/>
    </row>
    <row r="893" spans="7:7">
      <c r="G893" s="325"/>
    </row>
    <row r="894" spans="7:7">
      <c r="G894" s="325"/>
    </row>
    <row r="895" spans="7:7">
      <c r="G895" s="325"/>
    </row>
    <row r="896" spans="7:7">
      <c r="G896" s="325"/>
    </row>
    <row r="897" spans="7:7">
      <c r="G897" s="325"/>
    </row>
    <row r="898" spans="7:7">
      <c r="G898" s="325"/>
    </row>
    <row r="899" spans="7:7">
      <c r="G899" s="325"/>
    </row>
    <row r="900" spans="7:7">
      <c r="G900" s="325"/>
    </row>
    <row r="901" spans="7:7">
      <c r="G901" s="325"/>
    </row>
    <row r="902" spans="7:7">
      <c r="G902" s="325"/>
    </row>
    <row r="903" spans="7:7">
      <c r="G903" s="325"/>
    </row>
    <row r="904" spans="7:7">
      <c r="G904" s="325"/>
    </row>
    <row r="905" spans="7:7">
      <c r="G905" s="325"/>
    </row>
    <row r="906" spans="7:7">
      <c r="G906" s="325"/>
    </row>
    <row r="907" spans="7:7">
      <c r="G907" s="325"/>
    </row>
    <row r="908" spans="7:7">
      <c r="G908" s="325"/>
    </row>
    <row r="909" spans="7:7">
      <c r="G909" s="325"/>
    </row>
    <row r="910" spans="7:7">
      <c r="G910" s="325"/>
    </row>
    <row r="911" spans="7:7">
      <c r="G911" s="325"/>
    </row>
    <row r="912" spans="7:7">
      <c r="G912" s="325"/>
    </row>
    <row r="913" spans="7:7">
      <c r="G913" s="325"/>
    </row>
    <row r="914" spans="7:7">
      <c r="G914" s="325"/>
    </row>
    <row r="915" spans="7:7">
      <c r="G915" s="325"/>
    </row>
    <row r="916" spans="7:7">
      <c r="G916" s="325"/>
    </row>
    <row r="917" spans="7:7">
      <c r="G917" s="325"/>
    </row>
    <row r="918" spans="7:7">
      <c r="G918" s="325"/>
    </row>
    <row r="919" spans="7:7">
      <c r="G919" s="325"/>
    </row>
    <row r="920" spans="7:7">
      <c r="G920" s="325"/>
    </row>
    <row r="921" spans="7:7">
      <c r="G921" s="325"/>
    </row>
    <row r="922" spans="7:7">
      <c r="G922" s="325"/>
    </row>
    <row r="923" spans="7:7">
      <c r="G923" s="325"/>
    </row>
    <row r="924" spans="7:7">
      <c r="G924" s="325"/>
    </row>
    <row r="925" spans="7:7">
      <c r="G925" s="325"/>
    </row>
    <row r="926" spans="7:7">
      <c r="G926" s="325"/>
    </row>
    <row r="927" spans="7:7">
      <c r="G927" s="325"/>
    </row>
    <row r="928" spans="7:7">
      <c r="G928" s="325"/>
    </row>
    <row r="929" spans="7:7">
      <c r="G929" s="325"/>
    </row>
    <row r="930" spans="7:7">
      <c r="G930" s="325"/>
    </row>
    <row r="931" spans="7:7">
      <c r="G931" s="325"/>
    </row>
    <row r="932" spans="7:7">
      <c r="G932" s="325"/>
    </row>
    <row r="933" spans="7:7">
      <c r="G933" s="325"/>
    </row>
    <row r="934" spans="7:7">
      <c r="G934" s="325"/>
    </row>
    <row r="935" spans="7:7">
      <c r="G935" s="325"/>
    </row>
    <row r="936" spans="7:7">
      <c r="G936" s="325"/>
    </row>
    <row r="937" spans="7:7">
      <c r="G937" s="325"/>
    </row>
    <row r="938" spans="7:7">
      <c r="G938" s="325"/>
    </row>
    <row r="939" spans="7:7">
      <c r="G939" s="325"/>
    </row>
    <row r="940" spans="7:7">
      <c r="G940" s="325"/>
    </row>
    <row r="941" spans="7:7">
      <c r="G941" s="325"/>
    </row>
    <row r="942" spans="7:7">
      <c r="G942" s="325"/>
    </row>
    <row r="943" spans="7:7">
      <c r="G943" s="325"/>
    </row>
    <row r="944" spans="7:7">
      <c r="G944" s="325"/>
    </row>
    <row r="945" spans="7:7">
      <c r="G945" s="325"/>
    </row>
    <row r="946" spans="7:7">
      <c r="G946" s="325"/>
    </row>
    <row r="947" spans="7:7">
      <c r="G947" s="325"/>
    </row>
    <row r="948" spans="7:7">
      <c r="G948" s="325"/>
    </row>
    <row r="949" spans="7:7">
      <c r="G949" s="325"/>
    </row>
    <row r="950" spans="7:7">
      <c r="G950" s="325"/>
    </row>
    <row r="951" spans="7:7">
      <c r="G951" s="325"/>
    </row>
    <row r="952" spans="7:7">
      <c r="G952" s="325"/>
    </row>
    <row r="953" spans="7:7">
      <c r="G953" s="325"/>
    </row>
    <row r="954" spans="7:7">
      <c r="G954" s="325"/>
    </row>
    <row r="955" spans="7:7">
      <c r="G955" s="325"/>
    </row>
    <row r="956" spans="7:7">
      <c r="G956" s="325"/>
    </row>
    <row r="957" spans="7:7">
      <c r="G957" s="325"/>
    </row>
    <row r="958" spans="7:7">
      <c r="G958" s="325"/>
    </row>
    <row r="959" spans="7:7">
      <c r="G959" s="325"/>
    </row>
    <row r="960" spans="7:7">
      <c r="G960" s="325"/>
    </row>
    <row r="961" spans="7:7">
      <c r="G961" s="325"/>
    </row>
    <row r="962" spans="7:7">
      <c r="G962" s="325"/>
    </row>
    <row r="963" spans="7:7">
      <c r="G963" s="325"/>
    </row>
    <row r="964" spans="7:7">
      <c r="G964" s="325"/>
    </row>
    <row r="965" spans="7:7">
      <c r="G965" s="325"/>
    </row>
  </sheetData>
  <mergeCells count="23">
    <mergeCell ref="B1:H1"/>
    <mergeCell ref="E12:E15"/>
    <mergeCell ref="F12:F15"/>
    <mergeCell ref="G12:G15"/>
    <mergeCell ref="C16:C17"/>
    <mergeCell ref="E16:E19"/>
    <mergeCell ref="F16:F19"/>
    <mergeCell ref="G16:G19"/>
    <mergeCell ref="C18:C19"/>
    <mergeCell ref="C20:C22"/>
    <mergeCell ref="E20:E23"/>
    <mergeCell ref="F20:F23"/>
    <mergeCell ref="G20:G23"/>
    <mergeCell ref="E25:E26"/>
    <mergeCell ref="F25:F26"/>
    <mergeCell ref="G25:G26"/>
    <mergeCell ref="A55:D55"/>
    <mergeCell ref="E27:E28"/>
    <mergeCell ref="F27:F28"/>
    <mergeCell ref="G27:G28"/>
    <mergeCell ref="E29:E32"/>
    <mergeCell ref="F29:F32"/>
    <mergeCell ref="G29:G32"/>
  </mergeCells>
  <phoneticPr fontId="37" type="noConversion"/>
  <conditionalFormatting sqref="D2:D84">
    <cfRule type="duplicateValues" dxfId="0" priority="1"/>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83397-B580-A943-B20F-D71383241ECF}">
  <sheetPr>
    <tabColor theme="5" tint="-0.249977111117893"/>
    <pageSetUpPr fitToPage="1"/>
  </sheetPr>
  <dimension ref="A1:CB1870"/>
  <sheetViews>
    <sheetView topLeftCell="P1" zoomScale="75" zoomScaleNormal="90" workbookViewId="0">
      <pane ySplit="6" topLeftCell="A123" activePane="bottomLeft" state="frozen"/>
      <selection pane="bottomLeft" activeCell="AH127" sqref="AH127"/>
    </sheetView>
  </sheetViews>
  <sheetFormatPr baseColWidth="10" defaultColWidth="12" defaultRowHeight="17"/>
  <cols>
    <col min="1" max="1" width="30.75" style="347" customWidth="1"/>
    <col min="2" max="2" width="39.5" style="344" customWidth="1"/>
    <col min="3" max="3" width="51.5" style="346" customWidth="1"/>
    <col min="4" max="4" width="90.5" style="345" customWidth="1"/>
    <col min="5" max="5" width="74" style="344" customWidth="1"/>
    <col min="6" max="6" width="83.5" style="343" customWidth="1"/>
    <col min="7" max="7" width="61.25" style="342" customWidth="1"/>
    <col min="8" max="8" width="110" style="341" customWidth="1"/>
    <col min="9" max="9" width="68.75" style="341" customWidth="1"/>
    <col min="10" max="10" width="0.25" style="341" customWidth="1"/>
    <col min="11" max="11" width="37" style="342" customWidth="1"/>
    <col min="12" max="12" width="23.25" style="341" customWidth="1"/>
    <col min="13" max="13" width="16" style="341" customWidth="1"/>
    <col min="14" max="14" width="69.75" style="340" customWidth="1"/>
    <col min="15" max="15" width="81" style="339" customWidth="1"/>
    <col min="16" max="16" width="102.25" style="337" customWidth="1"/>
    <col min="17" max="17" width="63.25" style="337" customWidth="1"/>
    <col min="18" max="18" width="61.25" style="337" customWidth="1"/>
    <col min="19" max="19" width="33.5" style="337" customWidth="1"/>
    <col min="20" max="20" width="31.5" style="338" customWidth="1"/>
    <col min="21" max="21" width="26.25" style="338" customWidth="1"/>
    <col min="22" max="22" width="22" style="338" customWidth="1"/>
    <col min="23" max="23" width="19.75" style="338" customWidth="1"/>
    <col min="24" max="24" width="35" style="338" customWidth="1"/>
    <col min="25" max="25" width="43.75" style="338" customWidth="1"/>
    <col min="26" max="26" width="22.25" style="337" customWidth="1"/>
    <col min="27" max="27" width="25.75" style="336" customWidth="1"/>
    <col min="28" max="29" width="36" style="335" customWidth="1"/>
    <col min="30" max="30" width="44" style="477" customWidth="1"/>
    <col min="31" max="31" width="44" style="480" customWidth="1"/>
    <col min="32" max="35" width="12" style="335"/>
    <col min="36" max="36" width="12" style="335" customWidth="1"/>
    <col min="37" max="16384" width="12" style="335"/>
  </cols>
  <sheetData>
    <row r="1" spans="1:80" ht="31" customHeight="1">
      <c r="A1" s="543" t="s">
        <v>0</v>
      </c>
      <c r="B1" s="543"/>
      <c r="C1" s="543"/>
      <c r="D1" s="543"/>
      <c r="E1" s="544"/>
      <c r="F1" s="473" t="s">
        <v>1</v>
      </c>
      <c r="N1" s="464"/>
      <c r="O1" s="463"/>
      <c r="P1" s="462"/>
      <c r="Q1" s="462"/>
      <c r="X1" s="338">
        <v>0</v>
      </c>
      <c r="AB1" s="336"/>
      <c r="AC1" s="484" t="s">
        <v>2590</v>
      </c>
      <c r="AD1" s="484" t="s">
        <v>2591</v>
      </c>
      <c r="AE1" s="484" t="s">
        <v>2592</v>
      </c>
    </row>
    <row r="2" spans="1:80" s="465" customFormat="1" ht="40" customHeight="1">
      <c r="A2" s="545" t="s">
        <v>2</v>
      </c>
      <c r="B2" s="545"/>
      <c r="C2" s="472" t="s">
        <v>3</v>
      </c>
      <c r="D2" s="471" t="s">
        <v>4</v>
      </c>
      <c r="E2" s="470"/>
      <c r="F2" s="341"/>
      <c r="G2" s="342"/>
      <c r="H2" s="341"/>
      <c r="I2" s="341"/>
      <c r="J2" s="341"/>
      <c r="K2" s="342"/>
      <c r="L2" s="341"/>
      <c r="M2" s="341"/>
      <c r="N2" s="469"/>
      <c r="O2" s="468"/>
      <c r="P2" s="462"/>
      <c r="Q2" s="462"/>
      <c r="R2" s="337"/>
      <c r="S2" s="337"/>
      <c r="T2" s="338"/>
      <c r="U2" s="338"/>
      <c r="V2" s="338"/>
      <c r="W2" s="338"/>
      <c r="X2" s="338"/>
      <c r="Y2" s="338"/>
      <c r="Z2" s="337"/>
      <c r="AA2" s="336"/>
      <c r="AB2" s="336"/>
      <c r="AC2" s="485">
        <v>7378263</v>
      </c>
      <c r="AD2" s="482">
        <f>SUBTOTAL(103, P:P) - 1</f>
        <v>241</v>
      </c>
      <c r="AE2" s="486">
        <f>SUM(Y:Y)</f>
        <v>20181</v>
      </c>
      <c r="AF2" s="335"/>
      <c r="AG2" s="335"/>
      <c r="AH2" s="335"/>
      <c r="AI2" s="335"/>
      <c r="AJ2" s="335"/>
      <c r="AK2" s="335"/>
      <c r="AL2" s="335"/>
      <c r="AM2" s="335"/>
      <c r="AN2" s="335"/>
      <c r="AO2" s="335"/>
      <c r="AP2" s="335"/>
      <c r="AQ2" s="335"/>
      <c r="AR2" s="335"/>
      <c r="AS2" s="335"/>
      <c r="AT2" s="335"/>
      <c r="AU2" s="335"/>
      <c r="AV2" s="335"/>
      <c r="AW2" s="335"/>
      <c r="AX2" s="335"/>
      <c r="AY2" s="335"/>
      <c r="AZ2" s="335"/>
      <c r="BA2" s="335"/>
      <c r="BB2" s="335"/>
      <c r="BC2" s="335"/>
      <c r="BD2" s="335"/>
      <c r="BE2" s="335"/>
      <c r="BF2" s="335"/>
      <c r="BG2" s="335"/>
      <c r="BH2" s="335"/>
      <c r="BI2" s="335"/>
      <c r="BJ2" s="335"/>
      <c r="BK2" s="335"/>
      <c r="BL2" s="335"/>
      <c r="BM2" s="335"/>
      <c r="BN2" s="335"/>
      <c r="BO2" s="335"/>
      <c r="BP2" s="335"/>
      <c r="BQ2" s="335"/>
      <c r="BR2" s="335"/>
      <c r="BS2" s="335"/>
      <c r="BT2" s="335"/>
      <c r="BU2" s="335"/>
      <c r="BV2" s="335"/>
      <c r="BW2" s="335"/>
      <c r="BX2" s="335"/>
      <c r="BY2" s="335"/>
      <c r="BZ2" s="335"/>
      <c r="CA2" s="335"/>
      <c r="CB2" s="335"/>
    </row>
    <row r="3" spans="1:80" s="465" customFormat="1" ht="42" customHeight="1">
      <c r="A3" s="545" t="s">
        <v>5</v>
      </c>
      <c r="B3" s="545"/>
      <c r="C3" s="472" t="s">
        <v>6</v>
      </c>
      <c r="D3" s="471" t="s">
        <v>4</v>
      </c>
      <c r="E3" s="470"/>
      <c r="F3" s="341"/>
      <c r="G3" s="342"/>
      <c r="H3" s="341"/>
      <c r="I3" s="341"/>
      <c r="J3" s="341"/>
      <c r="K3" s="342"/>
      <c r="L3" s="341"/>
      <c r="M3" s="341"/>
      <c r="N3" s="469"/>
      <c r="O3" s="468"/>
      <c r="P3" s="462"/>
      <c r="Q3" s="462"/>
      <c r="R3" s="337"/>
      <c r="S3" s="337"/>
      <c r="T3" s="338"/>
      <c r="U3" s="338"/>
      <c r="V3" s="338"/>
      <c r="W3" s="338"/>
      <c r="X3" s="338"/>
      <c r="Y3" s="338"/>
      <c r="Z3" s="337"/>
      <c r="AA3" s="336"/>
      <c r="AB3" s="336"/>
      <c r="AC3" s="483"/>
      <c r="AD3" s="481"/>
      <c r="AE3" s="481"/>
      <c r="AF3" s="335"/>
      <c r="AG3" s="335"/>
      <c r="AH3" s="335"/>
      <c r="AI3" s="335"/>
      <c r="AJ3" s="335"/>
      <c r="AK3" s="335"/>
      <c r="AL3" s="335"/>
      <c r="AM3" s="335"/>
      <c r="AN3" s="335"/>
      <c r="AO3" s="335"/>
      <c r="AP3" s="335"/>
      <c r="AQ3" s="335"/>
      <c r="AR3" s="335"/>
      <c r="AS3" s="335"/>
      <c r="AT3" s="335"/>
      <c r="AU3" s="335"/>
      <c r="AV3" s="335"/>
      <c r="AW3" s="335"/>
      <c r="AX3" s="335"/>
      <c r="AY3" s="335"/>
      <c r="AZ3" s="335"/>
      <c r="BA3" s="335"/>
      <c r="BB3" s="335"/>
      <c r="BC3" s="335"/>
      <c r="BD3" s="335"/>
      <c r="BE3" s="335"/>
      <c r="BF3" s="335"/>
      <c r="BG3" s="335"/>
      <c r="BH3" s="335"/>
      <c r="BI3" s="335"/>
      <c r="BJ3" s="335"/>
      <c r="BK3" s="335"/>
      <c r="BL3" s="335"/>
      <c r="BM3" s="335"/>
      <c r="BN3" s="335"/>
      <c r="BO3" s="335"/>
      <c r="BP3" s="335"/>
      <c r="BQ3" s="335"/>
      <c r="BR3" s="335"/>
      <c r="BS3" s="335"/>
      <c r="BT3" s="335"/>
      <c r="BU3" s="335"/>
      <c r="BV3" s="335"/>
      <c r="BW3" s="335"/>
      <c r="BX3" s="335"/>
      <c r="BY3" s="335"/>
      <c r="BZ3" s="335"/>
      <c r="CA3" s="335"/>
      <c r="CB3" s="335"/>
    </row>
    <row r="4" spans="1:80" s="465" customFormat="1" ht="48" customHeight="1">
      <c r="A4" s="545" t="s">
        <v>7</v>
      </c>
      <c r="B4" s="545"/>
      <c r="C4" s="472" t="s">
        <v>8</v>
      </c>
      <c r="D4" s="471" t="s">
        <v>4</v>
      </c>
      <c r="E4" s="470"/>
      <c r="F4" s="341"/>
      <c r="G4" s="342"/>
      <c r="H4" s="341"/>
      <c r="I4" s="341"/>
      <c r="J4" s="341"/>
      <c r="K4" s="342"/>
      <c r="L4" s="341"/>
      <c r="M4" s="341"/>
      <c r="N4" s="469"/>
      <c r="O4" s="468"/>
      <c r="P4" s="462"/>
      <c r="Q4" s="462"/>
      <c r="R4" s="337"/>
      <c r="S4" s="337"/>
      <c r="T4" s="338"/>
      <c r="U4" s="338"/>
      <c r="V4" s="338"/>
      <c r="W4" s="338"/>
      <c r="X4" s="338"/>
      <c r="Y4" s="338"/>
      <c r="Z4" s="337"/>
      <c r="AA4" s="336"/>
      <c r="AB4" s="336"/>
      <c r="AC4" s="483"/>
      <c r="AD4" s="481"/>
      <c r="AE4" s="481"/>
      <c r="AF4" s="335"/>
      <c r="AG4" s="335"/>
      <c r="AH4" s="335"/>
      <c r="AI4" s="335"/>
      <c r="AJ4" s="335"/>
      <c r="AK4" s="335"/>
      <c r="AL4" s="335"/>
      <c r="AM4" s="335"/>
      <c r="AN4" s="335"/>
      <c r="AO4" s="335"/>
      <c r="AP4" s="335"/>
      <c r="AQ4" s="335"/>
      <c r="AR4" s="335"/>
      <c r="AS4" s="335"/>
      <c r="AT4" s="335"/>
      <c r="AU4" s="335"/>
      <c r="AV4" s="335"/>
      <c r="AW4" s="335"/>
      <c r="AX4" s="335"/>
      <c r="AY4" s="335"/>
      <c r="AZ4" s="335"/>
      <c r="BA4" s="335"/>
      <c r="BB4" s="335"/>
      <c r="BC4" s="335"/>
      <c r="BD4" s="335"/>
      <c r="BE4" s="335"/>
      <c r="BF4" s="335"/>
      <c r="BG4" s="335"/>
      <c r="BH4" s="335"/>
      <c r="BI4" s="335"/>
      <c r="BJ4" s="335"/>
      <c r="BK4" s="335"/>
      <c r="BL4" s="335"/>
      <c r="BM4" s="335"/>
      <c r="BN4" s="335"/>
      <c r="BO4" s="335"/>
      <c r="BP4" s="335"/>
      <c r="BQ4" s="335"/>
      <c r="BR4" s="335"/>
      <c r="BS4" s="335"/>
      <c r="BT4" s="335"/>
      <c r="BU4" s="335"/>
      <c r="BV4" s="335"/>
      <c r="BW4" s="335"/>
      <c r="BX4" s="335"/>
      <c r="BY4" s="335"/>
      <c r="BZ4" s="335"/>
      <c r="CA4" s="335"/>
      <c r="CB4" s="335"/>
    </row>
    <row r="5" spans="1:80" ht="51" customHeight="1">
      <c r="A5" s="467"/>
      <c r="B5" s="467"/>
      <c r="C5" s="467"/>
      <c r="D5" s="467"/>
      <c r="E5" s="466"/>
      <c r="F5" s="335"/>
      <c r="J5" s="465"/>
      <c r="N5" s="464"/>
      <c r="O5" s="463"/>
      <c r="P5" s="462"/>
      <c r="Q5" s="462"/>
      <c r="AB5" s="336"/>
      <c r="AC5" s="483"/>
      <c r="AD5" s="481"/>
      <c r="AE5" s="481"/>
    </row>
    <row r="6" spans="1:80" ht="48" customHeight="1">
      <c r="A6" s="461" t="s">
        <v>9</v>
      </c>
      <c r="B6" s="460" t="s">
        <v>10</v>
      </c>
      <c r="C6" s="459" t="s">
        <v>11</v>
      </c>
      <c r="D6" s="458" t="s">
        <v>12</v>
      </c>
      <c r="E6" s="457" t="s">
        <v>13</v>
      </c>
      <c r="F6" s="456" t="s">
        <v>14</v>
      </c>
      <c r="G6" s="452" t="s">
        <v>15</v>
      </c>
      <c r="H6" s="455" t="s">
        <v>16</v>
      </c>
      <c r="I6" s="454" t="s">
        <v>17</v>
      </c>
      <c r="J6" s="453" t="s">
        <v>18</v>
      </c>
      <c r="K6" s="452" t="s">
        <v>19</v>
      </c>
      <c r="L6" s="451" t="s">
        <v>20</v>
      </c>
      <c r="M6" s="451" t="s">
        <v>21</v>
      </c>
      <c r="N6" s="450" t="s">
        <v>22</v>
      </c>
      <c r="O6" s="448" t="s">
        <v>23</v>
      </c>
      <c r="P6" s="449" t="s">
        <v>24</v>
      </c>
      <c r="Q6" s="449" t="s">
        <v>25</v>
      </c>
      <c r="R6" s="448" t="s">
        <v>26</v>
      </c>
      <c r="S6" s="448" t="s">
        <v>27</v>
      </c>
      <c r="T6" s="448" t="s">
        <v>28</v>
      </c>
      <c r="U6" s="448" t="s">
        <v>29</v>
      </c>
      <c r="V6" s="448" t="s">
        <v>30</v>
      </c>
      <c r="W6" s="448" t="s">
        <v>31</v>
      </c>
      <c r="X6" s="448" t="s">
        <v>32</v>
      </c>
      <c r="Y6" s="448" t="s">
        <v>2237</v>
      </c>
      <c r="Z6" s="447" t="s">
        <v>33</v>
      </c>
      <c r="AA6" s="447" t="s">
        <v>34</v>
      </c>
      <c r="AB6" s="327" t="s">
        <v>35</v>
      </c>
      <c r="AC6" s="479"/>
      <c r="AD6" s="327" t="s">
        <v>2405</v>
      </c>
      <c r="AE6" s="327" t="s">
        <v>2589</v>
      </c>
    </row>
    <row r="7" spans="1:80" ht="113" hidden="1" customHeight="1">
      <c r="A7" s="349">
        <v>0</v>
      </c>
      <c r="B7" s="361" t="s">
        <v>36</v>
      </c>
      <c r="C7" s="350" t="s">
        <v>37</v>
      </c>
      <c r="D7" s="363" t="s">
        <v>38</v>
      </c>
      <c r="E7" s="351" t="s">
        <v>39</v>
      </c>
      <c r="F7" s="351"/>
      <c r="G7" s="349" t="s">
        <v>40</v>
      </c>
      <c r="H7" s="350" t="s">
        <v>41</v>
      </c>
      <c r="I7" s="350"/>
      <c r="J7" s="350"/>
      <c r="K7" s="349"/>
      <c r="L7" s="348"/>
      <c r="M7" s="348"/>
      <c r="N7" s="431"/>
      <c r="O7" s="351"/>
      <c r="P7" s="349"/>
      <c r="Q7" s="349"/>
      <c r="R7" s="352"/>
      <c r="S7" s="352"/>
      <c r="T7" s="355">
        <f>$S7*DE_Cost!$B$1*8</f>
        <v>0</v>
      </c>
      <c r="U7" s="355">
        <f>$S7*DE_Cost!$B$1</f>
        <v>0</v>
      </c>
      <c r="V7" s="355"/>
      <c r="W7" s="355"/>
      <c r="X7" s="355">
        <f t="shared" ref="X7:X27" si="0">IF(TRIM(P7)="", 0, LEN(P7) - LEN(SUBSTITUTE(P7, "&amp;", "")) + 1)</f>
        <v>0</v>
      </c>
      <c r="Y7" s="355">
        <f t="shared" ref="Y7:Y33" si="1">S7 * X7</f>
        <v>0</v>
      </c>
      <c r="Z7" s="352" t="s">
        <v>42</v>
      </c>
      <c r="AA7" s="352"/>
      <c r="AB7" s="353"/>
      <c r="AC7" s="353"/>
      <c r="AD7" s="482"/>
      <c r="AE7" s="487">
        <f t="shared" ref="AE7:AE34" si="2">(Y7 / $AE$2) * $AC$2</f>
        <v>0</v>
      </c>
    </row>
    <row r="8" spans="1:80" ht="38.25" hidden="1" customHeight="1">
      <c r="A8" s="364"/>
      <c r="B8" s="363"/>
      <c r="C8" s="350"/>
      <c r="D8" s="363" t="s">
        <v>43</v>
      </c>
      <c r="E8" s="351" t="s">
        <v>44</v>
      </c>
      <c r="F8" s="351"/>
      <c r="G8" s="349" t="s">
        <v>40</v>
      </c>
      <c r="H8" s="350" t="s">
        <v>45</v>
      </c>
      <c r="I8" s="350"/>
      <c r="J8" s="350"/>
      <c r="K8" s="349"/>
      <c r="L8" s="348"/>
      <c r="M8" s="348"/>
      <c r="N8" s="431"/>
      <c r="O8" s="351"/>
      <c r="P8" s="349"/>
      <c r="Q8" s="349"/>
      <c r="R8" s="352"/>
      <c r="S8" s="352"/>
      <c r="T8" s="355">
        <f>$S8*DE_Cost!$B$1*8</f>
        <v>0</v>
      </c>
      <c r="U8" s="355">
        <f>$S8*DE_Cost!$B$1</f>
        <v>0</v>
      </c>
      <c r="V8" s="355"/>
      <c r="W8" s="355"/>
      <c r="X8" s="355">
        <f t="shared" si="0"/>
        <v>0</v>
      </c>
      <c r="Y8" s="355">
        <f t="shared" si="1"/>
        <v>0</v>
      </c>
      <c r="Z8" s="352" t="s">
        <v>42</v>
      </c>
      <c r="AA8" s="352"/>
      <c r="AB8" s="353"/>
      <c r="AC8" s="353"/>
      <c r="AD8" s="482"/>
      <c r="AE8" s="487">
        <f t="shared" si="2"/>
        <v>0</v>
      </c>
    </row>
    <row r="9" spans="1:80" ht="38.25" hidden="1" customHeight="1">
      <c r="A9" s="364"/>
      <c r="B9" s="363"/>
      <c r="C9" s="350"/>
      <c r="D9" s="363" t="s">
        <v>46</v>
      </c>
      <c r="E9" s="351" t="s">
        <v>47</v>
      </c>
      <c r="F9" s="351"/>
      <c r="G9" s="349" t="s">
        <v>40</v>
      </c>
      <c r="H9" s="350" t="s">
        <v>48</v>
      </c>
      <c r="I9" s="350"/>
      <c r="J9" s="350"/>
      <c r="K9" s="349"/>
      <c r="L9" s="348"/>
      <c r="M9" s="348"/>
      <c r="N9" s="431"/>
      <c r="O9" s="351"/>
      <c r="P9" s="349"/>
      <c r="Q9" s="349"/>
      <c r="R9" s="352"/>
      <c r="S9" s="352"/>
      <c r="T9" s="355">
        <f>$S9*DE_Cost!$B$1*8</f>
        <v>0</v>
      </c>
      <c r="U9" s="355">
        <f>$S9*DE_Cost!$B$1</f>
        <v>0</v>
      </c>
      <c r="V9" s="355"/>
      <c r="W9" s="355"/>
      <c r="X9" s="355">
        <f t="shared" si="0"/>
        <v>0</v>
      </c>
      <c r="Y9" s="355">
        <f t="shared" si="1"/>
        <v>0</v>
      </c>
      <c r="Z9" s="352" t="s">
        <v>42</v>
      </c>
      <c r="AA9" s="352"/>
      <c r="AB9" s="353"/>
      <c r="AC9" s="353"/>
      <c r="AD9" s="482"/>
      <c r="AE9" s="487">
        <f t="shared" si="2"/>
        <v>0</v>
      </c>
    </row>
    <row r="10" spans="1:80" ht="38.25" hidden="1" customHeight="1">
      <c r="A10" s="364"/>
      <c r="B10" s="361"/>
      <c r="C10" s="350"/>
      <c r="D10" s="363" t="s">
        <v>49</v>
      </c>
      <c r="E10" s="351" t="s">
        <v>50</v>
      </c>
      <c r="F10" s="351"/>
      <c r="G10" s="349" t="s">
        <v>40</v>
      </c>
      <c r="H10" s="350" t="s">
        <v>51</v>
      </c>
      <c r="I10" s="350"/>
      <c r="J10" s="350"/>
      <c r="K10" s="349"/>
      <c r="L10" s="348"/>
      <c r="M10" s="348"/>
      <c r="N10" s="431"/>
      <c r="O10" s="351"/>
      <c r="P10" s="349"/>
      <c r="Q10" s="349"/>
      <c r="R10" s="352"/>
      <c r="S10" s="352"/>
      <c r="T10" s="355">
        <f>$S10*DE_Cost!$B$1*8</f>
        <v>0</v>
      </c>
      <c r="U10" s="355">
        <f>$S10*DE_Cost!$B$1</f>
        <v>0</v>
      </c>
      <c r="V10" s="355"/>
      <c r="W10" s="355"/>
      <c r="X10" s="355">
        <f t="shared" si="0"/>
        <v>0</v>
      </c>
      <c r="Y10" s="355">
        <f t="shared" si="1"/>
        <v>0</v>
      </c>
      <c r="Z10" s="352" t="s">
        <v>42</v>
      </c>
      <c r="AA10" s="352"/>
      <c r="AB10" s="353"/>
      <c r="AC10" s="353"/>
      <c r="AD10" s="482"/>
      <c r="AE10" s="487">
        <f t="shared" si="2"/>
        <v>0</v>
      </c>
    </row>
    <row r="11" spans="1:80" ht="38.25" hidden="1" customHeight="1">
      <c r="A11" s="364"/>
      <c r="B11" s="361"/>
      <c r="C11" s="350"/>
      <c r="D11" s="363" t="s">
        <v>52</v>
      </c>
      <c r="E11" s="351" t="s">
        <v>53</v>
      </c>
      <c r="F11" s="351"/>
      <c r="G11" s="349" t="s">
        <v>40</v>
      </c>
      <c r="H11" s="350" t="s">
        <v>54</v>
      </c>
      <c r="I11" s="350"/>
      <c r="J11" s="350"/>
      <c r="K11" s="349"/>
      <c r="L11" s="348"/>
      <c r="M11" s="348"/>
      <c r="N11" s="431"/>
      <c r="O11" s="351"/>
      <c r="P11" s="349"/>
      <c r="Q11" s="349"/>
      <c r="R11" s="352"/>
      <c r="S11" s="352"/>
      <c r="T11" s="355">
        <f>$S11*DE_Cost!$B$1*8</f>
        <v>0</v>
      </c>
      <c r="U11" s="355">
        <f>$S11*DE_Cost!$B$1</f>
        <v>0</v>
      </c>
      <c r="V11" s="355"/>
      <c r="W11" s="355"/>
      <c r="X11" s="355">
        <f t="shared" si="0"/>
        <v>0</v>
      </c>
      <c r="Y11" s="355">
        <f t="shared" si="1"/>
        <v>0</v>
      </c>
      <c r="Z11" s="352" t="s">
        <v>42</v>
      </c>
      <c r="AA11" s="352"/>
      <c r="AB11" s="353"/>
      <c r="AC11" s="353"/>
      <c r="AD11" s="482"/>
      <c r="AE11" s="487">
        <f t="shared" si="2"/>
        <v>0</v>
      </c>
    </row>
    <row r="12" spans="1:80" ht="38.25" hidden="1" customHeight="1">
      <c r="A12" s="364"/>
      <c r="B12" s="361"/>
      <c r="C12" s="350"/>
      <c r="D12" s="363" t="s">
        <v>55</v>
      </c>
      <c r="E12" s="351" t="s">
        <v>56</v>
      </c>
      <c r="F12" s="351"/>
      <c r="G12" s="349" t="s">
        <v>40</v>
      </c>
      <c r="H12" s="350" t="s">
        <v>57</v>
      </c>
      <c r="I12" s="350"/>
      <c r="J12" s="350"/>
      <c r="K12" s="349"/>
      <c r="L12" s="348"/>
      <c r="M12" s="348"/>
      <c r="N12" s="431"/>
      <c r="O12" s="351"/>
      <c r="P12" s="349"/>
      <c r="Q12" s="349"/>
      <c r="R12" s="352"/>
      <c r="S12" s="352"/>
      <c r="T12" s="355">
        <f>$S12*DE_Cost!$B$1*8</f>
        <v>0</v>
      </c>
      <c r="U12" s="355">
        <f>$S12*DE_Cost!$B$1</f>
        <v>0</v>
      </c>
      <c r="V12" s="355"/>
      <c r="W12" s="355"/>
      <c r="X12" s="355">
        <f t="shared" si="0"/>
        <v>0</v>
      </c>
      <c r="Y12" s="355">
        <f t="shared" si="1"/>
        <v>0</v>
      </c>
      <c r="Z12" s="352" t="s">
        <v>42</v>
      </c>
      <c r="AA12" s="352"/>
      <c r="AB12" s="353"/>
      <c r="AC12" s="353"/>
      <c r="AD12" s="482"/>
      <c r="AE12" s="487">
        <f t="shared" si="2"/>
        <v>0</v>
      </c>
    </row>
    <row r="13" spans="1:80" ht="38.25" hidden="1" customHeight="1">
      <c r="A13" s="364"/>
      <c r="B13" s="361"/>
      <c r="C13" s="350"/>
      <c r="D13" s="363" t="s">
        <v>58</v>
      </c>
      <c r="E13" s="351" t="s">
        <v>59</v>
      </c>
      <c r="F13" s="351"/>
      <c r="G13" s="349" t="s">
        <v>40</v>
      </c>
      <c r="H13" s="350" t="s">
        <v>60</v>
      </c>
      <c r="I13" s="350"/>
      <c r="J13" s="350"/>
      <c r="K13" s="349"/>
      <c r="L13" s="348"/>
      <c r="M13" s="348"/>
      <c r="N13" s="431"/>
      <c r="O13" s="351"/>
      <c r="P13" s="349"/>
      <c r="Q13" s="349"/>
      <c r="R13" s="352"/>
      <c r="S13" s="352"/>
      <c r="T13" s="355">
        <f>$S13*DE_Cost!$B$1*8</f>
        <v>0</v>
      </c>
      <c r="U13" s="355">
        <f>$S13*DE_Cost!$B$1</f>
        <v>0</v>
      </c>
      <c r="V13" s="355"/>
      <c r="W13" s="355"/>
      <c r="X13" s="355">
        <f t="shared" si="0"/>
        <v>0</v>
      </c>
      <c r="Y13" s="355">
        <f t="shared" si="1"/>
        <v>0</v>
      </c>
      <c r="Z13" s="352" t="s">
        <v>42</v>
      </c>
      <c r="AA13" s="352"/>
      <c r="AB13" s="353"/>
      <c r="AC13" s="353"/>
      <c r="AD13" s="482"/>
      <c r="AE13" s="487">
        <f t="shared" si="2"/>
        <v>0</v>
      </c>
    </row>
    <row r="14" spans="1:80" ht="54" hidden="1">
      <c r="A14" s="443"/>
      <c r="B14" s="446"/>
      <c r="C14" s="351" t="s">
        <v>61</v>
      </c>
      <c r="D14" s="375" t="s">
        <v>62</v>
      </c>
      <c r="E14" s="351" t="s">
        <v>63</v>
      </c>
      <c r="F14" s="351"/>
      <c r="G14" s="349" t="s">
        <v>64</v>
      </c>
      <c r="H14" s="350" t="s">
        <v>65</v>
      </c>
      <c r="I14" s="350"/>
      <c r="J14" s="350"/>
      <c r="K14" s="349" t="s">
        <v>64</v>
      </c>
      <c r="L14" s="348"/>
      <c r="M14" s="348"/>
      <c r="N14" s="431"/>
      <c r="O14" s="351"/>
      <c r="P14" s="349"/>
      <c r="Q14" s="349"/>
      <c r="R14" s="352"/>
      <c r="S14" s="352"/>
      <c r="T14" s="355">
        <f>$S14*DE_Cost!$B$1*8</f>
        <v>0</v>
      </c>
      <c r="U14" s="355">
        <f>$S14*DE_Cost!$B$1</f>
        <v>0</v>
      </c>
      <c r="V14" s="355"/>
      <c r="W14" s="355"/>
      <c r="X14" s="355">
        <f t="shared" si="0"/>
        <v>0</v>
      </c>
      <c r="Y14" s="355">
        <f t="shared" si="1"/>
        <v>0</v>
      </c>
      <c r="Z14" s="352" t="s">
        <v>42</v>
      </c>
      <c r="AA14" s="352"/>
      <c r="AB14" s="353"/>
      <c r="AC14" s="353"/>
      <c r="AD14" s="482"/>
      <c r="AE14" s="487">
        <f t="shared" si="2"/>
        <v>0</v>
      </c>
    </row>
    <row r="15" spans="1:80" ht="72" hidden="1">
      <c r="A15" s="443"/>
      <c r="B15" s="442"/>
      <c r="C15" s="351"/>
      <c r="D15" s="375" t="s">
        <v>66</v>
      </c>
      <c r="E15" s="351" t="s">
        <v>67</v>
      </c>
      <c r="F15" s="351"/>
      <c r="G15" s="349" t="s">
        <v>64</v>
      </c>
      <c r="H15" s="350" t="s">
        <v>68</v>
      </c>
      <c r="I15" s="350"/>
      <c r="J15" s="350"/>
      <c r="K15" s="349" t="s">
        <v>64</v>
      </c>
      <c r="L15" s="348"/>
      <c r="M15" s="348"/>
      <c r="N15" s="431"/>
      <c r="O15" s="351"/>
      <c r="P15" s="349"/>
      <c r="Q15" s="349"/>
      <c r="R15" s="352"/>
      <c r="S15" s="352"/>
      <c r="T15" s="355">
        <f>$S15*DE_Cost!$B$1*8</f>
        <v>0</v>
      </c>
      <c r="U15" s="355">
        <f>$S15*DE_Cost!$B$1</f>
        <v>0</v>
      </c>
      <c r="V15" s="355"/>
      <c r="W15" s="355"/>
      <c r="X15" s="355">
        <f t="shared" si="0"/>
        <v>0</v>
      </c>
      <c r="Y15" s="355">
        <f t="shared" si="1"/>
        <v>0</v>
      </c>
      <c r="Z15" s="352" t="s">
        <v>42</v>
      </c>
      <c r="AA15" s="352"/>
      <c r="AB15" s="353"/>
      <c r="AC15" s="353"/>
      <c r="AD15" s="482"/>
      <c r="AE15" s="487">
        <f t="shared" si="2"/>
        <v>0</v>
      </c>
    </row>
    <row r="16" spans="1:80" ht="72" hidden="1">
      <c r="A16" s="443"/>
      <c r="B16" s="442"/>
      <c r="C16" s="351"/>
      <c r="D16" s="375" t="s">
        <v>69</v>
      </c>
      <c r="E16" s="351" t="s">
        <v>70</v>
      </c>
      <c r="F16" s="351"/>
      <c r="G16" s="349" t="s">
        <v>64</v>
      </c>
      <c r="H16" s="350" t="s">
        <v>71</v>
      </c>
      <c r="I16" s="350"/>
      <c r="J16" s="350"/>
      <c r="K16" s="349" t="s">
        <v>64</v>
      </c>
      <c r="L16" s="371"/>
      <c r="M16" s="348"/>
      <c r="N16" s="431"/>
      <c r="O16" s="351"/>
      <c r="P16" s="349"/>
      <c r="Q16" s="349"/>
      <c r="R16" s="352"/>
      <c r="S16" s="352"/>
      <c r="T16" s="355">
        <f>$S16*DE_Cost!$B$1*8</f>
        <v>0</v>
      </c>
      <c r="U16" s="355">
        <f>$S16*DE_Cost!$B$1</f>
        <v>0</v>
      </c>
      <c r="V16" s="355"/>
      <c r="W16" s="355"/>
      <c r="X16" s="355">
        <f t="shared" si="0"/>
        <v>0</v>
      </c>
      <c r="Y16" s="355">
        <f t="shared" si="1"/>
        <v>0</v>
      </c>
      <c r="Z16" s="352" t="s">
        <v>42</v>
      </c>
      <c r="AA16" s="352"/>
      <c r="AB16" s="353"/>
      <c r="AC16" s="353"/>
      <c r="AD16" s="482"/>
      <c r="AE16" s="487">
        <f t="shared" si="2"/>
        <v>0</v>
      </c>
    </row>
    <row r="17" spans="1:31" ht="36" hidden="1">
      <c r="A17" s="443"/>
      <c r="B17" s="442"/>
      <c r="C17" s="351"/>
      <c r="D17" s="375" t="s">
        <v>72</v>
      </c>
      <c r="E17" s="351" t="s">
        <v>73</v>
      </c>
      <c r="F17" s="351"/>
      <c r="G17" s="349" t="s">
        <v>64</v>
      </c>
      <c r="H17" s="350" t="s">
        <v>74</v>
      </c>
      <c r="I17" s="350"/>
      <c r="J17" s="350"/>
      <c r="K17" s="349" t="s">
        <v>64</v>
      </c>
      <c r="L17" s="348"/>
      <c r="M17" s="348"/>
      <c r="N17" s="431"/>
      <c r="O17" s="351"/>
      <c r="P17" s="349"/>
      <c r="Q17" s="349"/>
      <c r="R17" s="352"/>
      <c r="S17" s="352"/>
      <c r="T17" s="355">
        <f>$S17*DE_Cost!$B$1*8</f>
        <v>0</v>
      </c>
      <c r="U17" s="355">
        <f>$S17*DE_Cost!$B$1</f>
        <v>0</v>
      </c>
      <c r="V17" s="355"/>
      <c r="W17" s="355"/>
      <c r="X17" s="355">
        <f t="shared" si="0"/>
        <v>0</v>
      </c>
      <c r="Y17" s="355">
        <f t="shared" si="1"/>
        <v>0</v>
      </c>
      <c r="Z17" s="352" t="s">
        <v>42</v>
      </c>
      <c r="AA17" s="352"/>
      <c r="AB17" s="353"/>
      <c r="AC17" s="353"/>
      <c r="AD17" s="482"/>
      <c r="AE17" s="487">
        <f t="shared" si="2"/>
        <v>0</v>
      </c>
    </row>
    <row r="18" spans="1:31" ht="54" hidden="1">
      <c r="A18" s="445"/>
      <c r="B18" s="444"/>
      <c r="C18" s="351" t="s">
        <v>75</v>
      </c>
      <c r="D18" s="375" t="s">
        <v>76</v>
      </c>
      <c r="E18" s="351" t="s">
        <v>77</v>
      </c>
      <c r="F18" s="351"/>
      <c r="G18" s="349" t="s">
        <v>64</v>
      </c>
      <c r="H18" s="350" t="s">
        <v>78</v>
      </c>
      <c r="I18" s="350"/>
      <c r="J18" s="350"/>
      <c r="K18" s="349" t="s">
        <v>64</v>
      </c>
      <c r="L18" s="348"/>
      <c r="M18" s="348"/>
      <c r="N18" s="431"/>
      <c r="O18" s="351"/>
      <c r="P18" s="349"/>
      <c r="Q18" s="349"/>
      <c r="R18" s="352"/>
      <c r="S18" s="352"/>
      <c r="T18" s="355">
        <f>$S18*DE_Cost!$B$1*8</f>
        <v>0</v>
      </c>
      <c r="U18" s="355">
        <f>$S18*DE_Cost!$B$1</f>
        <v>0</v>
      </c>
      <c r="V18" s="355"/>
      <c r="W18" s="355"/>
      <c r="X18" s="355">
        <f t="shared" si="0"/>
        <v>0</v>
      </c>
      <c r="Y18" s="355">
        <f t="shared" si="1"/>
        <v>0</v>
      </c>
      <c r="Z18" s="352" t="s">
        <v>42</v>
      </c>
      <c r="AA18" s="352"/>
      <c r="AB18" s="353"/>
      <c r="AC18" s="353"/>
      <c r="AD18" s="482"/>
      <c r="AE18" s="487">
        <f t="shared" si="2"/>
        <v>0</v>
      </c>
    </row>
    <row r="19" spans="1:31" ht="36" hidden="1">
      <c r="A19" s="445"/>
      <c r="B19" s="444"/>
      <c r="C19" s="351"/>
      <c r="D19" s="375" t="s">
        <v>79</v>
      </c>
      <c r="E19" s="351" t="s">
        <v>80</v>
      </c>
      <c r="F19" s="351"/>
      <c r="G19" s="349" t="s">
        <v>64</v>
      </c>
      <c r="H19" s="350" t="s">
        <v>81</v>
      </c>
      <c r="I19" s="350"/>
      <c r="J19" s="350"/>
      <c r="K19" s="349" t="s">
        <v>64</v>
      </c>
      <c r="L19" s="348"/>
      <c r="M19" s="348"/>
      <c r="N19" s="431"/>
      <c r="O19" s="351"/>
      <c r="P19" s="349"/>
      <c r="Q19" s="349"/>
      <c r="R19" s="352"/>
      <c r="S19" s="352"/>
      <c r="T19" s="355">
        <f>$S19*DE_Cost!$B$1*8</f>
        <v>0</v>
      </c>
      <c r="U19" s="355">
        <f>$S19*DE_Cost!$B$1</f>
        <v>0</v>
      </c>
      <c r="V19" s="355"/>
      <c r="W19" s="355"/>
      <c r="X19" s="355">
        <f t="shared" si="0"/>
        <v>0</v>
      </c>
      <c r="Y19" s="355">
        <f t="shared" si="1"/>
        <v>0</v>
      </c>
      <c r="Z19" s="352" t="s">
        <v>42</v>
      </c>
      <c r="AA19" s="352"/>
      <c r="AB19" s="353"/>
      <c r="AC19" s="353"/>
      <c r="AD19" s="482"/>
      <c r="AE19" s="487">
        <f t="shared" si="2"/>
        <v>0</v>
      </c>
    </row>
    <row r="20" spans="1:31" ht="409.6" hidden="1">
      <c r="A20" s="443"/>
      <c r="B20" s="442"/>
      <c r="C20" s="351" t="s">
        <v>82</v>
      </c>
      <c r="D20" s="375" t="s">
        <v>83</v>
      </c>
      <c r="E20" s="351" t="s">
        <v>84</v>
      </c>
      <c r="F20" s="351"/>
      <c r="G20" s="349" t="s">
        <v>64</v>
      </c>
      <c r="H20" s="350" t="s">
        <v>85</v>
      </c>
      <c r="I20" s="350"/>
      <c r="J20" s="350" t="s">
        <v>86</v>
      </c>
      <c r="K20" s="349" t="s">
        <v>64</v>
      </c>
      <c r="L20" s="348"/>
      <c r="M20" s="348"/>
      <c r="N20" s="431"/>
      <c r="O20" s="351"/>
      <c r="P20" s="349"/>
      <c r="Q20" s="349"/>
      <c r="R20" s="352"/>
      <c r="S20" s="352"/>
      <c r="T20" s="355">
        <f>$S20*DE_Cost!$B$1*8</f>
        <v>0</v>
      </c>
      <c r="U20" s="355">
        <f>$S20*DE_Cost!$B$1</f>
        <v>0</v>
      </c>
      <c r="V20" s="355"/>
      <c r="W20" s="355"/>
      <c r="X20" s="355">
        <f t="shared" si="0"/>
        <v>0</v>
      </c>
      <c r="Y20" s="355">
        <f t="shared" si="1"/>
        <v>0</v>
      </c>
      <c r="Z20" s="352" t="s">
        <v>42</v>
      </c>
      <c r="AA20" s="352"/>
      <c r="AB20" s="353"/>
      <c r="AC20" s="353"/>
      <c r="AD20" s="482"/>
      <c r="AE20" s="487">
        <f t="shared" si="2"/>
        <v>0</v>
      </c>
    </row>
    <row r="21" spans="1:31" ht="394" hidden="1">
      <c r="A21" s="443"/>
      <c r="B21" s="442"/>
      <c r="C21" s="351"/>
      <c r="D21" s="375" t="s">
        <v>87</v>
      </c>
      <c r="E21" s="351" t="s">
        <v>88</v>
      </c>
      <c r="F21" s="351"/>
      <c r="G21" s="349" t="s">
        <v>64</v>
      </c>
      <c r="H21" s="350" t="s">
        <v>89</v>
      </c>
      <c r="I21" s="350"/>
      <c r="J21" s="350" t="s">
        <v>90</v>
      </c>
      <c r="K21" s="349" t="s">
        <v>64</v>
      </c>
      <c r="L21" s="348"/>
      <c r="M21" s="348"/>
      <c r="N21" s="431"/>
      <c r="O21" s="351"/>
      <c r="P21" s="349"/>
      <c r="Q21" s="349"/>
      <c r="R21" s="352"/>
      <c r="S21" s="352"/>
      <c r="T21" s="355">
        <f>$S21*DE_Cost!$B$1*8</f>
        <v>0</v>
      </c>
      <c r="U21" s="355">
        <f>$S21*DE_Cost!$B$1</f>
        <v>0</v>
      </c>
      <c r="V21" s="355"/>
      <c r="W21" s="355"/>
      <c r="X21" s="355">
        <f t="shared" si="0"/>
        <v>0</v>
      </c>
      <c r="Y21" s="355">
        <f t="shared" si="1"/>
        <v>0</v>
      </c>
      <c r="Z21" s="352" t="s">
        <v>42</v>
      </c>
      <c r="AA21" s="352"/>
      <c r="AB21" s="353"/>
      <c r="AC21" s="353"/>
      <c r="AD21" s="482"/>
      <c r="AE21" s="487">
        <f t="shared" si="2"/>
        <v>0</v>
      </c>
    </row>
    <row r="22" spans="1:31" ht="252" hidden="1">
      <c r="A22" s="443"/>
      <c r="B22" s="442"/>
      <c r="C22" s="351" t="s">
        <v>91</v>
      </c>
      <c r="D22" s="375" t="s">
        <v>92</v>
      </c>
      <c r="E22" s="351" t="s">
        <v>93</v>
      </c>
      <c r="F22" s="351"/>
      <c r="G22" s="349" t="s">
        <v>64</v>
      </c>
      <c r="H22" s="350" t="s">
        <v>94</v>
      </c>
      <c r="I22" s="350"/>
      <c r="J22" s="350" t="s">
        <v>95</v>
      </c>
      <c r="K22" s="349" t="s">
        <v>64</v>
      </c>
      <c r="L22" s="348"/>
      <c r="M22" s="348"/>
      <c r="N22" s="431"/>
      <c r="O22" s="351"/>
      <c r="P22" s="349"/>
      <c r="Q22" s="349"/>
      <c r="R22" s="352"/>
      <c r="S22" s="352"/>
      <c r="T22" s="355">
        <f>$S22*DE_Cost!$B$1*8</f>
        <v>0</v>
      </c>
      <c r="U22" s="355">
        <f>$S22*DE_Cost!$B$1</f>
        <v>0</v>
      </c>
      <c r="V22" s="355"/>
      <c r="W22" s="355"/>
      <c r="X22" s="355">
        <f t="shared" si="0"/>
        <v>0</v>
      </c>
      <c r="Y22" s="355">
        <f t="shared" si="1"/>
        <v>0</v>
      </c>
      <c r="Z22" s="352" t="s">
        <v>42</v>
      </c>
      <c r="AA22" s="352"/>
      <c r="AB22" s="353"/>
      <c r="AC22" s="353"/>
      <c r="AD22" s="482"/>
      <c r="AE22" s="487">
        <f t="shared" si="2"/>
        <v>0</v>
      </c>
    </row>
    <row r="23" spans="1:31" ht="38.25" hidden="1" customHeight="1">
      <c r="A23" s="443"/>
      <c r="B23" s="442"/>
      <c r="C23" s="351" t="s">
        <v>96</v>
      </c>
      <c r="D23" s="375" t="s">
        <v>97</v>
      </c>
      <c r="E23" s="351" t="s">
        <v>98</v>
      </c>
      <c r="F23" s="351"/>
      <c r="G23" s="349" t="s">
        <v>99</v>
      </c>
      <c r="H23" s="350" t="s">
        <v>100</v>
      </c>
      <c r="I23" s="350"/>
      <c r="J23" s="350"/>
      <c r="K23" s="349"/>
      <c r="L23" s="348"/>
      <c r="M23" s="348"/>
      <c r="N23" s="431"/>
      <c r="O23" s="351"/>
      <c r="P23" s="349"/>
      <c r="Q23" s="349"/>
      <c r="R23" s="352"/>
      <c r="S23" s="352"/>
      <c r="T23" s="355">
        <f>$S23*DE_Cost!$B$1*8</f>
        <v>0</v>
      </c>
      <c r="U23" s="355">
        <f>$S23*DE_Cost!$B$1</f>
        <v>0</v>
      </c>
      <c r="V23" s="355"/>
      <c r="W23" s="355"/>
      <c r="X23" s="355">
        <f t="shared" si="0"/>
        <v>0</v>
      </c>
      <c r="Y23" s="355">
        <f t="shared" si="1"/>
        <v>0</v>
      </c>
      <c r="Z23" s="352" t="s">
        <v>42</v>
      </c>
      <c r="AA23" s="352"/>
      <c r="AB23" s="353"/>
      <c r="AC23" s="353"/>
      <c r="AD23" s="482"/>
      <c r="AE23" s="487">
        <f t="shared" si="2"/>
        <v>0</v>
      </c>
    </row>
    <row r="24" spans="1:31" ht="38.25" hidden="1" customHeight="1">
      <c r="A24" s="443"/>
      <c r="B24" s="375"/>
      <c r="C24" s="351"/>
      <c r="D24" s="375" t="s">
        <v>101</v>
      </c>
      <c r="E24" s="351" t="s">
        <v>102</v>
      </c>
      <c r="F24" s="351"/>
      <c r="G24" s="349" t="s">
        <v>99</v>
      </c>
      <c r="H24" s="350" t="s">
        <v>103</v>
      </c>
      <c r="I24" s="350"/>
      <c r="J24" s="350"/>
      <c r="K24" s="349"/>
      <c r="L24" s="348"/>
      <c r="M24" s="348"/>
      <c r="N24" s="431"/>
      <c r="O24" s="351"/>
      <c r="P24" s="349"/>
      <c r="Q24" s="349"/>
      <c r="R24" s="352"/>
      <c r="S24" s="352"/>
      <c r="T24" s="355">
        <f>$S24*DE_Cost!$B$1*8</f>
        <v>0</v>
      </c>
      <c r="U24" s="355">
        <f>$S24*DE_Cost!$B$1</f>
        <v>0</v>
      </c>
      <c r="V24" s="355"/>
      <c r="W24" s="355"/>
      <c r="X24" s="355">
        <f t="shared" si="0"/>
        <v>0</v>
      </c>
      <c r="Y24" s="355">
        <f t="shared" si="1"/>
        <v>0</v>
      </c>
      <c r="Z24" s="352" t="s">
        <v>42</v>
      </c>
      <c r="AA24" s="352"/>
      <c r="AB24" s="353"/>
      <c r="AC24" s="353"/>
      <c r="AD24" s="482"/>
      <c r="AE24" s="487">
        <f t="shared" si="2"/>
        <v>0</v>
      </c>
    </row>
    <row r="25" spans="1:31" ht="38.25" hidden="1" customHeight="1">
      <c r="A25" s="443"/>
      <c r="B25" s="375"/>
      <c r="C25" s="351"/>
      <c r="D25" s="375" t="s">
        <v>104</v>
      </c>
      <c r="E25" s="351" t="s">
        <v>105</v>
      </c>
      <c r="F25" s="351"/>
      <c r="G25" s="349" t="s">
        <v>99</v>
      </c>
      <c r="H25" s="350" t="s">
        <v>106</v>
      </c>
      <c r="I25" s="350"/>
      <c r="J25" s="350"/>
      <c r="K25" s="349"/>
      <c r="L25" s="348"/>
      <c r="M25" s="348"/>
      <c r="N25" s="431"/>
      <c r="O25" s="351"/>
      <c r="P25" s="349"/>
      <c r="Q25" s="349"/>
      <c r="R25" s="352"/>
      <c r="S25" s="352"/>
      <c r="T25" s="355">
        <f>$S25*DE_Cost!$B$1*8</f>
        <v>0</v>
      </c>
      <c r="U25" s="355">
        <f>$S25*DE_Cost!$B$1</f>
        <v>0</v>
      </c>
      <c r="V25" s="355"/>
      <c r="W25" s="355"/>
      <c r="X25" s="355">
        <f t="shared" si="0"/>
        <v>0</v>
      </c>
      <c r="Y25" s="355">
        <f t="shared" si="1"/>
        <v>0</v>
      </c>
      <c r="Z25" s="352" t="s">
        <v>42</v>
      </c>
      <c r="AA25" s="352"/>
      <c r="AB25" s="353"/>
      <c r="AC25" s="353"/>
      <c r="AD25" s="482"/>
      <c r="AE25" s="487">
        <f t="shared" si="2"/>
        <v>0</v>
      </c>
    </row>
    <row r="26" spans="1:31" ht="38.25" hidden="1" customHeight="1">
      <c r="A26" s="443"/>
      <c r="B26" s="442"/>
      <c r="C26" s="351"/>
      <c r="D26" s="375" t="s">
        <v>107</v>
      </c>
      <c r="E26" s="351" t="s">
        <v>108</v>
      </c>
      <c r="F26" s="351"/>
      <c r="G26" s="349" t="s">
        <v>99</v>
      </c>
      <c r="H26" s="350" t="s">
        <v>109</v>
      </c>
      <c r="I26" s="350"/>
      <c r="J26" s="350"/>
      <c r="K26" s="349"/>
      <c r="L26" s="348"/>
      <c r="M26" s="348"/>
      <c r="N26" s="431"/>
      <c r="O26" s="351"/>
      <c r="P26" s="349"/>
      <c r="Q26" s="349"/>
      <c r="R26" s="352"/>
      <c r="S26" s="352"/>
      <c r="T26" s="355">
        <f>$S26*DE_Cost!$B$1*8</f>
        <v>0</v>
      </c>
      <c r="U26" s="355">
        <f>$S26*DE_Cost!$B$1</f>
        <v>0</v>
      </c>
      <c r="V26" s="355"/>
      <c r="W26" s="355"/>
      <c r="X26" s="355">
        <f t="shared" si="0"/>
        <v>0</v>
      </c>
      <c r="Y26" s="355">
        <f t="shared" si="1"/>
        <v>0</v>
      </c>
      <c r="Z26" s="352" t="s">
        <v>42</v>
      </c>
      <c r="AA26" s="352"/>
      <c r="AB26" s="353"/>
      <c r="AC26" s="353"/>
      <c r="AD26" s="482"/>
      <c r="AE26" s="487">
        <f t="shared" si="2"/>
        <v>0</v>
      </c>
    </row>
    <row r="27" spans="1:31" ht="38.25" hidden="1" customHeight="1">
      <c r="A27" s="443"/>
      <c r="B27" s="442"/>
      <c r="C27" s="351"/>
      <c r="D27" s="375" t="s">
        <v>110</v>
      </c>
      <c r="E27" s="351" t="s">
        <v>111</v>
      </c>
      <c r="F27" s="351"/>
      <c r="G27" s="349" t="s">
        <v>99</v>
      </c>
      <c r="H27" s="350" t="s">
        <v>112</v>
      </c>
      <c r="I27" s="350"/>
      <c r="J27" s="350"/>
      <c r="K27" s="349"/>
      <c r="L27" s="348"/>
      <c r="M27" s="348"/>
      <c r="N27" s="359"/>
      <c r="O27" s="359"/>
      <c r="P27" s="349"/>
      <c r="Q27" s="349"/>
      <c r="R27" s="352"/>
      <c r="S27" s="352"/>
      <c r="T27" s="355">
        <f>$S27*DE_Cost!$B$1*8</f>
        <v>0</v>
      </c>
      <c r="U27" s="355">
        <f>$S27*DE_Cost!$B$1</f>
        <v>0</v>
      </c>
      <c r="V27" s="355"/>
      <c r="W27" s="355"/>
      <c r="X27" s="355">
        <f t="shared" si="0"/>
        <v>0</v>
      </c>
      <c r="Y27" s="355">
        <f t="shared" si="1"/>
        <v>0</v>
      </c>
      <c r="Z27" s="352" t="s">
        <v>42</v>
      </c>
      <c r="AA27" s="352"/>
      <c r="AB27" s="353"/>
      <c r="AC27" s="353"/>
      <c r="AD27" s="482"/>
      <c r="AE27" s="487">
        <f t="shared" si="2"/>
        <v>0</v>
      </c>
    </row>
    <row r="28" spans="1:31" ht="38.25" hidden="1" customHeight="1">
      <c r="A28" s="443"/>
      <c r="B28" s="442"/>
      <c r="C28" s="351"/>
      <c r="D28" s="375" t="s">
        <v>113</v>
      </c>
      <c r="E28" s="351" t="s">
        <v>114</v>
      </c>
      <c r="F28" s="351"/>
      <c r="G28" s="349" t="s">
        <v>99</v>
      </c>
      <c r="H28" s="350" t="s">
        <v>115</v>
      </c>
      <c r="I28" s="350"/>
      <c r="J28" s="350"/>
      <c r="K28" s="349"/>
      <c r="L28" s="348"/>
      <c r="M28" s="348"/>
      <c r="N28" s="359"/>
      <c r="O28" s="359"/>
      <c r="P28" s="349"/>
      <c r="Q28" s="349"/>
      <c r="R28" s="352"/>
      <c r="S28" s="352"/>
      <c r="T28" s="355">
        <f>$S28*DE_Cost!$B$1*8</f>
        <v>0</v>
      </c>
      <c r="U28" s="355">
        <f>$S28*DE_Cost!$B$1</f>
        <v>0</v>
      </c>
      <c r="V28" s="355"/>
      <c r="W28" s="355"/>
      <c r="X28" s="355">
        <f t="shared" ref="X28:X36" si="3">IF(TRIM(P28)="", 0, LEN(P28) - LEN(SUBSTITUTE(P28, "&amp;", "")) + 1)</f>
        <v>0</v>
      </c>
      <c r="Y28" s="355">
        <f t="shared" si="1"/>
        <v>0</v>
      </c>
      <c r="Z28" s="352" t="s">
        <v>42</v>
      </c>
      <c r="AA28" s="352"/>
      <c r="AB28" s="353"/>
      <c r="AC28" s="353"/>
      <c r="AD28" s="482"/>
      <c r="AE28" s="487">
        <f t="shared" si="2"/>
        <v>0</v>
      </c>
    </row>
    <row r="29" spans="1:31" ht="38.25" hidden="1" customHeight="1">
      <c r="A29" s="443"/>
      <c r="B29" s="442"/>
      <c r="C29" s="351"/>
      <c r="D29" s="375" t="s">
        <v>116</v>
      </c>
      <c r="E29" s="351" t="s">
        <v>117</v>
      </c>
      <c r="F29" s="351"/>
      <c r="G29" s="349" t="s">
        <v>99</v>
      </c>
      <c r="H29" s="350" t="s">
        <v>118</v>
      </c>
      <c r="I29" s="350"/>
      <c r="J29" s="350"/>
      <c r="K29" s="349"/>
      <c r="L29" s="348"/>
      <c r="M29" s="348"/>
      <c r="N29" s="359"/>
      <c r="O29" s="359"/>
      <c r="P29" s="349"/>
      <c r="Q29" s="349"/>
      <c r="R29" s="352"/>
      <c r="S29" s="352"/>
      <c r="T29" s="355">
        <f>$S29*DE_Cost!$B$1*8</f>
        <v>0</v>
      </c>
      <c r="U29" s="355">
        <f>$S29*DE_Cost!$B$1</f>
        <v>0</v>
      </c>
      <c r="V29" s="355"/>
      <c r="W29" s="355"/>
      <c r="X29" s="355">
        <f t="shared" si="3"/>
        <v>0</v>
      </c>
      <c r="Y29" s="355">
        <f t="shared" si="1"/>
        <v>0</v>
      </c>
      <c r="Z29" s="352" t="s">
        <v>42</v>
      </c>
      <c r="AA29" s="352"/>
      <c r="AB29" s="353"/>
      <c r="AC29" s="353"/>
      <c r="AD29" s="482"/>
      <c r="AE29" s="487">
        <f t="shared" si="2"/>
        <v>0</v>
      </c>
    </row>
    <row r="30" spans="1:31" ht="38.25" hidden="1" customHeight="1">
      <c r="A30" s="443"/>
      <c r="B30" s="375"/>
      <c r="C30" s="351"/>
      <c r="D30" s="351" t="s">
        <v>119</v>
      </c>
      <c r="E30" s="351" t="s">
        <v>120</v>
      </c>
      <c r="F30" s="351"/>
      <c r="G30" s="349" t="s">
        <v>99</v>
      </c>
      <c r="H30" s="350" t="s">
        <v>121</v>
      </c>
      <c r="I30" s="350"/>
      <c r="J30" s="350"/>
      <c r="K30" s="349"/>
      <c r="L30" s="348"/>
      <c r="M30" s="348"/>
      <c r="N30" s="359"/>
      <c r="O30" s="359"/>
      <c r="P30" s="349"/>
      <c r="Q30" s="349"/>
      <c r="R30" s="352"/>
      <c r="S30" s="352"/>
      <c r="T30" s="355">
        <f>$S30*DE_Cost!$B$1*8</f>
        <v>0</v>
      </c>
      <c r="U30" s="355">
        <f>$S30*DE_Cost!$B$1</f>
        <v>0</v>
      </c>
      <c r="V30" s="355"/>
      <c r="W30" s="355"/>
      <c r="X30" s="355">
        <f t="shared" si="3"/>
        <v>0</v>
      </c>
      <c r="Y30" s="355">
        <f t="shared" si="1"/>
        <v>0</v>
      </c>
      <c r="Z30" s="352" t="s">
        <v>42</v>
      </c>
      <c r="AA30" s="352"/>
      <c r="AB30" s="353"/>
      <c r="AC30" s="353"/>
      <c r="AD30" s="482"/>
      <c r="AE30" s="487">
        <f t="shared" si="2"/>
        <v>0</v>
      </c>
    </row>
    <row r="31" spans="1:31" ht="38.25" hidden="1" customHeight="1">
      <c r="A31" s="443"/>
      <c r="B31" s="442"/>
      <c r="C31" s="351" t="s">
        <v>122</v>
      </c>
      <c r="D31" s="375" t="s">
        <v>123</v>
      </c>
      <c r="E31" s="351" t="s">
        <v>124</v>
      </c>
      <c r="F31" s="351"/>
      <c r="G31" s="349" t="s">
        <v>125</v>
      </c>
      <c r="H31" s="350" t="s">
        <v>126</v>
      </c>
      <c r="I31" s="350"/>
      <c r="J31" s="350"/>
      <c r="K31" s="349"/>
      <c r="L31" s="348"/>
      <c r="M31" s="348"/>
      <c r="N31" s="359"/>
      <c r="O31" s="359"/>
      <c r="P31" s="349"/>
      <c r="Q31" s="349"/>
      <c r="R31" s="352"/>
      <c r="S31" s="352"/>
      <c r="T31" s="355">
        <f>$S31*DE_Cost!$B$1*8</f>
        <v>0</v>
      </c>
      <c r="U31" s="355">
        <f>$S31*DE_Cost!$B$1</f>
        <v>0</v>
      </c>
      <c r="V31" s="355"/>
      <c r="W31" s="355"/>
      <c r="X31" s="355">
        <f t="shared" si="3"/>
        <v>0</v>
      </c>
      <c r="Y31" s="355">
        <f t="shared" si="1"/>
        <v>0</v>
      </c>
      <c r="Z31" s="352" t="s">
        <v>42</v>
      </c>
      <c r="AA31" s="352"/>
      <c r="AB31" s="353"/>
      <c r="AC31" s="353"/>
      <c r="AD31" s="482"/>
      <c r="AE31" s="487">
        <f t="shared" si="2"/>
        <v>0</v>
      </c>
    </row>
    <row r="32" spans="1:31" ht="38.25" hidden="1" customHeight="1">
      <c r="A32" s="443"/>
      <c r="B32" s="442"/>
      <c r="C32" s="351" t="s">
        <v>127</v>
      </c>
      <c r="D32" s="375" t="s">
        <v>128</v>
      </c>
      <c r="E32" s="351" t="s">
        <v>129</v>
      </c>
      <c r="F32" s="351"/>
      <c r="G32" s="349" t="s">
        <v>130</v>
      </c>
      <c r="H32" s="350" t="s">
        <v>131</v>
      </c>
      <c r="I32" s="350"/>
      <c r="J32" s="350"/>
      <c r="K32" s="349"/>
      <c r="L32" s="348"/>
      <c r="M32" s="348"/>
      <c r="N32" s="359"/>
      <c r="O32" s="359"/>
      <c r="P32" s="349"/>
      <c r="Q32" s="349"/>
      <c r="R32" s="352"/>
      <c r="S32" s="352"/>
      <c r="T32" s="355">
        <f>$S32*DE_Cost!$B$1*8</f>
        <v>0</v>
      </c>
      <c r="U32" s="355">
        <f>$S32*DE_Cost!$B$1</f>
        <v>0</v>
      </c>
      <c r="V32" s="355"/>
      <c r="W32" s="355"/>
      <c r="X32" s="355">
        <f t="shared" si="3"/>
        <v>0</v>
      </c>
      <c r="Y32" s="355">
        <f t="shared" si="1"/>
        <v>0</v>
      </c>
      <c r="Z32" s="352" t="s">
        <v>42</v>
      </c>
      <c r="AA32" s="352"/>
      <c r="AB32" s="353"/>
      <c r="AC32" s="353"/>
      <c r="AD32" s="482"/>
      <c r="AE32" s="487">
        <f t="shared" si="2"/>
        <v>0</v>
      </c>
    </row>
    <row r="33" spans="1:31" ht="38.25" hidden="1" customHeight="1" thickBot="1">
      <c r="A33" s="364"/>
      <c r="B33" s="363"/>
      <c r="C33" s="350"/>
      <c r="D33" s="439" t="s">
        <v>132</v>
      </c>
      <c r="E33" s="438" t="s">
        <v>133</v>
      </c>
      <c r="F33" s="383"/>
      <c r="G33" s="349" t="s">
        <v>130</v>
      </c>
      <c r="H33" s="350" t="s">
        <v>134</v>
      </c>
      <c r="I33" s="350"/>
      <c r="J33" s="350"/>
      <c r="K33" s="349"/>
      <c r="L33" s="348"/>
      <c r="M33" s="348"/>
      <c r="N33" s="359"/>
      <c r="O33" s="359"/>
      <c r="P33" s="349"/>
      <c r="Q33" s="349"/>
      <c r="R33" s="352"/>
      <c r="S33" s="352"/>
      <c r="T33" s="355">
        <f>$S33*DE_Cost!$B$1*8</f>
        <v>0</v>
      </c>
      <c r="U33" s="355">
        <f>$S33*DE_Cost!$B$1</f>
        <v>0</v>
      </c>
      <c r="V33" s="355"/>
      <c r="W33" s="355"/>
      <c r="X33" s="355">
        <f t="shared" si="3"/>
        <v>0</v>
      </c>
      <c r="Y33" s="355">
        <f t="shared" si="1"/>
        <v>0</v>
      </c>
      <c r="Z33" s="352" t="s">
        <v>42</v>
      </c>
      <c r="AA33" s="352"/>
      <c r="AB33" s="353"/>
      <c r="AC33" s="353"/>
      <c r="AD33" s="482"/>
      <c r="AE33" s="487">
        <f t="shared" si="2"/>
        <v>0</v>
      </c>
    </row>
    <row r="34" spans="1:31" ht="326" hidden="1" customHeight="1" thickBot="1">
      <c r="A34" s="441"/>
      <c r="B34" s="440"/>
      <c r="C34" s="438"/>
      <c r="D34" s="439" t="s">
        <v>135</v>
      </c>
      <c r="E34" s="438" t="s">
        <v>136</v>
      </c>
      <c r="F34" s="437"/>
      <c r="G34" s="435" t="s">
        <v>137</v>
      </c>
      <c r="H34" s="436" t="s">
        <v>138</v>
      </c>
      <c r="I34" s="436"/>
      <c r="J34" s="436"/>
      <c r="K34" s="435" t="s">
        <v>139</v>
      </c>
      <c r="L34" s="434"/>
      <c r="M34" s="434"/>
      <c r="N34" s="359"/>
      <c r="O34" s="359"/>
      <c r="P34" s="349"/>
      <c r="Q34" s="349"/>
      <c r="R34" s="352"/>
      <c r="S34" s="352"/>
      <c r="T34" s="355">
        <f>$S34*DE_Cost!$B$1*8</f>
        <v>0</v>
      </c>
      <c r="U34" s="355">
        <f>$S34*DE_Cost!$B$1</f>
        <v>0</v>
      </c>
      <c r="V34" s="355"/>
      <c r="W34" s="355"/>
      <c r="X34" s="355">
        <f t="shared" si="3"/>
        <v>0</v>
      </c>
      <c r="Y34" s="355">
        <f>S34 * X34</f>
        <v>0</v>
      </c>
      <c r="Z34" s="352" t="s">
        <v>42</v>
      </c>
      <c r="AA34" s="352"/>
      <c r="AB34" s="353"/>
      <c r="AC34" s="353"/>
      <c r="AD34" s="482"/>
      <c r="AE34" s="487">
        <f t="shared" si="2"/>
        <v>0</v>
      </c>
    </row>
    <row r="35" spans="1:31" ht="109" thickBot="1">
      <c r="A35" s="405" t="s">
        <v>140</v>
      </c>
      <c r="B35" s="404" t="s">
        <v>141</v>
      </c>
      <c r="C35" s="406" t="s">
        <v>142</v>
      </c>
      <c r="D35" s="433" t="s">
        <v>143</v>
      </c>
      <c r="E35" s="406" t="s">
        <v>144</v>
      </c>
      <c r="F35" s="406" t="s">
        <v>145</v>
      </c>
      <c r="G35" s="432"/>
      <c r="H35" s="379" t="s">
        <v>146</v>
      </c>
      <c r="I35" s="406" t="s">
        <v>147</v>
      </c>
      <c r="J35" s="379"/>
      <c r="K35" s="349"/>
      <c r="L35" s="377"/>
      <c r="M35" s="377"/>
      <c r="N35" s="354" t="s">
        <v>148</v>
      </c>
      <c r="O35" s="354" t="s">
        <v>149</v>
      </c>
      <c r="P35" s="352" t="s">
        <v>2594</v>
      </c>
      <c r="Q35" s="352"/>
      <c r="R35" s="352"/>
      <c r="S35" s="352">
        <v>5</v>
      </c>
      <c r="T35" s="355">
        <f>$S35*DE_Cost!$B$1*8</f>
        <v>48</v>
      </c>
      <c r="U35" s="355">
        <f>$S35*DE_Cost!$B$1</f>
        <v>6</v>
      </c>
      <c r="V35" s="355">
        <v>0</v>
      </c>
      <c r="W35" s="355">
        <v>0</v>
      </c>
      <c r="X35" s="355">
        <f t="shared" si="3"/>
        <v>6</v>
      </c>
      <c r="Y35" s="355">
        <f>S35 * X35</f>
        <v>30</v>
      </c>
      <c r="Z35" s="352" t="s">
        <v>150</v>
      </c>
      <c r="AA35" s="352" t="s">
        <v>151</v>
      </c>
      <c r="AB35" s="353"/>
      <c r="AC35" s="353"/>
      <c r="AD35" s="474"/>
      <c r="AE35" s="487">
        <f>(Y35 / $AE$2) * $AC$2</f>
        <v>10968.132897279618</v>
      </c>
    </row>
    <row r="36" spans="1:31" ht="72">
      <c r="A36" s="405" t="s">
        <v>140</v>
      </c>
      <c r="B36" s="404" t="s">
        <v>141</v>
      </c>
      <c r="C36" s="406" t="s">
        <v>142</v>
      </c>
      <c r="D36" s="357" t="s">
        <v>152</v>
      </c>
      <c r="E36" s="357" t="s">
        <v>153</v>
      </c>
      <c r="F36" s="357"/>
      <c r="G36" s="349"/>
      <c r="H36" s="350" t="s">
        <v>154</v>
      </c>
      <c r="I36" s="357"/>
      <c r="J36" s="350"/>
      <c r="K36" s="349"/>
      <c r="L36" s="348"/>
      <c r="M36" s="348"/>
      <c r="N36" s="354" t="s">
        <v>155</v>
      </c>
      <c r="O36" s="354" t="s">
        <v>156</v>
      </c>
      <c r="P36" s="352" t="s">
        <v>2594</v>
      </c>
      <c r="Q36" s="352"/>
      <c r="R36" s="352"/>
      <c r="S36" s="352">
        <v>2</v>
      </c>
      <c r="T36" s="355">
        <f>$S36*DE_Cost!$B$1*8</f>
        <v>19.2</v>
      </c>
      <c r="U36" s="355">
        <f>$S36*DE_Cost!$B$1</f>
        <v>2.4</v>
      </c>
      <c r="V36" s="355">
        <v>0</v>
      </c>
      <c r="W36" s="355">
        <v>0</v>
      </c>
      <c r="X36" s="355">
        <f t="shared" si="3"/>
        <v>6</v>
      </c>
      <c r="Y36" s="355">
        <f>S36 * X36</f>
        <v>12</v>
      </c>
      <c r="Z36" s="352" t="s">
        <v>42</v>
      </c>
      <c r="AA36" s="352"/>
      <c r="AB36" s="353"/>
      <c r="AC36" s="353"/>
      <c r="AD36" s="474"/>
      <c r="AE36" s="487">
        <f>(Y36 / $AE$2) * $AC$2</f>
        <v>4387.2531589118471</v>
      </c>
    </row>
    <row r="37" spans="1:31" ht="144">
      <c r="A37" s="405" t="s">
        <v>140</v>
      </c>
      <c r="B37" s="404" t="s">
        <v>141</v>
      </c>
      <c r="C37" s="406" t="s">
        <v>142</v>
      </c>
      <c r="D37" s="357" t="s">
        <v>157</v>
      </c>
      <c r="E37" s="357" t="s">
        <v>158</v>
      </c>
      <c r="F37" s="357" t="s">
        <v>159</v>
      </c>
      <c r="G37" s="349"/>
      <c r="H37" s="350" t="s">
        <v>160</v>
      </c>
      <c r="I37" s="357" t="s">
        <v>161</v>
      </c>
      <c r="J37" s="350"/>
      <c r="K37" s="349"/>
      <c r="L37" s="348"/>
      <c r="M37" s="348"/>
      <c r="N37" s="354" t="s">
        <v>162</v>
      </c>
      <c r="O37" s="354" t="s">
        <v>163</v>
      </c>
      <c r="P37" s="352" t="s">
        <v>2595</v>
      </c>
      <c r="Q37" s="352"/>
      <c r="R37" s="352"/>
      <c r="S37" s="352">
        <v>2</v>
      </c>
      <c r="T37" s="355">
        <f>$S37*DE_Cost!$B$1*8</f>
        <v>19.2</v>
      </c>
      <c r="U37" s="355">
        <f>$S37*DE_Cost!$B$1</f>
        <v>2.4</v>
      </c>
      <c r="V37" s="355">
        <v>0</v>
      </c>
      <c r="W37" s="355">
        <v>0</v>
      </c>
      <c r="X37" s="355">
        <f t="shared" ref="X37:X100" si="4">IF(TRIM(P37)="", 0, LEN(P37) - LEN(SUBSTITUTE(P37, "&amp;", "")) + 1)</f>
        <v>7</v>
      </c>
      <c r="Y37" s="355">
        <f>S37 * X37</f>
        <v>14</v>
      </c>
      <c r="Z37" s="352" t="s">
        <v>42</v>
      </c>
      <c r="AA37" s="352"/>
      <c r="AB37" s="353"/>
      <c r="AC37" s="353"/>
      <c r="AD37" s="474"/>
      <c r="AE37" s="487">
        <f>(Y37 / $AE$2) * $AC$2</f>
        <v>5118.462018730489</v>
      </c>
    </row>
    <row r="38" spans="1:31" ht="79" customHeight="1">
      <c r="A38" s="405" t="s">
        <v>140</v>
      </c>
      <c r="B38" s="404" t="s">
        <v>141</v>
      </c>
      <c r="C38" s="406" t="s">
        <v>142</v>
      </c>
      <c r="D38" s="357" t="s">
        <v>165</v>
      </c>
      <c r="E38" s="357" t="s">
        <v>166</v>
      </c>
      <c r="F38" s="357" t="s">
        <v>167</v>
      </c>
      <c r="G38" s="349"/>
      <c r="H38" s="350" t="s">
        <v>168</v>
      </c>
      <c r="I38" s="357" t="s">
        <v>169</v>
      </c>
      <c r="J38" s="350"/>
      <c r="K38" s="349"/>
      <c r="L38" s="348"/>
      <c r="M38" s="348"/>
      <c r="N38" s="354" t="s">
        <v>170</v>
      </c>
      <c r="O38" s="354" t="s">
        <v>2572</v>
      </c>
      <c r="P38" s="352" t="s">
        <v>2595</v>
      </c>
      <c r="Q38" s="352"/>
      <c r="R38" s="352"/>
      <c r="S38" s="352">
        <v>5</v>
      </c>
      <c r="T38" s="355">
        <f>$S38*DE_Cost!$B$1*8</f>
        <v>48</v>
      </c>
      <c r="U38" s="355">
        <f>$S38*DE_Cost!$B$1</f>
        <v>6</v>
      </c>
      <c r="V38" s="355">
        <v>0</v>
      </c>
      <c r="W38" s="355">
        <v>0</v>
      </c>
      <c r="X38" s="355">
        <f t="shared" si="4"/>
        <v>7</v>
      </c>
      <c r="Y38" s="355">
        <f t="shared" ref="Y38:Y101" si="5">S38 * X38</f>
        <v>35</v>
      </c>
      <c r="Z38" s="352" t="s">
        <v>42</v>
      </c>
      <c r="AA38" s="352"/>
      <c r="AB38" s="353"/>
      <c r="AC38" s="353"/>
      <c r="AD38" s="474"/>
      <c r="AE38" s="487">
        <f t="shared" ref="AE38:AE101" si="6">(Y38 / $AE$2) * $AC$2</f>
        <v>12796.155046826223</v>
      </c>
    </row>
    <row r="39" spans="1:31" ht="108">
      <c r="A39" s="405" t="s">
        <v>140</v>
      </c>
      <c r="B39" s="404" t="s">
        <v>141</v>
      </c>
      <c r="C39" s="406" t="s">
        <v>142</v>
      </c>
      <c r="D39" s="357" t="s">
        <v>172</v>
      </c>
      <c r="E39" s="357" t="s">
        <v>173</v>
      </c>
      <c r="F39" s="357" t="s">
        <v>174</v>
      </c>
      <c r="G39" s="349"/>
      <c r="H39" s="350" t="s">
        <v>175</v>
      </c>
      <c r="I39" s="357" t="s">
        <v>176</v>
      </c>
      <c r="J39" s="350"/>
      <c r="K39" s="349"/>
      <c r="L39" s="348"/>
      <c r="M39" s="348"/>
      <c r="N39" s="354" t="s">
        <v>177</v>
      </c>
      <c r="O39" s="354" t="s">
        <v>178</v>
      </c>
      <c r="P39" s="352" t="s">
        <v>2594</v>
      </c>
      <c r="Q39" s="352"/>
      <c r="R39" s="352"/>
      <c r="S39" s="352">
        <v>2</v>
      </c>
      <c r="T39" s="355">
        <f>$S39*DE_Cost!$B$1*8</f>
        <v>19.2</v>
      </c>
      <c r="U39" s="355">
        <f>$S39*DE_Cost!$B$1</f>
        <v>2.4</v>
      </c>
      <c r="V39" s="355">
        <v>0</v>
      </c>
      <c r="W39" s="355">
        <v>0</v>
      </c>
      <c r="X39" s="355">
        <f t="shared" si="4"/>
        <v>6</v>
      </c>
      <c r="Y39" s="355">
        <f t="shared" si="5"/>
        <v>12</v>
      </c>
      <c r="Z39" s="352" t="s">
        <v>42</v>
      </c>
      <c r="AA39" s="352"/>
      <c r="AB39" s="353"/>
      <c r="AC39" s="353"/>
      <c r="AD39" s="474"/>
      <c r="AE39" s="487">
        <f t="shared" si="6"/>
        <v>4387.2531589118471</v>
      </c>
    </row>
    <row r="40" spans="1:31" ht="90">
      <c r="A40" s="405" t="s">
        <v>140</v>
      </c>
      <c r="B40" s="404" t="s">
        <v>141</v>
      </c>
      <c r="C40" s="406" t="s">
        <v>142</v>
      </c>
      <c r="D40" s="351" t="s">
        <v>179</v>
      </c>
      <c r="E40" s="351" t="s">
        <v>180</v>
      </c>
      <c r="F40" s="351" t="s">
        <v>181</v>
      </c>
      <c r="G40" s="349"/>
      <c r="H40" s="350" t="s">
        <v>182</v>
      </c>
      <c r="I40" s="351" t="s">
        <v>183</v>
      </c>
      <c r="J40" s="350"/>
      <c r="K40" s="349"/>
      <c r="L40" s="348"/>
      <c r="M40" s="348"/>
      <c r="N40" s="354" t="s">
        <v>148</v>
      </c>
      <c r="O40" s="354" t="s">
        <v>184</v>
      </c>
      <c r="P40" s="352" t="s">
        <v>2594</v>
      </c>
      <c r="Q40" s="352"/>
      <c r="R40" s="352"/>
      <c r="S40" s="352">
        <v>5</v>
      </c>
      <c r="T40" s="355">
        <f>$S40*DE_Cost!$B$1*8</f>
        <v>48</v>
      </c>
      <c r="U40" s="355">
        <f>$S40*DE_Cost!$B$1</f>
        <v>6</v>
      </c>
      <c r="V40" s="355">
        <v>0</v>
      </c>
      <c r="W40" s="355">
        <v>0</v>
      </c>
      <c r="X40" s="355">
        <f t="shared" si="4"/>
        <v>6</v>
      </c>
      <c r="Y40" s="355">
        <f t="shared" si="5"/>
        <v>30</v>
      </c>
      <c r="Z40" s="352" t="s">
        <v>150</v>
      </c>
      <c r="AA40" s="352" t="s">
        <v>185</v>
      </c>
      <c r="AB40" s="353"/>
      <c r="AC40" s="353"/>
      <c r="AD40" s="474"/>
      <c r="AE40" s="487">
        <f t="shared" si="6"/>
        <v>10968.132897279618</v>
      </c>
    </row>
    <row r="41" spans="1:31" ht="90">
      <c r="A41" s="405" t="s">
        <v>140</v>
      </c>
      <c r="B41" s="404" t="s">
        <v>141</v>
      </c>
      <c r="C41" s="406" t="s">
        <v>142</v>
      </c>
      <c r="D41" s="351" t="s">
        <v>186</v>
      </c>
      <c r="E41" s="351" t="s">
        <v>187</v>
      </c>
      <c r="F41" s="351" t="s">
        <v>188</v>
      </c>
      <c r="G41" s="387"/>
      <c r="H41" s="350" t="s">
        <v>189</v>
      </c>
      <c r="I41" s="351" t="s">
        <v>190</v>
      </c>
      <c r="J41" s="350"/>
      <c r="K41" s="349"/>
      <c r="L41" s="348"/>
      <c r="M41" s="348"/>
      <c r="N41" s="354" t="s">
        <v>191</v>
      </c>
      <c r="O41" s="354" t="s">
        <v>192</v>
      </c>
      <c r="P41" s="352" t="s">
        <v>2595</v>
      </c>
      <c r="Q41" s="352"/>
      <c r="R41" s="352"/>
      <c r="S41" s="352">
        <v>3</v>
      </c>
      <c r="T41" s="355">
        <f>$S41*DE_Cost!$B$1*8</f>
        <v>28.799999999999997</v>
      </c>
      <c r="U41" s="355">
        <f>$S41*DE_Cost!$B$1</f>
        <v>3.5999999999999996</v>
      </c>
      <c r="V41" s="355">
        <v>0</v>
      </c>
      <c r="W41" s="355">
        <v>0</v>
      </c>
      <c r="X41" s="355">
        <f t="shared" si="4"/>
        <v>7</v>
      </c>
      <c r="Y41" s="355">
        <f t="shared" si="5"/>
        <v>21</v>
      </c>
      <c r="Z41" s="352" t="s">
        <v>42</v>
      </c>
      <c r="AA41" s="352"/>
      <c r="AB41" s="353"/>
      <c r="AC41" s="353"/>
      <c r="AD41" s="474"/>
      <c r="AE41" s="487">
        <f t="shared" si="6"/>
        <v>7677.693028095734</v>
      </c>
    </row>
    <row r="42" spans="1:31" ht="90">
      <c r="A42" s="405" t="s">
        <v>140</v>
      </c>
      <c r="B42" s="404" t="s">
        <v>141</v>
      </c>
      <c r="C42" s="406" t="s">
        <v>142</v>
      </c>
      <c r="D42" s="351" t="s">
        <v>193</v>
      </c>
      <c r="E42" s="351" t="s">
        <v>194</v>
      </c>
      <c r="F42" s="351" t="s">
        <v>195</v>
      </c>
      <c r="G42" s="387"/>
      <c r="H42" s="350" t="s">
        <v>196</v>
      </c>
      <c r="I42" s="351" t="s">
        <v>197</v>
      </c>
      <c r="J42" s="350"/>
      <c r="K42" s="349"/>
      <c r="L42" s="348"/>
      <c r="M42" s="348"/>
      <c r="N42" s="354" t="s">
        <v>198</v>
      </c>
      <c r="O42" s="354" t="s">
        <v>199</v>
      </c>
      <c r="P42" s="352" t="s">
        <v>2594</v>
      </c>
      <c r="Q42" s="352"/>
      <c r="R42" s="352"/>
      <c r="S42" s="352">
        <v>2</v>
      </c>
      <c r="T42" s="355">
        <f>$S42*DE_Cost!$B$1*8</f>
        <v>19.2</v>
      </c>
      <c r="U42" s="355">
        <f>$S42*DE_Cost!$B$1</f>
        <v>2.4</v>
      </c>
      <c r="V42" s="355">
        <v>0</v>
      </c>
      <c r="W42" s="355">
        <v>0</v>
      </c>
      <c r="X42" s="355">
        <f t="shared" si="4"/>
        <v>6</v>
      </c>
      <c r="Y42" s="355">
        <f t="shared" si="5"/>
        <v>12</v>
      </c>
      <c r="Z42" s="352" t="s">
        <v>42</v>
      </c>
      <c r="AA42" s="352"/>
      <c r="AB42" s="353"/>
      <c r="AC42" s="353"/>
      <c r="AD42" s="474"/>
      <c r="AE42" s="487">
        <f t="shared" si="6"/>
        <v>4387.2531589118471</v>
      </c>
    </row>
    <row r="43" spans="1:31" ht="108">
      <c r="A43" s="405" t="s">
        <v>140</v>
      </c>
      <c r="B43" s="404" t="s">
        <v>141</v>
      </c>
      <c r="C43" s="406" t="s">
        <v>142</v>
      </c>
      <c r="D43" s="351" t="s">
        <v>200</v>
      </c>
      <c r="E43" s="351" t="s">
        <v>201</v>
      </c>
      <c r="F43" s="351" t="s">
        <v>202</v>
      </c>
      <c r="G43" s="349"/>
      <c r="H43" s="350" t="s">
        <v>203</v>
      </c>
      <c r="I43" s="351" t="s">
        <v>204</v>
      </c>
      <c r="J43" s="350"/>
      <c r="K43" s="349"/>
      <c r="L43" s="348"/>
      <c r="M43" s="348"/>
      <c r="N43" s="354" t="s">
        <v>205</v>
      </c>
      <c r="O43" s="354" t="s">
        <v>206</v>
      </c>
      <c r="P43" s="352" t="s">
        <v>2595</v>
      </c>
      <c r="Q43" s="352"/>
      <c r="R43" s="352"/>
      <c r="S43" s="352">
        <v>2</v>
      </c>
      <c r="T43" s="355">
        <f>$S43*DE_Cost!$B$1*8</f>
        <v>19.2</v>
      </c>
      <c r="U43" s="355">
        <f>$S43*DE_Cost!$B$1</f>
        <v>2.4</v>
      </c>
      <c r="V43" s="355">
        <v>0</v>
      </c>
      <c r="W43" s="355">
        <v>0</v>
      </c>
      <c r="X43" s="355">
        <f t="shared" si="4"/>
        <v>7</v>
      </c>
      <c r="Y43" s="355">
        <f t="shared" si="5"/>
        <v>14</v>
      </c>
      <c r="Z43" s="352" t="s">
        <v>42</v>
      </c>
      <c r="AA43" s="352"/>
      <c r="AB43" s="353"/>
      <c r="AC43" s="353"/>
      <c r="AD43" s="474"/>
      <c r="AE43" s="487">
        <f t="shared" si="6"/>
        <v>5118.462018730489</v>
      </c>
    </row>
    <row r="44" spans="1:31" ht="108">
      <c r="A44" s="405" t="s">
        <v>140</v>
      </c>
      <c r="B44" s="404" t="s">
        <v>141</v>
      </c>
      <c r="C44" s="406" t="s">
        <v>142</v>
      </c>
      <c r="D44" s="357" t="s">
        <v>207</v>
      </c>
      <c r="E44" s="357" t="s">
        <v>208</v>
      </c>
      <c r="F44" s="357" t="s">
        <v>209</v>
      </c>
      <c r="G44" s="349"/>
      <c r="H44" s="350" t="s">
        <v>210</v>
      </c>
      <c r="I44" s="357" t="s">
        <v>211</v>
      </c>
      <c r="J44" s="350"/>
      <c r="K44" s="349"/>
      <c r="L44" s="348"/>
      <c r="M44" s="348"/>
      <c r="N44" s="354" t="s">
        <v>212</v>
      </c>
      <c r="O44" s="354" t="s">
        <v>2573</v>
      </c>
      <c r="P44" s="352" t="s">
        <v>2595</v>
      </c>
      <c r="Q44" s="352"/>
      <c r="R44" s="352"/>
      <c r="S44" s="352">
        <v>2</v>
      </c>
      <c r="T44" s="355">
        <f>$S44*DE_Cost!$B$1*8</f>
        <v>19.2</v>
      </c>
      <c r="U44" s="355">
        <f>$S44*DE_Cost!$B$1</f>
        <v>2.4</v>
      </c>
      <c r="V44" s="355">
        <v>0</v>
      </c>
      <c r="W44" s="355">
        <v>0</v>
      </c>
      <c r="X44" s="355">
        <f t="shared" si="4"/>
        <v>7</v>
      </c>
      <c r="Y44" s="355">
        <f t="shared" si="5"/>
        <v>14</v>
      </c>
      <c r="Z44" s="352" t="s">
        <v>42</v>
      </c>
      <c r="AA44" s="352"/>
      <c r="AB44" s="353"/>
      <c r="AC44" s="353"/>
      <c r="AD44" s="474"/>
      <c r="AE44" s="487">
        <f t="shared" si="6"/>
        <v>5118.462018730489</v>
      </c>
    </row>
    <row r="45" spans="1:31" ht="312" customHeight="1">
      <c r="A45" s="405" t="s">
        <v>140</v>
      </c>
      <c r="B45" s="404" t="s">
        <v>141</v>
      </c>
      <c r="C45" s="406" t="s">
        <v>142</v>
      </c>
      <c r="D45" s="351" t="s">
        <v>214</v>
      </c>
      <c r="E45" s="351" t="s">
        <v>215</v>
      </c>
      <c r="F45" s="351" t="s">
        <v>216</v>
      </c>
      <c r="G45" s="387"/>
      <c r="H45" s="350" t="s">
        <v>217</v>
      </c>
      <c r="I45" s="351" t="s">
        <v>218</v>
      </c>
      <c r="J45" s="350"/>
      <c r="K45" s="349"/>
      <c r="L45" s="348"/>
      <c r="M45" s="348"/>
      <c r="N45" s="354" t="s">
        <v>219</v>
      </c>
      <c r="O45" s="354" t="s">
        <v>220</v>
      </c>
      <c r="P45" s="352" t="s">
        <v>2595</v>
      </c>
      <c r="Q45" s="352" t="s">
        <v>221</v>
      </c>
      <c r="R45" s="352"/>
      <c r="S45" s="352">
        <v>15</v>
      </c>
      <c r="T45" s="355">
        <f>$S45*DE_Cost!$B$1*8</f>
        <v>144</v>
      </c>
      <c r="U45" s="355">
        <f>$S45*DE_Cost!$B$1</f>
        <v>18</v>
      </c>
      <c r="V45" s="355">
        <v>0</v>
      </c>
      <c r="W45" s="355">
        <v>0</v>
      </c>
      <c r="X45" s="355">
        <f t="shared" si="4"/>
        <v>7</v>
      </c>
      <c r="Y45" s="355">
        <f t="shared" si="5"/>
        <v>105</v>
      </c>
      <c r="Z45" s="352" t="s">
        <v>42</v>
      </c>
      <c r="AA45" s="352"/>
      <c r="AB45" s="353"/>
      <c r="AC45" s="353"/>
      <c r="AD45" s="474"/>
      <c r="AE45" s="487">
        <f t="shared" si="6"/>
        <v>38388.465140478671</v>
      </c>
    </row>
    <row r="46" spans="1:31" ht="72">
      <c r="A46" s="405" t="s">
        <v>140</v>
      </c>
      <c r="B46" s="404" t="s">
        <v>141</v>
      </c>
      <c r="C46" s="406" t="s">
        <v>142</v>
      </c>
      <c r="D46" s="351" t="s">
        <v>222</v>
      </c>
      <c r="E46" s="351" t="s">
        <v>223</v>
      </c>
      <c r="F46" s="351" t="s">
        <v>224</v>
      </c>
      <c r="G46" s="349"/>
      <c r="H46" s="350" t="s">
        <v>225</v>
      </c>
      <c r="I46" s="351" t="s">
        <v>226</v>
      </c>
      <c r="J46" s="350"/>
      <c r="K46" s="349"/>
      <c r="L46" s="348"/>
      <c r="M46" s="348"/>
      <c r="N46" s="354" t="s">
        <v>227</v>
      </c>
      <c r="O46" s="354" t="s">
        <v>228</v>
      </c>
      <c r="P46" s="352" t="s">
        <v>2595</v>
      </c>
      <c r="Q46" s="352"/>
      <c r="R46" s="352"/>
      <c r="S46" s="352">
        <v>3</v>
      </c>
      <c r="T46" s="352">
        <f>$S46*DE_Cost!$B$1*8</f>
        <v>28.799999999999997</v>
      </c>
      <c r="U46" s="355">
        <f>$S46*DE_Cost!$B$1</f>
        <v>3.5999999999999996</v>
      </c>
      <c r="V46" s="355">
        <v>0</v>
      </c>
      <c r="W46" s="355">
        <v>0</v>
      </c>
      <c r="X46" s="355">
        <f t="shared" si="4"/>
        <v>7</v>
      </c>
      <c r="Y46" s="355">
        <f t="shared" si="5"/>
        <v>21</v>
      </c>
      <c r="Z46" s="352" t="s">
        <v>42</v>
      </c>
      <c r="AA46" s="352"/>
      <c r="AB46" s="353"/>
      <c r="AC46" s="353"/>
      <c r="AD46" s="474"/>
      <c r="AE46" s="487">
        <f t="shared" si="6"/>
        <v>7677.693028095734</v>
      </c>
    </row>
    <row r="47" spans="1:31" ht="90">
      <c r="A47" s="405" t="s">
        <v>140</v>
      </c>
      <c r="B47" s="404" t="s">
        <v>141</v>
      </c>
      <c r="C47" s="406" t="s">
        <v>142</v>
      </c>
      <c r="D47" s="351" t="s">
        <v>229</v>
      </c>
      <c r="E47" s="351" t="s">
        <v>230</v>
      </c>
      <c r="F47" s="351" t="s">
        <v>231</v>
      </c>
      <c r="G47" s="349"/>
      <c r="H47" s="350" t="s">
        <v>232</v>
      </c>
      <c r="I47" s="351" t="s">
        <v>233</v>
      </c>
      <c r="J47" s="350"/>
      <c r="K47" s="349"/>
      <c r="L47" s="348"/>
      <c r="M47" s="348"/>
      <c r="N47" s="354" t="s">
        <v>234</v>
      </c>
      <c r="O47" s="354" t="s">
        <v>235</v>
      </c>
      <c r="P47" s="352" t="s">
        <v>2595</v>
      </c>
      <c r="Q47" s="352"/>
      <c r="R47" s="352"/>
      <c r="S47" s="352">
        <v>3</v>
      </c>
      <c r="T47" s="352">
        <f>$S47*DE_Cost!$B$1*8</f>
        <v>28.799999999999997</v>
      </c>
      <c r="U47" s="355">
        <f>$S47*DE_Cost!$B$1</f>
        <v>3.5999999999999996</v>
      </c>
      <c r="V47" s="355">
        <v>0</v>
      </c>
      <c r="W47" s="355">
        <v>0</v>
      </c>
      <c r="X47" s="355">
        <f t="shared" si="4"/>
        <v>7</v>
      </c>
      <c r="Y47" s="355">
        <f t="shared" si="5"/>
        <v>21</v>
      </c>
      <c r="Z47" s="352" t="s">
        <v>42</v>
      </c>
      <c r="AA47" s="352"/>
      <c r="AB47" s="353"/>
      <c r="AC47" s="353"/>
      <c r="AD47" s="474"/>
      <c r="AE47" s="487">
        <f t="shared" si="6"/>
        <v>7677.693028095734</v>
      </c>
    </row>
    <row r="48" spans="1:31" ht="231" customHeight="1">
      <c r="A48" s="405" t="s">
        <v>140</v>
      </c>
      <c r="B48" s="404" t="s">
        <v>141</v>
      </c>
      <c r="C48" s="406" t="s">
        <v>142</v>
      </c>
      <c r="D48" s="351" t="s">
        <v>236</v>
      </c>
      <c r="E48" s="351" t="s">
        <v>237</v>
      </c>
      <c r="F48" s="351" t="s">
        <v>238</v>
      </c>
      <c r="G48" s="349" t="s">
        <v>239</v>
      </c>
      <c r="H48" s="350" t="s">
        <v>240</v>
      </c>
      <c r="I48" s="351" t="s">
        <v>241</v>
      </c>
      <c r="J48" s="350"/>
      <c r="K48" s="349"/>
      <c r="L48" s="348"/>
      <c r="M48" s="348"/>
      <c r="N48" s="354" t="s">
        <v>242</v>
      </c>
      <c r="O48" s="354" t="s">
        <v>243</v>
      </c>
      <c r="P48" s="352" t="s">
        <v>2595</v>
      </c>
      <c r="Q48" s="352"/>
      <c r="R48" s="352"/>
      <c r="S48" s="352">
        <v>3</v>
      </c>
      <c r="T48" s="352">
        <f>$S48*DE_Cost!$B$1*8</f>
        <v>28.799999999999997</v>
      </c>
      <c r="U48" s="355">
        <f>$S48*DE_Cost!$B$1</f>
        <v>3.5999999999999996</v>
      </c>
      <c r="V48" s="355">
        <v>0</v>
      </c>
      <c r="W48" s="355">
        <v>0</v>
      </c>
      <c r="X48" s="355">
        <f t="shared" si="4"/>
        <v>7</v>
      </c>
      <c r="Y48" s="355">
        <f t="shared" si="5"/>
        <v>21</v>
      </c>
      <c r="Z48" s="352" t="s">
        <v>42</v>
      </c>
      <c r="AA48" s="352"/>
      <c r="AB48" s="353"/>
      <c r="AC48" s="353"/>
      <c r="AD48" s="474"/>
      <c r="AE48" s="487">
        <f t="shared" si="6"/>
        <v>7677.693028095734</v>
      </c>
    </row>
    <row r="49" spans="1:31" ht="90">
      <c r="A49" s="368" t="s">
        <v>140</v>
      </c>
      <c r="B49" s="367" t="s">
        <v>141</v>
      </c>
      <c r="C49" s="351" t="s">
        <v>142</v>
      </c>
      <c r="D49" s="351" t="s">
        <v>244</v>
      </c>
      <c r="E49" s="431" t="s">
        <v>245</v>
      </c>
      <c r="F49" s="351"/>
      <c r="G49" s="349"/>
      <c r="H49" s="350" t="s">
        <v>246</v>
      </c>
      <c r="I49" s="351"/>
      <c r="J49" s="350"/>
      <c r="K49" s="349"/>
      <c r="L49" s="348"/>
      <c r="M49" s="348"/>
      <c r="N49" s="354" t="s">
        <v>247</v>
      </c>
      <c r="O49" s="354" t="s">
        <v>248</v>
      </c>
      <c r="P49" s="352" t="s">
        <v>2595</v>
      </c>
      <c r="Q49" s="352"/>
      <c r="R49" s="352"/>
      <c r="S49" s="352">
        <v>4</v>
      </c>
      <c r="T49" s="352">
        <f>$S49*DE_Cost!$B$1*8</f>
        <v>38.4</v>
      </c>
      <c r="U49" s="355">
        <f>$S49*DE_Cost!$B$1</f>
        <v>4.8</v>
      </c>
      <c r="V49" s="355">
        <v>0</v>
      </c>
      <c r="W49" s="355">
        <v>0</v>
      </c>
      <c r="X49" s="355">
        <f t="shared" si="4"/>
        <v>7</v>
      </c>
      <c r="Y49" s="355">
        <f t="shared" si="5"/>
        <v>28</v>
      </c>
      <c r="Z49" s="352" t="s">
        <v>42</v>
      </c>
      <c r="AA49" s="352"/>
      <c r="AB49" s="353"/>
      <c r="AC49" s="353"/>
      <c r="AD49" s="474"/>
      <c r="AE49" s="487">
        <f t="shared" si="6"/>
        <v>10236.924037460978</v>
      </c>
    </row>
    <row r="50" spans="1:31" ht="90">
      <c r="A50" s="405" t="s">
        <v>140</v>
      </c>
      <c r="B50" s="404" t="s">
        <v>141</v>
      </c>
      <c r="C50" s="351" t="s">
        <v>2418</v>
      </c>
      <c r="D50" s="357" t="s">
        <v>250</v>
      </c>
      <c r="E50" s="357" t="s">
        <v>2420</v>
      </c>
      <c r="F50" s="357" t="s">
        <v>252</v>
      </c>
      <c r="G50" s="349" t="s">
        <v>253</v>
      </c>
      <c r="H50" s="350" t="s">
        <v>254</v>
      </c>
      <c r="I50" s="357" t="s">
        <v>255</v>
      </c>
      <c r="J50" s="350"/>
      <c r="K50" s="349"/>
      <c r="L50" s="348"/>
      <c r="M50" s="348"/>
      <c r="N50" s="354" t="s">
        <v>256</v>
      </c>
      <c r="O50" s="354" t="s">
        <v>257</v>
      </c>
      <c r="P50" s="352" t="s">
        <v>2597</v>
      </c>
      <c r="Q50" s="352"/>
      <c r="R50" s="352" t="s">
        <v>259</v>
      </c>
      <c r="S50" s="352">
        <v>10</v>
      </c>
      <c r="T50" s="352">
        <f>$S50*DE_Cost!$B$1*8</f>
        <v>96</v>
      </c>
      <c r="U50" s="355">
        <f>$S50*DE_Cost!$B$1</f>
        <v>12</v>
      </c>
      <c r="V50" s="355"/>
      <c r="W50" s="355"/>
      <c r="X50" s="355">
        <f t="shared" si="4"/>
        <v>6</v>
      </c>
      <c r="Y50" s="355">
        <f t="shared" si="5"/>
        <v>60</v>
      </c>
      <c r="Z50" s="352" t="s">
        <v>150</v>
      </c>
      <c r="AA50" s="352" t="s">
        <v>260</v>
      </c>
      <c r="AB50" s="353"/>
      <c r="AC50" s="353"/>
      <c r="AD50" s="482"/>
      <c r="AE50" s="487">
        <f t="shared" si="6"/>
        <v>21936.265794559236</v>
      </c>
    </row>
    <row r="51" spans="1:31" ht="162">
      <c r="A51" s="405" t="s">
        <v>140</v>
      </c>
      <c r="B51" s="404" t="s">
        <v>141</v>
      </c>
      <c r="C51" s="351" t="s">
        <v>249</v>
      </c>
      <c r="D51" s="351" t="s">
        <v>2419</v>
      </c>
      <c r="E51" s="351" t="s">
        <v>262</v>
      </c>
      <c r="F51" s="351" t="s">
        <v>263</v>
      </c>
      <c r="G51" s="349" t="s">
        <v>253</v>
      </c>
      <c r="H51" s="350" t="s">
        <v>264</v>
      </c>
      <c r="I51" s="351" t="s">
        <v>265</v>
      </c>
      <c r="J51" s="350"/>
      <c r="K51" s="349"/>
      <c r="L51" s="348"/>
      <c r="M51" s="348"/>
      <c r="N51" s="354" t="s">
        <v>266</v>
      </c>
      <c r="O51" s="354" t="s">
        <v>267</v>
      </c>
      <c r="P51" s="352" t="s">
        <v>2597</v>
      </c>
      <c r="Q51" s="352"/>
      <c r="R51" s="352" t="s">
        <v>259</v>
      </c>
      <c r="S51" s="352">
        <v>100</v>
      </c>
      <c r="T51" s="352">
        <f>$S51*DE_Cost!$B$1*8</f>
        <v>960</v>
      </c>
      <c r="U51" s="355">
        <f>$S51*DE_Cost!$B$1</f>
        <v>120</v>
      </c>
      <c r="V51" s="355"/>
      <c r="W51" s="355"/>
      <c r="X51" s="355">
        <f t="shared" si="4"/>
        <v>6</v>
      </c>
      <c r="Y51" s="355">
        <f t="shared" si="5"/>
        <v>600</v>
      </c>
      <c r="Z51" s="352" t="s">
        <v>150</v>
      </c>
      <c r="AA51" s="352" t="s">
        <v>260</v>
      </c>
      <c r="AB51" s="353"/>
      <c r="AC51" s="353"/>
      <c r="AD51" s="482"/>
      <c r="AE51" s="487">
        <f t="shared" si="6"/>
        <v>219362.65794559239</v>
      </c>
    </row>
    <row r="52" spans="1:31" ht="409" customHeight="1">
      <c r="A52" s="405" t="s">
        <v>140</v>
      </c>
      <c r="B52" s="404" t="s">
        <v>141</v>
      </c>
      <c r="C52" s="351" t="s">
        <v>249</v>
      </c>
      <c r="D52" s="351" t="s">
        <v>268</v>
      </c>
      <c r="E52" s="351" t="s">
        <v>269</v>
      </c>
      <c r="F52" s="351" t="s">
        <v>270</v>
      </c>
      <c r="G52" s="349" t="s">
        <v>253</v>
      </c>
      <c r="H52" s="350" t="s">
        <v>271</v>
      </c>
      <c r="I52" s="430" t="s">
        <v>272</v>
      </c>
      <c r="J52" s="350"/>
      <c r="K52" s="349"/>
      <c r="L52" s="348"/>
      <c r="M52" s="348"/>
      <c r="N52" s="354" t="s">
        <v>273</v>
      </c>
      <c r="O52" s="354" t="s">
        <v>2574</v>
      </c>
      <c r="P52" s="352" t="s">
        <v>2593</v>
      </c>
      <c r="Q52" s="352"/>
      <c r="R52" s="352"/>
      <c r="S52" s="352">
        <v>15</v>
      </c>
      <c r="T52" s="352">
        <f>$S52*DE_Cost!$B$1*8</f>
        <v>144</v>
      </c>
      <c r="U52" s="355">
        <f>$S52*DE_Cost!$B$1</f>
        <v>18</v>
      </c>
      <c r="V52" s="355"/>
      <c r="W52" s="355"/>
      <c r="X52" s="355">
        <f t="shared" si="4"/>
        <v>6</v>
      </c>
      <c r="Y52" s="355">
        <f t="shared" si="5"/>
        <v>90</v>
      </c>
      <c r="Z52" s="352" t="s">
        <v>150</v>
      </c>
      <c r="AA52" s="352" t="s">
        <v>275</v>
      </c>
      <c r="AB52" s="353"/>
      <c r="AC52" s="353"/>
      <c r="AD52" s="482"/>
      <c r="AE52" s="487">
        <f t="shared" si="6"/>
        <v>32904.398691838862</v>
      </c>
    </row>
    <row r="53" spans="1:31" ht="198">
      <c r="A53" s="405" t="s">
        <v>140</v>
      </c>
      <c r="B53" s="404" t="s">
        <v>141</v>
      </c>
      <c r="C53" s="351" t="s">
        <v>276</v>
      </c>
      <c r="D53" s="357" t="s">
        <v>277</v>
      </c>
      <c r="E53" s="357" t="s">
        <v>278</v>
      </c>
      <c r="F53" s="357" t="s">
        <v>279</v>
      </c>
      <c r="G53" s="349" t="s">
        <v>174</v>
      </c>
      <c r="H53" s="350" t="s">
        <v>280</v>
      </c>
      <c r="I53" s="357" t="s">
        <v>281</v>
      </c>
      <c r="J53" s="350" t="s">
        <v>282</v>
      </c>
      <c r="K53" s="349" t="s">
        <v>283</v>
      </c>
      <c r="L53" s="348"/>
      <c r="M53" s="348"/>
      <c r="N53" s="354" t="s">
        <v>284</v>
      </c>
      <c r="O53" s="354" t="s">
        <v>285</v>
      </c>
      <c r="P53" s="352" t="s">
        <v>2597</v>
      </c>
      <c r="Q53" s="352"/>
      <c r="R53" s="352"/>
      <c r="S53" s="352">
        <v>15</v>
      </c>
      <c r="T53" s="352">
        <f>$S53*DE_Cost!$B$1*8</f>
        <v>144</v>
      </c>
      <c r="U53" s="355">
        <f>$S53*DE_Cost!$B$1</f>
        <v>18</v>
      </c>
      <c r="V53" s="355"/>
      <c r="W53" s="355"/>
      <c r="X53" s="355">
        <f t="shared" si="4"/>
        <v>6</v>
      </c>
      <c r="Y53" s="355">
        <f t="shared" si="5"/>
        <v>90</v>
      </c>
      <c r="Z53" s="352" t="s">
        <v>42</v>
      </c>
      <c r="AA53" s="352"/>
      <c r="AB53" s="353"/>
      <c r="AC53" s="353"/>
      <c r="AD53" s="482"/>
      <c r="AE53" s="487">
        <f t="shared" si="6"/>
        <v>32904.398691838862</v>
      </c>
    </row>
    <row r="54" spans="1:31" ht="409.6">
      <c r="A54" s="429" t="s">
        <v>140</v>
      </c>
      <c r="B54" s="428" t="s">
        <v>141</v>
      </c>
      <c r="C54" s="350" t="s">
        <v>276</v>
      </c>
      <c r="D54" s="351" t="s">
        <v>287</v>
      </c>
      <c r="E54" s="351" t="s">
        <v>288</v>
      </c>
      <c r="F54" s="351" t="s">
        <v>289</v>
      </c>
      <c r="G54" s="349" t="s">
        <v>174</v>
      </c>
      <c r="H54" s="350" t="s">
        <v>290</v>
      </c>
      <c r="I54" s="351" t="s">
        <v>291</v>
      </c>
      <c r="J54" s="350" t="s">
        <v>292</v>
      </c>
      <c r="K54" s="349" t="s">
        <v>283</v>
      </c>
      <c r="L54" s="348"/>
      <c r="M54" s="348"/>
      <c r="N54" s="354" t="s">
        <v>293</v>
      </c>
      <c r="O54" s="354" t="s">
        <v>294</v>
      </c>
      <c r="P54" s="352" t="s">
        <v>2597</v>
      </c>
      <c r="Q54" s="352"/>
      <c r="R54" s="352"/>
      <c r="S54" s="352">
        <v>15</v>
      </c>
      <c r="T54" s="352">
        <f>$S54*DE_Cost!$B$1*8</f>
        <v>144</v>
      </c>
      <c r="U54" s="355">
        <f>$S54*DE_Cost!$B$1</f>
        <v>18</v>
      </c>
      <c r="V54" s="355"/>
      <c r="W54" s="355"/>
      <c r="X54" s="355">
        <f t="shared" si="4"/>
        <v>6</v>
      </c>
      <c r="Y54" s="355">
        <f t="shared" si="5"/>
        <v>90</v>
      </c>
      <c r="Z54" s="352" t="s">
        <v>42</v>
      </c>
      <c r="AA54" s="352"/>
      <c r="AB54" s="353"/>
      <c r="AC54" s="353"/>
      <c r="AD54" s="482"/>
      <c r="AE54" s="487">
        <f t="shared" si="6"/>
        <v>32904.398691838862</v>
      </c>
    </row>
    <row r="55" spans="1:31" ht="108">
      <c r="A55" s="429" t="s">
        <v>140</v>
      </c>
      <c r="B55" s="428" t="s">
        <v>141</v>
      </c>
      <c r="C55" s="350" t="s">
        <v>276</v>
      </c>
      <c r="D55" s="351" t="s">
        <v>295</v>
      </c>
      <c r="E55" s="351" t="s">
        <v>296</v>
      </c>
      <c r="F55" s="351"/>
      <c r="G55" s="349" t="s">
        <v>174</v>
      </c>
      <c r="H55" s="350" t="s">
        <v>297</v>
      </c>
      <c r="I55" s="351"/>
      <c r="J55" s="350" t="s">
        <v>282</v>
      </c>
      <c r="K55" s="349" t="s">
        <v>283</v>
      </c>
      <c r="L55" s="348"/>
      <c r="M55" s="348"/>
      <c r="N55" s="354" t="s">
        <v>298</v>
      </c>
      <c r="O55" s="354" t="s">
        <v>299</v>
      </c>
      <c r="P55" s="352" t="s">
        <v>2595</v>
      </c>
      <c r="Q55" s="352"/>
      <c r="R55" s="352"/>
      <c r="S55" s="352">
        <v>10</v>
      </c>
      <c r="T55" s="352">
        <f>$S55*DE_Cost!$B$1*8</f>
        <v>96</v>
      </c>
      <c r="U55" s="355">
        <f>$S55*DE_Cost!$B$1</f>
        <v>12</v>
      </c>
      <c r="V55" s="355"/>
      <c r="W55" s="355"/>
      <c r="X55" s="355">
        <f t="shared" si="4"/>
        <v>7</v>
      </c>
      <c r="Y55" s="355">
        <f t="shared" si="5"/>
        <v>70</v>
      </c>
      <c r="Z55" s="352" t="s">
        <v>42</v>
      </c>
      <c r="AA55" s="352"/>
      <c r="AB55" s="353"/>
      <c r="AC55" s="353"/>
      <c r="AD55" s="482"/>
      <c r="AE55" s="487">
        <f t="shared" si="6"/>
        <v>25592.310093652446</v>
      </c>
    </row>
    <row r="56" spans="1:31" ht="41" customHeight="1">
      <c r="A56" s="429" t="s">
        <v>140</v>
      </c>
      <c r="B56" s="428" t="s">
        <v>141</v>
      </c>
      <c r="C56" s="350" t="s">
        <v>276</v>
      </c>
      <c r="D56" s="351" t="s">
        <v>300</v>
      </c>
      <c r="E56" s="351" t="s">
        <v>301</v>
      </c>
      <c r="F56" s="351" t="s">
        <v>302</v>
      </c>
      <c r="G56" s="349" t="s">
        <v>174</v>
      </c>
      <c r="H56" s="350" t="s">
        <v>303</v>
      </c>
      <c r="I56" s="351" t="s">
        <v>304</v>
      </c>
      <c r="J56" s="350" t="s">
        <v>282</v>
      </c>
      <c r="K56" s="349" t="s">
        <v>283</v>
      </c>
      <c r="L56" s="348"/>
      <c r="M56" s="348"/>
      <c r="N56" s="354" t="s">
        <v>305</v>
      </c>
      <c r="O56" s="354" t="s">
        <v>306</v>
      </c>
      <c r="P56" s="352" t="s">
        <v>2597</v>
      </c>
      <c r="Q56" s="352"/>
      <c r="R56" s="352"/>
      <c r="S56" s="352">
        <v>10</v>
      </c>
      <c r="T56" s="352">
        <f>$S56*DE_Cost!$B$1*8</f>
        <v>96</v>
      </c>
      <c r="U56" s="355">
        <f>$S56*DE_Cost!$B$1</f>
        <v>12</v>
      </c>
      <c r="V56" s="355"/>
      <c r="W56" s="355"/>
      <c r="X56" s="355">
        <f t="shared" si="4"/>
        <v>6</v>
      </c>
      <c r="Y56" s="355">
        <f t="shared" si="5"/>
        <v>60</v>
      </c>
      <c r="Z56" s="352" t="s">
        <v>42</v>
      </c>
      <c r="AA56" s="352"/>
      <c r="AB56" s="353"/>
      <c r="AC56" s="353"/>
      <c r="AD56" s="482"/>
      <c r="AE56" s="487">
        <f t="shared" si="6"/>
        <v>21936.265794559236</v>
      </c>
    </row>
    <row r="57" spans="1:31" ht="72">
      <c r="A57" s="429" t="s">
        <v>140</v>
      </c>
      <c r="B57" s="428" t="s">
        <v>141</v>
      </c>
      <c r="C57" s="350" t="s">
        <v>276</v>
      </c>
      <c r="D57" s="351" t="s">
        <v>307</v>
      </c>
      <c r="E57" s="351" t="s">
        <v>308</v>
      </c>
      <c r="F57" s="351"/>
      <c r="G57" s="349" t="s">
        <v>174</v>
      </c>
      <c r="H57" s="350" t="s">
        <v>309</v>
      </c>
      <c r="I57" s="351"/>
      <c r="J57" s="350" t="s">
        <v>282</v>
      </c>
      <c r="K57" s="349" t="s">
        <v>283</v>
      </c>
      <c r="L57" s="348"/>
      <c r="M57" s="348"/>
      <c r="N57" s="354" t="s">
        <v>310</v>
      </c>
      <c r="O57" s="354" t="s">
        <v>311</v>
      </c>
      <c r="P57" s="352" t="s">
        <v>2597</v>
      </c>
      <c r="Q57" s="352"/>
      <c r="R57" s="352" t="s">
        <v>259</v>
      </c>
      <c r="S57" s="352">
        <v>10</v>
      </c>
      <c r="T57" s="352">
        <f>$S57*DE_Cost!$B$1*8</f>
        <v>96</v>
      </c>
      <c r="U57" s="355">
        <f>$S57*DE_Cost!$B$1</f>
        <v>12</v>
      </c>
      <c r="V57" s="355"/>
      <c r="W57" s="355"/>
      <c r="X57" s="355">
        <f t="shared" si="4"/>
        <v>6</v>
      </c>
      <c r="Y57" s="355">
        <f t="shared" si="5"/>
        <v>60</v>
      </c>
      <c r="Z57" s="352" t="s">
        <v>42</v>
      </c>
      <c r="AA57" s="352"/>
      <c r="AB57" s="353"/>
      <c r="AC57" s="353"/>
      <c r="AD57" s="482"/>
      <c r="AE57" s="487">
        <f t="shared" si="6"/>
        <v>21936.265794559236</v>
      </c>
    </row>
    <row r="58" spans="1:31" ht="288">
      <c r="A58" s="429" t="s">
        <v>140</v>
      </c>
      <c r="B58" s="428" t="s">
        <v>141</v>
      </c>
      <c r="C58" s="350" t="s">
        <v>276</v>
      </c>
      <c r="D58" s="357" t="s">
        <v>312</v>
      </c>
      <c r="E58" s="357" t="s">
        <v>313</v>
      </c>
      <c r="F58" s="357" t="s">
        <v>314</v>
      </c>
      <c r="G58" s="349" t="s">
        <v>174</v>
      </c>
      <c r="H58" s="350" t="s">
        <v>315</v>
      </c>
      <c r="I58" s="357" t="s">
        <v>316</v>
      </c>
      <c r="J58" s="350" t="s">
        <v>317</v>
      </c>
      <c r="K58" s="349" t="s">
        <v>318</v>
      </c>
      <c r="L58" s="348"/>
      <c r="M58" s="348"/>
      <c r="N58" s="354" t="s">
        <v>319</v>
      </c>
      <c r="O58" s="354" t="s">
        <v>320</v>
      </c>
      <c r="P58" s="352" t="s">
        <v>2593</v>
      </c>
      <c r="Q58" s="352"/>
      <c r="R58" s="352"/>
      <c r="S58" s="352">
        <v>10</v>
      </c>
      <c r="T58" s="352">
        <f>$S58*DE_Cost!$B$1*8</f>
        <v>96</v>
      </c>
      <c r="U58" s="355">
        <f>$S58*DE_Cost!$B$1</f>
        <v>12</v>
      </c>
      <c r="V58" s="355"/>
      <c r="W58" s="355"/>
      <c r="X58" s="355">
        <f t="shared" si="4"/>
        <v>6</v>
      </c>
      <c r="Y58" s="355">
        <f t="shared" si="5"/>
        <v>60</v>
      </c>
      <c r="Z58" s="352" t="s">
        <v>42</v>
      </c>
      <c r="AA58" s="352"/>
      <c r="AB58" s="353"/>
      <c r="AC58" s="353"/>
      <c r="AD58" s="482"/>
      <c r="AE58" s="487">
        <f t="shared" si="6"/>
        <v>21936.265794559236</v>
      </c>
    </row>
    <row r="59" spans="1:31" ht="409.6">
      <c r="A59" s="429" t="s">
        <v>140</v>
      </c>
      <c r="B59" s="428" t="s">
        <v>141</v>
      </c>
      <c r="C59" s="350" t="s">
        <v>276</v>
      </c>
      <c r="D59" s="351" t="s">
        <v>322</v>
      </c>
      <c r="E59" s="351" t="s">
        <v>323</v>
      </c>
      <c r="F59" s="351"/>
      <c r="G59" s="349" t="s">
        <v>174</v>
      </c>
      <c r="H59" s="350" t="s">
        <v>324</v>
      </c>
      <c r="I59" s="351"/>
      <c r="J59" s="350" t="s">
        <v>325</v>
      </c>
      <c r="K59" s="349" t="s">
        <v>283</v>
      </c>
      <c r="L59" s="348"/>
      <c r="M59" s="348"/>
      <c r="N59" s="354" t="s">
        <v>326</v>
      </c>
      <c r="O59" s="354" t="s">
        <v>327</v>
      </c>
      <c r="P59" s="352" t="s">
        <v>2597</v>
      </c>
      <c r="Q59" s="352"/>
      <c r="R59" s="352"/>
      <c r="S59" s="352">
        <v>4</v>
      </c>
      <c r="T59" s="352">
        <f>$S59*DE_Cost!$B$1*8</f>
        <v>38.4</v>
      </c>
      <c r="U59" s="355">
        <f>$S59*DE_Cost!$B$1</f>
        <v>4.8</v>
      </c>
      <c r="V59" s="355"/>
      <c r="W59" s="355"/>
      <c r="X59" s="355">
        <f t="shared" si="4"/>
        <v>6</v>
      </c>
      <c r="Y59" s="355">
        <f t="shared" si="5"/>
        <v>24</v>
      </c>
      <c r="Z59" s="352" t="s">
        <v>42</v>
      </c>
      <c r="AA59" s="352"/>
      <c r="AB59" s="353"/>
      <c r="AC59" s="353"/>
      <c r="AD59" s="482"/>
      <c r="AE59" s="487">
        <f t="shared" si="6"/>
        <v>8774.5063178236942</v>
      </c>
    </row>
    <row r="60" spans="1:31" ht="72">
      <c r="A60" s="429" t="s">
        <v>140</v>
      </c>
      <c r="B60" s="428" t="s">
        <v>141</v>
      </c>
      <c r="C60" s="350" t="s">
        <v>276</v>
      </c>
      <c r="D60" s="357" t="s">
        <v>328</v>
      </c>
      <c r="E60" s="357" t="s">
        <v>329</v>
      </c>
      <c r="F60" s="357"/>
      <c r="G60" s="349" t="s">
        <v>174</v>
      </c>
      <c r="H60" s="350" t="s">
        <v>330</v>
      </c>
      <c r="I60" s="357"/>
      <c r="J60" s="350" t="s">
        <v>282</v>
      </c>
      <c r="K60" s="349" t="s">
        <v>283</v>
      </c>
      <c r="L60" s="348"/>
      <c r="M60" s="348"/>
      <c r="N60" s="354" t="s">
        <v>326</v>
      </c>
      <c r="O60" s="354" t="s">
        <v>2575</v>
      </c>
      <c r="P60" s="352" t="s">
        <v>2593</v>
      </c>
      <c r="Q60" s="352"/>
      <c r="R60" s="352"/>
      <c r="S60" s="352">
        <v>4</v>
      </c>
      <c r="T60" s="352">
        <f>$S60*DE_Cost!$B$1*8</f>
        <v>38.4</v>
      </c>
      <c r="U60" s="355">
        <f>$S60*DE_Cost!$B$1</f>
        <v>4.8</v>
      </c>
      <c r="V60" s="355"/>
      <c r="W60" s="355"/>
      <c r="X60" s="355">
        <f t="shared" si="4"/>
        <v>6</v>
      </c>
      <c r="Y60" s="355">
        <f t="shared" si="5"/>
        <v>24</v>
      </c>
      <c r="Z60" s="352" t="s">
        <v>42</v>
      </c>
      <c r="AA60" s="352"/>
      <c r="AB60" s="353"/>
      <c r="AC60" s="353"/>
      <c r="AD60" s="482"/>
      <c r="AE60" s="487">
        <f t="shared" si="6"/>
        <v>8774.5063178236942</v>
      </c>
    </row>
    <row r="61" spans="1:31" ht="288">
      <c r="A61" s="429" t="s">
        <v>140</v>
      </c>
      <c r="B61" s="428" t="s">
        <v>141</v>
      </c>
      <c r="C61" s="350" t="s">
        <v>276</v>
      </c>
      <c r="D61" s="351" t="s">
        <v>333</v>
      </c>
      <c r="E61" s="351" t="s">
        <v>334</v>
      </c>
      <c r="F61" s="351" t="s">
        <v>335</v>
      </c>
      <c r="G61" s="349" t="s">
        <v>174</v>
      </c>
      <c r="H61" s="350" t="s">
        <v>336</v>
      </c>
      <c r="I61" s="351" t="s">
        <v>337</v>
      </c>
      <c r="J61" s="350" t="s">
        <v>338</v>
      </c>
      <c r="K61" s="349" t="s">
        <v>283</v>
      </c>
      <c r="L61" s="348"/>
      <c r="M61" s="348"/>
      <c r="N61" s="354" t="s">
        <v>339</v>
      </c>
      <c r="O61" s="354" t="s">
        <v>2576</v>
      </c>
      <c r="P61" s="352" t="s">
        <v>2593</v>
      </c>
      <c r="Q61" s="352"/>
      <c r="R61" s="352"/>
      <c r="S61" s="352">
        <v>10</v>
      </c>
      <c r="T61" s="352">
        <f>$S61*DE_Cost!$B$1*8</f>
        <v>96</v>
      </c>
      <c r="U61" s="355">
        <f>$S61*DE_Cost!$B$1</f>
        <v>12</v>
      </c>
      <c r="V61" s="355"/>
      <c r="W61" s="355"/>
      <c r="X61" s="355">
        <f t="shared" si="4"/>
        <v>6</v>
      </c>
      <c r="Y61" s="355">
        <f t="shared" si="5"/>
        <v>60</v>
      </c>
      <c r="Z61" s="352" t="s">
        <v>42</v>
      </c>
      <c r="AA61" s="352"/>
      <c r="AB61" s="353"/>
      <c r="AC61" s="353"/>
      <c r="AD61" s="482"/>
      <c r="AE61" s="487">
        <f t="shared" si="6"/>
        <v>21936.265794559236</v>
      </c>
    </row>
    <row r="62" spans="1:31" ht="144" hidden="1">
      <c r="A62" s="429" t="s">
        <v>140</v>
      </c>
      <c r="B62" s="428" t="s">
        <v>141</v>
      </c>
      <c r="C62" s="350" t="s">
        <v>276</v>
      </c>
      <c r="D62" s="351" t="s">
        <v>341</v>
      </c>
      <c r="E62" s="351" t="s">
        <v>2413</v>
      </c>
      <c r="F62" s="351" t="s">
        <v>343</v>
      </c>
      <c r="G62" s="349" t="s">
        <v>174</v>
      </c>
      <c r="H62" s="350" t="s">
        <v>344</v>
      </c>
      <c r="I62" s="351" t="s">
        <v>345</v>
      </c>
      <c r="J62" s="350"/>
      <c r="K62" s="349" t="s">
        <v>346</v>
      </c>
      <c r="L62" s="348"/>
      <c r="M62" s="348"/>
      <c r="N62" s="354" t="s">
        <v>347</v>
      </c>
      <c r="O62" s="354" t="s">
        <v>348</v>
      </c>
      <c r="P62" s="352"/>
      <c r="Q62" s="352"/>
      <c r="R62" s="352"/>
      <c r="S62" s="352"/>
      <c r="T62" s="352"/>
      <c r="U62" s="355"/>
      <c r="V62" s="355"/>
      <c r="W62" s="355"/>
      <c r="X62" s="355">
        <f t="shared" si="4"/>
        <v>0</v>
      </c>
      <c r="Y62" s="355">
        <f t="shared" si="5"/>
        <v>0</v>
      </c>
      <c r="Z62" s="352" t="s">
        <v>42</v>
      </c>
      <c r="AA62" s="352"/>
      <c r="AB62" s="353"/>
      <c r="AC62" s="353"/>
      <c r="AD62" s="482"/>
      <c r="AE62" s="487">
        <f t="shared" si="6"/>
        <v>0</v>
      </c>
    </row>
    <row r="63" spans="1:31" ht="216">
      <c r="A63" s="429" t="s">
        <v>140</v>
      </c>
      <c r="B63" s="428" t="s">
        <v>141</v>
      </c>
      <c r="C63" s="350" t="s">
        <v>276</v>
      </c>
      <c r="D63" s="350" t="s">
        <v>349</v>
      </c>
      <c r="E63" s="351" t="s">
        <v>2414</v>
      </c>
      <c r="F63" s="427" t="s">
        <v>351</v>
      </c>
      <c r="G63" s="349" t="s">
        <v>174</v>
      </c>
      <c r="H63" s="350" t="s">
        <v>352</v>
      </c>
      <c r="I63" s="427" t="s">
        <v>351</v>
      </c>
      <c r="J63" s="350" t="s">
        <v>353</v>
      </c>
      <c r="K63" s="349" t="s">
        <v>283</v>
      </c>
      <c r="L63" s="348"/>
      <c r="M63" s="348"/>
      <c r="N63" s="354" t="s">
        <v>354</v>
      </c>
      <c r="O63" s="354" t="s">
        <v>355</v>
      </c>
      <c r="P63" s="352" t="s">
        <v>2597</v>
      </c>
      <c r="Q63" s="426"/>
      <c r="R63" s="352"/>
      <c r="S63" s="352">
        <v>5</v>
      </c>
      <c r="T63" s="352">
        <f>$S63*DE_Cost!$B$1*8</f>
        <v>48</v>
      </c>
      <c r="U63" s="355">
        <f>$S63*DE_Cost!$B$1</f>
        <v>6</v>
      </c>
      <c r="V63" s="355"/>
      <c r="W63" s="355"/>
      <c r="X63" s="355">
        <f t="shared" si="4"/>
        <v>6</v>
      </c>
      <c r="Y63" s="355">
        <f t="shared" si="5"/>
        <v>30</v>
      </c>
      <c r="Z63" s="352" t="s">
        <v>42</v>
      </c>
      <c r="AA63" s="352"/>
      <c r="AB63" s="353"/>
      <c r="AC63" s="353"/>
      <c r="AD63" s="482"/>
      <c r="AE63" s="487">
        <f t="shared" si="6"/>
        <v>10968.132897279618</v>
      </c>
    </row>
    <row r="64" spans="1:31" ht="270">
      <c r="A64" s="429" t="s">
        <v>140</v>
      </c>
      <c r="B64" s="428" t="s">
        <v>141</v>
      </c>
      <c r="C64" s="350" t="s">
        <v>276</v>
      </c>
      <c r="D64" s="351" t="s">
        <v>356</v>
      </c>
      <c r="E64" s="351" t="s">
        <v>2415</v>
      </c>
      <c r="F64" s="351" t="s">
        <v>358</v>
      </c>
      <c r="G64" s="349" t="s">
        <v>359</v>
      </c>
      <c r="H64" s="350" t="s">
        <v>360</v>
      </c>
      <c r="I64" s="351" t="s">
        <v>361</v>
      </c>
      <c r="J64" s="350" t="s">
        <v>362</v>
      </c>
      <c r="K64" s="349" t="s">
        <v>363</v>
      </c>
      <c r="L64" s="348" t="s">
        <v>364</v>
      </c>
      <c r="M64" s="348"/>
      <c r="N64" s="354" t="s">
        <v>365</v>
      </c>
      <c r="O64" s="354" t="s">
        <v>366</v>
      </c>
      <c r="P64" s="352" t="s">
        <v>2597</v>
      </c>
      <c r="Q64" s="426"/>
      <c r="R64" s="352" t="s">
        <v>259</v>
      </c>
      <c r="S64" s="352">
        <v>10</v>
      </c>
      <c r="T64" s="352">
        <f>$S64*DE_Cost!$B$1*8</f>
        <v>96</v>
      </c>
      <c r="U64" s="355">
        <f>$S64*DE_Cost!$B$1</f>
        <v>12</v>
      </c>
      <c r="V64" s="355"/>
      <c r="W64" s="355"/>
      <c r="X64" s="355">
        <f t="shared" si="4"/>
        <v>6</v>
      </c>
      <c r="Y64" s="355">
        <f t="shared" si="5"/>
        <v>60</v>
      </c>
      <c r="Z64" s="352" t="s">
        <v>42</v>
      </c>
      <c r="AA64" s="352"/>
      <c r="AB64" s="353"/>
      <c r="AC64" s="353"/>
      <c r="AD64" s="482"/>
      <c r="AE64" s="487">
        <f t="shared" si="6"/>
        <v>21936.265794559236</v>
      </c>
    </row>
    <row r="65" spans="1:31" ht="342">
      <c r="A65" s="429" t="s">
        <v>140</v>
      </c>
      <c r="B65" s="428" t="s">
        <v>141</v>
      </c>
      <c r="C65" s="350" t="s">
        <v>276</v>
      </c>
      <c r="D65" s="351" t="s">
        <v>367</v>
      </c>
      <c r="E65" s="351" t="s">
        <v>368</v>
      </c>
      <c r="F65" s="351" t="s">
        <v>369</v>
      </c>
      <c r="G65" s="349" t="s">
        <v>359</v>
      </c>
      <c r="H65" s="350" t="s">
        <v>370</v>
      </c>
      <c r="I65" s="351" t="s">
        <v>369</v>
      </c>
      <c r="J65" s="350" t="s">
        <v>371</v>
      </c>
      <c r="K65" s="349" t="s">
        <v>363</v>
      </c>
      <c r="L65" s="348"/>
      <c r="M65" s="348" t="s">
        <v>372</v>
      </c>
      <c r="N65" s="354" t="s">
        <v>365</v>
      </c>
      <c r="O65" s="354" t="s">
        <v>366</v>
      </c>
      <c r="P65" s="352" t="s">
        <v>2597</v>
      </c>
      <c r="Q65" s="426"/>
      <c r="R65" s="352" t="s">
        <v>259</v>
      </c>
      <c r="S65" s="352">
        <v>10</v>
      </c>
      <c r="T65" s="352">
        <f>$S65*DE_Cost!$B$1*8</f>
        <v>96</v>
      </c>
      <c r="U65" s="355">
        <f>$S65*DE_Cost!$B$1</f>
        <v>12</v>
      </c>
      <c r="V65" s="355"/>
      <c r="W65" s="355"/>
      <c r="X65" s="355">
        <f t="shared" si="4"/>
        <v>6</v>
      </c>
      <c r="Y65" s="355">
        <f t="shared" si="5"/>
        <v>60</v>
      </c>
      <c r="Z65" s="352" t="s">
        <v>42</v>
      </c>
      <c r="AA65" s="352"/>
      <c r="AB65" s="353"/>
      <c r="AC65" s="353"/>
      <c r="AD65" s="482"/>
      <c r="AE65" s="487">
        <f t="shared" si="6"/>
        <v>21936.265794559236</v>
      </c>
    </row>
    <row r="66" spans="1:31" ht="108">
      <c r="A66" s="429" t="s">
        <v>140</v>
      </c>
      <c r="B66" s="428" t="s">
        <v>141</v>
      </c>
      <c r="C66" s="350" t="s">
        <v>276</v>
      </c>
      <c r="D66" s="351" t="s">
        <v>373</v>
      </c>
      <c r="E66" s="351" t="s">
        <v>374</v>
      </c>
      <c r="F66" s="351" t="s">
        <v>375</v>
      </c>
      <c r="G66" s="349" t="s">
        <v>359</v>
      </c>
      <c r="H66" s="350" t="s">
        <v>376</v>
      </c>
      <c r="I66" s="351" t="s">
        <v>375</v>
      </c>
      <c r="J66" s="350"/>
      <c r="K66" s="349" t="s">
        <v>363</v>
      </c>
      <c r="L66" s="348"/>
      <c r="M66" s="348"/>
      <c r="N66" s="354" t="s">
        <v>377</v>
      </c>
      <c r="O66" s="354" t="s">
        <v>378</v>
      </c>
      <c r="P66" s="352" t="s">
        <v>2597</v>
      </c>
      <c r="Q66" s="426"/>
      <c r="R66" s="352" t="s">
        <v>259</v>
      </c>
      <c r="S66" s="352">
        <v>10</v>
      </c>
      <c r="T66" s="352">
        <f>$S66*DE_Cost!$B$1*8</f>
        <v>96</v>
      </c>
      <c r="U66" s="355">
        <f>$S66*DE_Cost!$B$1</f>
        <v>12</v>
      </c>
      <c r="V66" s="355"/>
      <c r="W66" s="355"/>
      <c r="X66" s="355">
        <f t="shared" si="4"/>
        <v>6</v>
      </c>
      <c r="Y66" s="355">
        <f t="shared" si="5"/>
        <v>60</v>
      </c>
      <c r="Z66" s="352" t="s">
        <v>42</v>
      </c>
      <c r="AA66" s="352"/>
      <c r="AB66" s="353"/>
      <c r="AC66" s="353"/>
      <c r="AD66" s="482"/>
      <c r="AE66" s="487">
        <f t="shared" si="6"/>
        <v>21936.265794559236</v>
      </c>
    </row>
    <row r="67" spans="1:31" ht="126">
      <c r="A67" s="429" t="s">
        <v>140</v>
      </c>
      <c r="B67" s="428" t="s">
        <v>141</v>
      </c>
      <c r="C67" s="350" t="s">
        <v>276</v>
      </c>
      <c r="D67" s="356" t="s">
        <v>379</v>
      </c>
      <c r="E67" s="357" t="s">
        <v>380</v>
      </c>
      <c r="F67" s="357"/>
      <c r="G67" s="349" t="s">
        <v>174</v>
      </c>
      <c r="H67" s="350" t="s">
        <v>381</v>
      </c>
      <c r="I67" s="357"/>
      <c r="J67" s="350"/>
      <c r="K67" s="349" t="s">
        <v>283</v>
      </c>
      <c r="L67" s="348"/>
      <c r="M67" s="348"/>
      <c r="N67" s="354" t="s">
        <v>382</v>
      </c>
      <c r="O67" s="354" t="s">
        <v>383</v>
      </c>
      <c r="P67" s="352" t="s">
        <v>2596</v>
      </c>
      <c r="Q67" s="352"/>
      <c r="R67" s="352"/>
      <c r="S67" s="352">
        <v>10</v>
      </c>
      <c r="T67" s="352">
        <f>$S67*DE_Cost!$B$1*8</f>
        <v>96</v>
      </c>
      <c r="U67" s="355">
        <f>$S67*DE_Cost!$B$1</f>
        <v>12</v>
      </c>
      <c r="V67" s="355"/>
      <c r="W67" s="355"/>
      <c r="X67" s="355">
        <f t="shared" si="4"/>
        <v>4</v>
      </c>
      <c r="Y67" s="355">
        <f t="shared" si="5"/>
        <v>40</v>
      </c>
      <c r="Z67" s="352" t="s">
        <v>42</v>
      </c>
      <c r="AA67" s="352"/>
      <c r="AB67" s="353"/>
      <c r="AC67" s="353"/>
      <c r="AD67" s="482"/>
      <c r="AE67" s="487">
        <f t="shared" si="6"/>
        <v>14624.177196372826</v>
      </c>
    </row>
    <row r="68" spans="1:31" ht="72">
      <c r="A68" s="429" t="s">
        <v>140</v>
      </c>
      <c r="B68" s="428" t="s">
        <v>141</v>
      </c>
      <c r="C68" s="350" t="s">
        <v>276</v>
      </c>
      <c r="D68" s="350" t="s">
        <v>385</v>
      </c>
      <c r="E68" s="351" t="s">
        <v>386</v>
      </c>
      <c r="F68" s="427"/>
      <c r="G68" s="349" t="s">
        <v>359</v>
      </c>
      <c r="H68" s="350" t="s">
        <v>387</v>
      </c>
      <c r="I68" s="427"/>
      <c r="J68" s="350"/>
      <c r="K68" s="349" t="s">
        <v>363</v>
      </c>
      <c r="L68" s="348"/>
      <c r="M68" s="348"/>
      <c r="N68" s="354" t="s">
        <v>388</v>
      </c>
      <c r="O68" s="354" t="s">
        <v>389</v>
      </c>
      <c r="P68" s="352" t="s">
        <v>2597</v>
      </c>
      <c r="Q68" s="425"/>
      <c r="R68" s="352" t="s">
        <v>259</v>
      </c>
      <c r="S68" s="352">
        <v>10</v>
      </c>
      <c r="T68" s="352">
        <f>$S68*DE_Cost!$B$1*8</f>
        <v>96</v>
      </c>
      <c r="U68" s="355">
        <f>$S68*DE_Cost!$B$1</f>
        <v>12</v>
      </c>
      <c r="V68" s="355"/>
      <c r="W68" s="355"/>
      <c r="X68" s="355">
        <f t="shared" si="4"/>
        <v>6</v>
      </c>
      <c r="Y68" s="355">
        <f t="shared" si="5"/>
        <v>60</v>
      </c>
      <c r="Z68" s="352" t="s">
        <v>42</v>
      </c>
      <c r="AA68" s="352"/>
      <c r="AB68" s="353"/>
      <c r="AC68" s="353"/>
      <c r="AD68" s="482"/>
      <c r="AE68" s="487">
        <f t="shared" si="6"/>
        <v>21936.265794559236</v>
      </c>
    </row>
    <row r="69" spans="1:31" ht="408" customHeight="1">
      <c r="A69" s="405" t="s">
        <v>140</v>
      </c>
      <c r="B69" s="404" t="s">
        <v>141</v>
      </c>
      <c r="C69" s="351" t="s">
        <v>390</v>
      </c>
      <c r="D69" s="351" t="s">
        <v>391</v>
      </c>
      <c r="E69" s="351" t="s">
        <v>392</v>
      </c>
      <c r="F69" s="351" t="s">
        <v>393</v>
      </c>
      <c r="G69" s="349" t="s">
        <v>394</v>
      </c>
      <c r="H69" s="350" t="s">
        <v>395</v>
      </c>
      <c r="I69" s="351" t="s">
        <v>396</v>
      </c>
      <c r="J69" s="350" t="s">
        <v>397</v>
      </c>
      <c r="K69" s="349" t="s">
        <v>398</v>
      </c>
      <c r="L69" s="348"/>
      <c r="M69" s="348" t="s">
        <v>399</v>
      </c>
      <c r="N69" s="354" t="s">
        <v>400</v>
      </c>
      <c r="O69" s="354" t="s">
        <v>401</v>
      </c>
      <c r="P69" s="352" t="s">
        <v>2595</v>
      </c>
      <c r="Q69" s="352"/>
      <c r="R69" s="352"/>
      <c r="S69" s="352">
        <v>30</v>
      </c>
      <c r="T69" s="352">
        <f>$S69*DE_Cost!$B$1*8</f>
        <v>288</v>
      </c>
      <c r="U69" s="355">
        <f>$S69*DE_Cost!$B$1</f>
        <v>36</v>
      </c>
      <c r="V69" s="355"/>
      <c r="W69" s="355"/>
      <c r="X69" s="355">
        <f t="shared" si="4"/>
        <v>7</v>
      </c>
      <c r="Y69" s="355">
        <f t="shared" si="5"/>
        <v>210</v>
      </c>
      <c r="Z69" s="352" t="s">
        <v>42</v>
      </c>
      <c r="AA69" s="352"/>
      <c r="AB69" s="353"/>
      <c r="AC69" s="353"/>
      <c r="AD69" s="482"/>
      <c r="AE69" s="487">
        <f t="shared" si="6"/>
        <v>76776.930280957342</v>
      </c>
    </row>
    <row r="70" spans="1:31" ht="409.6">
      <c r="A70" s="405" t="s">
        <v>140</v>
      </c>
      <c r="B70" s="404" t="s">
        <v>141</v>
      </c>
      <c r="C70" s="351" t="s">
        <v>390</v>
      </c>
      <c r="D70" s="351" t="s">
        <v>402</v>
      </c>
      <c r="E70" s="351" t="s">
        <v>403</v>
      </c>
      <c r="F70" s="351" t="s">
        <v>404</v>
      </c>
      <c r="G70" s="349" t="s">
        <v>394</v>
      </c>
      <c r="H70" s="350" t="s">
        <v>405</v>
      </c>
      <c r="I70" s="351" t="s">
        <v>406</v>
      </c>
      <c r="J70" s="350" t="s">
        <v>407</v>
      </c>
      <c r="K70" s="349"/>
      <c r="L70" s="348"/>
      <c r="M70" s="348"/>
      <c r="N70" s="354" t="s">
        <v>408</v>
      </c>
      <c r="O70" s="354" t="s">
        <v>409</v>
      </c>
      <c r="P70" s="352" t="s">
        <v>2597</v>
      </c>
      <c r="Q70" s="352"/>
      <c r="R70" s="352"/>
      <c r="S70" s="352">
        <v>10</v>
      </c>
      <c r="T70" s="352">
        <f>$S70*DE_Cost!$B$1*8</f>
        <v>96</v>
      </c>
      <c r="U70" s="355">
        <f>$S70*DE_Cost!$B$1</f>
        <v>12</v>
      </c>
      <c r="V70" s="355"/>
      <c r="W70" s="355"/>
      <c r="X70" s="355">
        <f t="shared" si="4"/>
        <v>6</v>
      </c>
      <c r="Y70" s="355">
        <f t="shared" si="5"/>
        <v>60</v>
      </c>
      <c r="Z70" s="352" t="s">
        <v>42</v>
      </c>
      <c r="AA70" s="352"/>
      <c r="AB70" s="353"/>
      <c r="AC70" s="353"/>
      <c r="AD70" s="482"/>
      <c r="AE70" s="487">
        <f t="shared" si="6"/>
        <v>21936.265794559236</v>
      </c>
    </row>
    <row r="71" spans="1:31" ht="72">
      <c r="A71" s="405" t="s">
        <v>140</v>
      </c>
      <c r="B71" s="404" t="s">
        <v>141</v>
      </c>
      <c r="C71" s="351" t="s">
        <v>390</v>
      </c>
      <c r="D71" s="357" t="s">
        <v>410</v>
      </c>
      <c r="E71" s="357" t="s">
        <v>411</v>
      </c>
      <c r="F71" s="357" t="s">
        <v>412</v>
      </c>
      <c r="G71" s="349"/>
      <c r="H71" s="350" t="s">
        <v>413</v>
      </c>
      <c r="I71" s="357" t="s">
        <v>414</v>
      </c>
      <c r="J71" s="350"/>
      <c r="K71" s="349"/>
      <c r="L71" s="348"/>
      <c r="M71" s="348"/>
      <c r="N71" s="354" t="s">
        <v>415</v>
      </c>
      <c r="O71" s="354" t="s">
        <v>416</v>
      </c>
      <c r="P71" s="352" t="s">
        <v>2597</v>
      </c>
      <c r="Q71" s="352"/>
      <c r="R71" s="352"/>
      <c r="S71" s="352">
        <v>3</v>
      </c>
      <c r="T71" s="352">
        <f>$S71*DE_Cost!$B$1*8</f>
        <v>28.799999999999997</v>
      </c>
      <c r="U71" s="355">
        <f>$S71*DE_Cost!$B$1</f>
        <v>3.5999999999999996</v>
      </c>
      <c r="V71" s="355"/>
      <c r="W71" s="355"/>
      <c r="X71" s="355">
        <f t="shared" si="4"/>
        <v>6</v>
      </c>
      <c r="Y71" s="355">
        <f t="shared" si="5"/>
        <v>18</v>
      </c>
      <c r="Z71" s="352" t="s">
        <v>42</v>
      </c>
      <c r="AA71" s="352"/>
      <c r="AB71" s="353"/>
      <c r="AC71" s="353"/>
      <c r="AD71" s="482"/>
      <c r="AE71" s="487">
        <f t="shared" si="6"/>
        <v>6580.8797383677711</v>
      </c>
    </row>
    <row r="72" spans="1:31" ht="108">
      <c r="A72" s="405" t="s">
        <v>140</v>
      </c>
      <c r="B72" s="404" t="s">
        <v>141</v>
      </c>
      <c r="C72" s="351" t="s">
        <v>390</v>
      </c>
      <c r="D72" s="351" t="s">
        <v>417</v>
      </c>
      <c r="E72" s="351" t="s">
        <v>418</v>
      </c>
      <c r="F72" s="351" t="s">
        <v>419</v>
      </c>
      <c r="G72" s="349"/>
      <c r="H72" s="350" t="s">
        <v>420</v>
      </c>
      <c r="I72" s="351" t="s">
        <v>421</v>
      </c>
      <c r="J72" s="350"/>
      <c r="K72" s="349"/>
      <c r="L72" s="348"/>
      <c r="M72" s="348"/>
      <c r="N72" s="354" t="s">
        <v>422</v>
      </c>
      <c r="O72" s="354" t="s">
        <v>416</v>
      </c>
      <c r="P72" s="352" t="s">
        <v>2595</v>
      </c>
      <c r="Q72" s="352"/>
      <c r="R72" s="352"/>
      <c r="S72" s="352">
        <v>5</v>
      </c>
      <c r="T72" s="352">
        <f>$S72*DE_Cost!$B$1*8</f>
        <v>48</v>
      </c>
      <c r="U72" s="355">
        <f>$S72*DE_Cost!$B$1</f>
        <v>6</v>
      </c>
      <c r="V72" s="355"/>
      <c r="W72" s="355"/>
      <c r="X72" s="355">
        <f t="shared" si="4"/>
        <v>7</v>
      </c>
      <c r="Y72" s="355">
        <f t="shared" si="5"/>
        <v>35</v>
      </c>
      <c r="Z72" s="352" t="s">
        <v>42</v>
      </c>
      <c r="AA72" s="352"/>
      <c r="AB72" s="353"/>
      <c r="AC72" s="353"/>
      <c r="AD72" s="474"/>
      <c r="AE72" s="487">
        <f t="shared" si="6"/>
        <v>12796.155046826223</v>
      </c>
    </row>
    <row r="73" spans="1:31" ht="90">
      <c r="A73" s="405" t="s">
        <v>140</v>
      </c>
      <c r="B73" s="404" t="s">
        <v>141</v>
      </c>
      <c r="C73" s="351" t="s">
        <v>390</v>
      </c>
      <c r="D73" s="351" t="s">
        <v>423</v>
      </c>
      <c r="E73" s="351" t="s">
        <v>424</v>
      </c>
      <c r="F73" s="351" t="s">
        <v>425</v>
      </c>
      <c r="G73" s="349"/>
      <c r="H73" s="350" t="s">
        <v>426</v>
      </c>
      <c r="I73" s="351" t="s">
        <v>427</v>
      </c>
      <c r="J73" s="350"/>
      <c r="K73" s="349"/>
      <c r="L73" s="348"/>
      <c r="M73" s="348"/>
      <c r="N73" s="354" t="s">
        <v>428</v>
      </c>
      <c r="O73" s="354" t="s">
        <v>427</v>
      </c>
      <c r="P73" s="352" t="s">
        <v>2595</v>
      </c>
      <c r="Q73" s="352"/>
      <c r="R73" s="352"/>
      <c r="S73" s="352">
        <v>3</v>
      </c>
      <c r="T73" s="352">
        <f>$S73*DE_Cost!$B$1*8</f>
        <v>28.799999999999997</v>
      </c>
      <c r="U73" s="355">
        <f>$S73*DE_Cost!$B$1</f>
        <v>3.5999999999999996</v>
      </c>
      <c r="V73" s="355"/>
      <c r="W73" s="355"/>
      <c r="X73" s="355">
        <f t="shared" si="4"/>
        <v>7</v>
      </c>
      <c r="Y73" s="355">
        <f t="shared" si="5"/>
        <v>21</v>
      </c>
      <c r="Z73" s="352" t="s">
        <v>42</v>
      </c>
      <c r="AA73" s="352"/>
      <c r="AB73" s="353"/>
      <c r="AC73" s="353"/>
      <c r="AD73" s="474"/>
      <c r="AE73" s="487">
        <f t="shared" si="6"/>
        <v>7677.693028095734</v>
      </c>
    </row>
    <row r="74" spans="1:31" ht="108">
      <c r="A74" s="405" t="s">
        <v>140</v>
      </c>
      <c r="B74" s="404" t="s">
        <v>141</v>
      </c>
      <c r="C74" s="351" t="s">
        <v>390</v>
      </c>
      <c r="D74" s="351" t="s">
        <v>429</v>
      </c>
      <c r="E74" s="351" t="s">
        <v>430</v>
      </c>
      <c r="F74" s="351" t="s">
        <v>431</v>
      </c>
      <c r="G74" s="349"/>
      <c r="H74" s="350" t="s">
        <v>432</v>
      </c>
      <c r="I74" s="351" t="s">
        <v>433</v>
      </c>
      <c r="J74" s="350"/>
      <c r="K74" s="349"/>
      <c r="L74" s="348"/>
      <c r="M74" s="348"/>
      <c r="N74" s="354" t="s">
        <v>434</v>
      </c>
      <c r="O74" s="354" t="s">
        <v>2577</v>
      </c>
      <c r="P74" s="352" t="s">
        <v>2595</v>
      </c>
      <c r="Q74" s="352"/>
      <c r="R74" s="352"/>
      <c r="S74" s="352">
        <v>3</v>
      </c>
      <c r="T74" s="352">
        <f>$S74*DE_Cost!$B$1*8</f>
        <v>28.799999999999997</v>
      </c>
      <c r="U74" s="355">
        <f>$S74*DE_Cost!$B$1</f>
        <v>3.5999999999999996</v>
      </c>
      <c r="V74" s="355"/>
      <c r="W74" s="355"/>
      <c r="X74" s="355">
        <f t="shared" si="4"/>
        <v>7</v>
      </c>
      <c r="Y74" s="355">
        <f t="shared" si="5"/>
        <v>21</v>
      </c>
      <c r="Z74" s="352" t="s">
        <v>42</v>
      </c>
      <c r="AA74" s="352"/>
      <c r="AB74" s="353"/>
      <c r="AC74" s="353"/>
      <c r="AD74" s="474"/>
      <c r="AE74" s="487">
        <f t="shared" si="6"/>
        <v>7677.693028095734</v>
      </c>
    </row>
    <row r="75" spans="1:31" ht="90">
      <c r="A75" s="405" t="s">
        <v>140</v>
      </c>
      <c r="B75" s="404" t="s">
        <v>141</v>
      </c>
      <c r="C75" s="351" t="s">
        <v>390</v>
      </c>
      <c r="D75" s="357" t="s">
        <v>436</v>
      </c>
      <c r="E75" s="357" t="s">
        <v>437</v>
      </c>
      <c r="F75" s="357"/>
      <c r="G75" s="349"/>
      <c r="H75" s="350" t="s">
        <v>438</v>
      </c>
      <c r="I75" s="357"/>
      <c r="J75" s="350"/>
      <c r="K75" s="349"/>
      <c r="L75" s="348"/>
      <c r="M75" s="348"/>
      <c r="N75" s="354" t="s">
        <v>439</v>
      </c>
      <c r="O75" s="354" t="s">
        <v>2578</v>
      </c>
      <c r="P75" s="352" t="s">
        <v>2595</v>
      </c>
      <c r="Q75" s="352"/>
      <c r="R75" s="352"/>
      <c r="S75" s="352">
        <v>2</v>
      </c>
      <c r="T75" s="352">
        <f>$S75*DE_Cost!$B$1*8</f>
        <v>19.2</v>
      </c>
      <c r="U75" s="355">
        <f>$S75*DE_Cost!$B$1</f>
        <v>2.4</v>
      </c>
      <c r="V75" s="355"/>
      <c r="W75" s="355"/>
      <c r="X75" s="355">
        <f t="shared" si="4"/>
        <v>7</v>
      </c>
      <c r="Y75" s="355">
        <f t="shared" si="5"/>
        <v>14</v>
      </c>
      <c r="Z75" s="352" t="s">
        <v>42</v>
      </c>
      <c r="AA75" s="352"/>
      <c r="AB75" s="353"/>
      <c r="AC75" s="353"/>
      <c r="AD75" s="474"/>
      <c r="AE75" s="487">
        <f t="shared" si="6"/>
        <v>5118.462018730489</v>
      </c>
    </row>
    <row r="76" spans="1:31" ht="72">
      <c r="A76" s="405" t="s">
        <v>140</v>
      </c>
      <c r="B76" s="404" t="s">
        <v>141</v>
      </c>
      <c r="C76" s="351" t="s">
        <v>441</v>
      </c>
      <c r="D76" s="351" t="s">
        <v>442</v>
      </c>
      <c r="E76" s="351" t="s">
        <v>443</v>
      </c>
      <c r="F76" s="351" t="s">
        <v>444</v>
      </c>
      <c r="G76" s="349"/>
      <c r="H76" s="350" t="s">
        <v>445</v>
      </c>
      <c r="I76" s="351" t="s">
        <v>446</v>
      </c>
      <c r="J76" s="350"/>
      <c r="K76" s="349"/>
      <c r="L76" s="348"/>
      <c r="M76" s="348"/>
      <c r="N76" s="354" t="s">
        <v>447</v>
      </c>
      <c r="O76" s="354" t="s">
        <v>2579</v>
      </c>
      <c r="P76" s="352" t="s">
        <v>2597</v>
      </c>
      <c r="Q76" s="352"/>
      <c r="R76" s="352"/>
      <c r="S76" s="352">
        <v>2</v>
      </c>
      <c r="T76" s="352">
        <f>$S76*DE_Cost!$B$1*8</f>
        <v>19.2</v>
      </c>
      <c r="U76" s="355">
        <f>$S76*DE_Cost!$B$1</f>
        <v>2.4</v>
      </c>
      <c r="V76" s="355"/>
      <c r="W76" s="355"/>
      <c r="X76" s="355">
        <f t="shared" si="4"/>
        <v>6</v>
      </c>
      <c r="Y76" s="355">
        <f t="shared" si="5"/>
        <v>12</v>
      </c>
      <c r="Z76" s="352" t="s">
        <v>42</v>
      </c>
      <c r="AA76" s="352"/>
      <c r="AB76" s="353"/>
      <c r="AC76" s="353"/>
      <c r="AD76" s="474"/>
      <c r="AE76" s="487">
        <f t="shared" si="6"/>
        <v>4387.2531589118471</v>
      </c>
    </row>
    <row r="77" spans="1:31" ht="108">
      <c r="A77" s="405" t="s">
        <v>140</v>
      </c>
      <c r="B77" s="404" t="s">
        <v>141</v>
      </c>
      <c r="C77" s="351" t="s">
        <v>441</v>
      </c>
      <c r="D77" s="351" t="s">
        <v>449</v>
      </c>
      <c r="E77" s="351" t="s">
        <v>450</v>
      </c>
      <c r="F77" s="351" t="s">
        <v>451</v>
      </c>
      <c r="G77" s="349"/>
      <c r="H77" s="350" t="s">
        <v>452</v>
      </c>
      <c r="I77" s="351" t="s">
        <v>453</v>
      </c>
      <c r="J77" s="350"/>
      <c r="K77" s="349"/>
      <c r="L77" s="348"/>
      <c r="M77" s="348"/>
      <c r="N77" s="354" t="s">
        <v>2580</v>
      </c>
      <c r="O77" s="354" t="s">
        <v>2264</v>
      </c>
      <c r="P77" s="352" t="s">
        <v>2594</v>
      </c>
      <c r="Q77" s="415" t="s">
        <v>456</v>
      </c>
      <c r="R77" s="352"/>
      <c r="S77" s="352">
        <v>10</v>
      </c>
      <c r="T77" s="352">
        <f>$S77*DE_Cost!$B$1*8</f>
        <v>96</v>
      </c>
      <c r="U77" s="355">
        <f>$S77*DE_Cost!$B$1</f>
        <v>12</v>
      </c>
      <c r="V77" s="355"/>
      <c r="W77" s="355"/>
      <c r="X77" s="355">
        <f t="shared" si="4"/>
        <v>6</v>
      </c>
      <c r="Y77" s="355">
        <f t="shared" si="5"/>
        <v>60</v>
      </c>
      <c r="Z77" s="352" t="s">
        <v>42</v>
      </c>
      <c r="AA77" s="352"/>
      <c r="AB77" s="353">
        <v>1103</v>
      </c>
      <c r="AC77" s="353"/>
      <c r="AD77" s="474"/>
      <c r="AE77" s="487">
        <f t="shared" si="6"/>
        <v>21936.265794559236</v>
      </c>
    </row>
    <row r="78" spans="1:31" ht="108">
      <c r="A78" s="405" t="s">
        <v>140</v>
      </c>
      <c r="B78" s="404" t="s">
        <v>141</v>
      </c>
      <c r="C78" s="351" t="s">
        <v>441</v>
      </c>
      <c r="D78" s="351" t="s">
        <v>457</v>
      </c>
      <c r="E78" s="351" t="s">
        <v>458</v>
      </c>
      <c r="F78" s="351" t="s">
        <v>459</v>
      </c>
      <c r="G78" s="349"/>
      <c r="H78" s="350" t="s">
        <v>460</v>
      </c>
      <c r="I78" s="351" t="s">
        <v>461</v>
      </c>
      <c r="J78" s="350"/>
      <c r="K78" s="349"/>
      <c r="L78" s="348"/>
      <c r="M78" s="348"/>
      <c r="N78" s="354" t="s">
        <v>462</v>
      </c>
      <c r="O78" s="354" t="s">
        <v>2581</v>
      </c>
      <c r="P78" s="352" t="s">
        <v>2593</v>
      </c>
      <c r="Q78" s="352"/>
      <c r="R78" s="352"/>
      <c r="S78" s="352">
        <v>2</v>
      </c>
      <c r="T78" s="352">
        <f>$S78*DE_Cost!$B$1*8</f>
        <v>19.2</v>
      </c>
      <c r="U78" s="355">
        <f>$S78*DE_Cost!$B$1</f>
        <v>2.4</v>
      </c>
      <c r="V78" s="355"/>
      <c r="W78" s="355"/>
      <c r="X78" s="355">
        <f t="shared" si="4"/>
        <v>6</v>
      </c>
      <c r="Y78" s="355">
        <f t="shared" si="5"/>
        <v>12</v>
      </c>
      <c r="Z78" s="352" t="s">
        <v>42</v>
      </c>
      <c r="AA78" s="352"/>
      <c r="AB78" s="353"/>
      <c r="AC78" s="353"/>
      <c r="AD78" s="474"/>
      <c r="AE78" s="487">
        <f t="shared" si="6"/>
        <v>4387.2531589118471</v>
      </c>
    </row>
    <row r="79" spans="1:31" ht="54">
      <c r="A79" s="405" t="s">
        <v>140</v>
      </c>
      <c r="B79" s="404" t="s">
        <v>141</v>
      </c>
      <c r="C79" s="351" t="s">
        <v>441</v>
      </c>
      <c r="D79" s="351" t="s">
        <v>464</v>
      </c>
      <c r="E79" s="351" t="s">
        <v>465</v>
      </c>
      <c r="F79" s="351" t="s">
        <v>466</v>
      </c>
      <c r="G79" s="349"/>
      <c r="H79" s="350" t="s">
        <v>467</v>
      </c>
      <c r="I79" s="351" t="s">
        <v>468</v>
      </c>
      <c r="J79" s="350"/>
      <c r="K79" s="349"/>
      <c r="L79" s="348"/>
      <c r="M79" s="348"/>
      <c r="N79" s="354" t="s">
        <v>469</v>
      </c>
      <c r="O79" s="354" t="s">
        <v>2581</v>
      </c>
      <c r="P79" s="352" t="s">
        <v>2593</v>
      </c>
      <c r="Q79" s="352"/>
      <c r="R79" s="352"/>
      <c r="S79" s="352">
        <v>2</v>
      </c>
      <c r="T79" s="352">
        <f>$S79*DE_Cost!$B$1*8</f>
        <v>19.2</v>
      </c>
      <c r="U79" s="355">
        <f>$S79*DE_Cost!$B$1</f>
        <v>2.4</v>
      </c>
      <c r="V79" s="355"/>
      <c r="W79" s="355"/>
      <c r="X79" s="355">
        <f t="shared" si="4"/>
        <v>6</v>
      </c>
      <c r="Y79" s="355">
        <f t="shared" si="5"/>
        <v>12</v>
      </c>
      <c r="Z79" s="352" t="s">
        <v>42</v>
      </c>
      <c r="AA79" s="352"/>
      <c r="AB79" s="353"/>
      <c r="AC79" s="353"/>
      <c r="AD79" s="474"/>
      <c r="AE79" s="487">
        <f t="shared" si="6"/>
        <v>4387.2531589118471</v>
      </c>
    </row>
    <row r="80" spans="1:31" ht="40" customHeight="1">
      <c r="A80" s="405" t="s">
        <v>140</v>
      </c>
      <c r="B80" s="404" t="s">
        <v>141</v>
      </c>
      <c r="C80" s="351" t="s">
        <v>441</v>
      </c>
      <c r="D80" s="351" t="s">
        <v>470</v>
      </c>
      <c r="E80" s="351" t="s">
        <v>471</v>
      </c>
      <c r="F80" s="351" t="s">
        <v>472</v>
      </c>
      <c r="G80" s="349"/>
      <c r="H80" s="350" t="s">
        <v>473</v>
      </c>
      <c r="I80" s="351" t="s">
        <v>474</v>
      </c>
      <c r="J80" s="350"/>
      <c r="K80" s="349"/>
      <c r="L80" s="348"/>
      <c r="M80" s="348"/>
      <c r="N80" s="354" t="s">
        <v>475</v>
      </c>
      <c r="O80" s="354" t="s">
        <v>2581</v>
      </c>
      <c r="P80" s="352" t="s">
        <v>2593</v>
      </c>
      <c r="Q80" s="352"/>
      <c r="R80" s="352"/>
      <c r="S80" s="352">
        <v>2</v>
      </c>
      <c r="T80" s="352">
        <f>$S80*DE_Cost!$B$1*8</f>
        <v>19.2</v>
      </c>
      <c r="U80" s="355">
        <f>$S80*DE_Cost!$B$1</f>
        <v>2.4</v>
      </c>
      <c r="V80" s="355"/>
      <c r="W80" s="355"/>
      <c r="X80" s="355">
        <f t="shared" si="4"/>
        <v>6</v>
      </c>
      <c r="Y80" s="355">
        <f t="shared" si="5"/>
        <v>12</v>
      </c>
      <c r="Z80" s="352" t="s">
        <v>42</v>
      </c>
      <c r="AA80" s="352"/>
      <c r="AB80" s="353"/>
      <c r="AC80" s="353"/>
      <c r="AD80" s="474"/>
      <c r="AE80" s="487">
        <f t="shared" si="6"/>
        <v>4387.2531589118471</v>
      </c>
    </row>
    <row r="81" spans="1:80" ht="40" customHeight="1">
      <c r="A81" s="405" t="s">
        <v>140</v>
      </c>
      <c r="B81" s="404" t="s">
        <v>141</v>
      </c>
      <c r="C81" s="351" t="s">
        <v>441</v>
      </c>
      <c r="D81" s="351" t="s">
        <v>476</v>
      </c>
      <c r="E81" s="351" t="s">
        <v>477</v>
      </c>
      <c r="F81" s="351" t="s">
        <v>478</v>
      </c>
      <c r="G81" s="349"/>
      <c r="H81" s="350" t="s">
        <v>479</v>
      </c>
      <c r="I81" s="351" t="s">
        <v>480</v>
      </c>
      <c r="J81" s="350"/>
      <c r="K81" s="349"/>
      <c r="L81" s="348"/>
      <c r="M81" s="348"/>
      <c r="N81" s="354" t="s">
        <v>481</v>
      </c>
      <c r="O81" s="354" t="s">
        <v>2582</v>
      </c>
      <c r="P81" s="352" t="s">
        <v>2595</v>
      </c>
      <c r="Q81" s="352"/>
      <c r="R81" s="352"/>
      <c r="S81" s="352">
        <v>10</v>
      </c>
      <c r="T81" s="352">
        <f>$S81*DE_Cost!$B$1*8</f>
        <v>96</v>
      </c>
      <c r="U81" s="355">
        <f>$S81*DE_Cost!$B$1</f>
        <v>12</v>
      </c>
      <c r="V81" s="355"/>
      <c r="W81" s="355"/>
      <c r="X81" s="355">
        <f t="shared" si="4"/>
        <v>7</v>
      </c>
      <c r="Y81" s="355">
        <f t="shared" si="5"/>
        <v>70</v>
      </c>
      <c r="Z81" s="352" t="s">
        <v>42</v>
      </c>
      <c r="AA81" s="352"/>
      <c r="AB81" s="353"/>
      <c r="AC81" s="353"/>
      <c r="AD81" s="482"/>
      <c r="AE81" s="487">
        <f t="shared" si="6"/>
        <v>25592.310093652446</v>
      </c>
    </row>
    <row r="82" spans="1:80" ht="43" customHeight="1">
      <c r="A82" s="405" t="s">
        <v>140</v>
      </c>
      <c r="B82" s="404" t="s">
        <v>141</v>
      </c>
      <c r="C82" s="351" t="s">
        <v>441</v>
      </c>
      <c r="D82" s="351" t="s">
        <v>483</v>
      </c>
      <c r="E82" s="351" t="s">
        <v>484</v>
      </c>
      <c r="F82" s="351" t="s">
        <v>485</v>
      </c>
      <c r="G82" s="349"/>
      <c r="H82" s="350" t="s">
        <v>486</v>
      </c>
      <c r="I82" s="351" t="s">
        <v>487</v>
      </c>
      <c r="J82" s="350"/>
      <c r="K82" s="349"/>
      <c r="L82" s="348"/>
      <c r="M82" s="348"/>
      <c r="N82" s="354" t="s">
        <v>488</v>
      </c>
      <c r="O82" s="354" t="s">
        <v>2583</v>
      </c>
      <c r="P82" s="352" t="s">
        <v>2594</v>
      </c>
      <c r="Q82" s="352"/>
      <c r="R82" s="352"/>
      <c r="S82" s="352">
        <v>2</v>
      </c>
      <c r="T82" s="352">
        <f>$S82*DE_Cost!$B$1*8</f>
        <v>19.2</v>
      </c>
      <c r="U82" s="355">
        <f>$S82*DE_Cost!$B$1</f>
        <v>2.4</v>
      </c>
      <c r="V82" s="355"/>
      <c r="W82" s="355"/>
      <c r="X82" s="355">
        <f t="shared" si="4"/>
        <v>6</v>
      </c>
      <c r="Y82" s="355">
        <f t="shared" si="5"/>
        <v>12</v>
      </c>
      <c r="Z82" s="352" t="s">
        <v>42</v>
      </c>
      <c r="AA82" s="352"/>
      <c r="AB82" s="353"/>
      <c r="AC82" s="353"/>
      <c r="AD82" s="482"/>
      <c r="AE82" s="487">
        <f t="shared" si="6"/>
        <v>4387.2531589118471</v>
      </c>
    </row>
    <row r="83" spans="1:80" ht="72">
      <c r="A83" s="405" t="s">
        <v>140</v>
      </c>
      <c r="B83" s="404" t="s">
        <v>141</v>
      </c>
      <c r="C83" s="351" t="s">
        <v>441</v>
      </c>
      <c r="D83" s="351" t="s">
        <v>490</v>
      </c>
      <c r="E83" s="351" t="s">
        <v>491</v>
      </c>
      <c r="F83" s="351"/>
      <c r="G83" s="349"/>
      <c r="H83" s="350" t="s">
        <v>492</v>
      </c>
      <c r="I83" s="351"/>
      <c r="J83" s="350"/>
      <c r="K83" s="349"/>
      <c r="L83" s="348"/>
      <c r="M83" s="348"/>
      <c r="N83" s="354" t="s">
        <v>493</v>
      </c>
      <c r="O83" s="354" t="s">
        <v>2584</v>
      </c>
      <c r="P83" s="352" t="s">
        <v>2594</v>
      </c>
      <c r="Q83" s="352"/>
      <c r="R83" s="352"/>
      <c r="S83" s="352">
        <v>2</v>
      </c>
      <c r="T83" s="352">
        <f>$S83*DE_Cost!$B$1*8</f>
        <v>19.2</v>
      </c>
      <c r="U83" s="355">
        <f>$S83*DE_Cost!$B$1</f>
        <v>2.4</v>
      </c>
      <c r="V83" s="355"/>
      <c r="W83" s="355"/>
      <c r="X83" s="355">
        <f t="shared" si="4"/>
        <v>6</v>
      </c>
      <c r="Y83" s="355">
        <f t="shared" si="5"/>
        <v>12</v>
      </c>
      <c r="Z83" s="352" t="s">
        <v>42</v>
      </c>
      <c r="AA83" s="352"/>
      <c r="AB83" s="353"/>
      <c r="AC83" s="353"/>
      <c r="AD83" s="482"/>
      <c r="AE83" s="487">
        <f t="shared" si="6"/>
        <v>4387.2531589118471</v>
      </c>
    </row>
    <row r="84" spans="1:80" ht="270">
      <c r="A84" s="405" t="s">
        <v>140</v>
      </c>
      <c r="B84" s="404" t="s">
        <v>141</v>
      </c>
      <c r="C84" s="351" t="s">
        <v>441</v>
      </c>
      <c r="D84" s="351" t="s">
        <v>495</v>
      </c>
      <c r="E84" s="351" t="s">
        <v>496</v>
      </c>
      <c r="F84" s="351" t="s">
        <v>497</v>
      </c>
      <c r="G84" s="349" t="s">
        <v>239</v>
      </c>
      <c r="H84" s="350" t="s">
        <v>498</v>
      </c>
      <c r="I84" s="351" t="s">
        <v>499</v>
      </c>
      <c r="J84" s="350" t="s">
        <v>500</v>
      </c>
      <c r="K84" s="349"/>
      <c r="L84" s="348"/>
      <c r="M84" s="348"/>
      <c r="N84" s="354" t="s">
        <v>501</v>
      </c>
      <c r="O84" s="354"/>
      <c r="P84" s="352" t="s">
        <v>2595</v>
      </c>
      <c r="Q84" s="352"/>
      <c r="R84" s="352"/>
      <c r="S84" s="352">
        <v>10</v>
      </c>
      <c r="T84" s="352">
        <f>$S84*DE_Cost!$B$1*8</f>
        <v>96</v>
      </c>
      <c r="U84" s="355">
        <f>$S84*DE_Cost!$B$1</f>
        <v>12</v>
      </c>
      <c r="V84" s="355"/>
      <c r="W84" s="355"/>
      <c r="X84" s="355">
        <f t="shared" si="4"/>
        <v>7</v>
      </c>
      <c r="Y84" s="355">
        <f t="shared" si="5"/>
        <v>70</v>
      </c>
      <c r="Z84" s="352" t="s">
        <v>42</v>
      </c>
      <c r="AA84" s="352"/>
      <c r="AB84" s="353"/>
      <c r="AC84" s="353"/>
      <c r="AD84" s="474"/>
      <c r="AE84" s="487">
        <f t="shared" si="6"/>
        <v>25592.310093652446</v>
      </c>
    </row>
    <row r="85" spans="1:80" s="414" customFormat="1" ht="90">
      <c r="A85" s="405" t="s">
        <v>140</v>
      </c>
      <c r="B85" s="404" t="s">
        <v>141</v>
      </c>
      <c r="C85" s="351" t="s">
        <v>441</v>
      </c>
      <c r="D85" s="351" t="s">
        <v>502</v>
      </c>
      <c r="E85" s="351" t="s">
        <v>503</v>
      </c>
      <c r="F85" s="351" t="s">
        <v>504</v>
      </c>
      <c r="G85" s="349"/>
      <c r="H85" s="350" t="s">
        <v>505</v>
      </c>
      <c r="I85" s="351" t="s">
        <v>506</v>
      </c>
      <c r="J85" s="416"/>
      <c r="K85" s="349"/>
      <c r="L85" s="348"/>
      <c r="M85" s="348"/>
      <c r="N85" s="355" t="s">
        <v>507</v>
      </c>
      <c r="O85" s="355" t="s">
        <v>508</v>
      </c>
      <c r="P85" s="352" t="s">
        <v>2595</v>
      </c>
      <c r="Q85" s="355"/>
      <c r="R85" s="355"/>
      <c r="S85" s="355">
        <v>2</v>
      </c>
      <c r="T85" s="355">
        <f>$S85*DE_Cost!$B$1*8</f>
        <v>19.2</v>
      </c>
      <c r="U85" s="355">
        <f>$S85*DE_Cost!$B$1</f>
        <v>2.4</v>
      </c>
      <c r="V85" s="355"/>
      <c r="W85" s="355"/>
      <c r="X85" s="355">
        <f t="shared" si="4"/>
        <v>7</v>
      </c>
      <c r="Y85" s="355">
        <f t="shared" si="5"/>
        <v>14</v>
      </c>
      <c r="Z85" s="352" t="s">
        <v>42</v>
      </c>
      <c r="AA85" s="352"/>
      <c r="AB85" s="353"/>
      <c r="AC85" s="353"/>
      <c r="AD85" s="475"/>
      <c r="AE85" s="487">
        <f t="shared" si="6"/>
        <v>5118.462018730489</v>
      </c>
      <c r="AF85" s="335"/>
      <c r="AG85" s="335"/>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c r="BD85" s="335"/>
      <c r="BE85" s="335"/>
      <c r="BF85" s="335"/>
      <c r="BG85" s="335"/>
      <c r="BH85" s="335"/>
      <c r="BI85" s="335"/>
      <c r="BJ85" s="335"/>
      <c r="BK85" s="335"/>
      <c r="BL85" s="335"/>
      <c r="BM85" s="335"/>
      <c r="BN85" s="335"/>
      <c r="BO85" s="335"/>
      <c r="BP85" s="335"/>
      <c r="BQ85" s="335"/>
      <c r="BR85" s="335"/>
      <c r="BS85" s="335"/>
      <c r="BT85" s="335"/>
      <c r="BU85" s="335"/>
      <c r="BV85" s="335"/>
      <c r="BW85" s="335"/>
      <c r="BX85" s="335"/>
      <c r="BY85" s="335"/>
      <c r="BZ85" s="335"/>
      <c r="CA85" s="335"/>
      <c r="CB85" s="335"/>
    </row>
    <row r="86" spans="1:80" ht="108">
      <c r="A86" s="405" t="s">
        <v>140</v>
      </c>
      <c r="B86" s="404" t="s">
        <v>141</v>
      </c>
      <c r="C86" s="351" t="s">
        <v>441</v>
      </c>
      <c r="D86" s="351" t="s">
        <v>509</v>
      </c>
      <c r="E86" s="351" t="s">
        <v>510</v>
      </c>
      <c r="F86" s="351" t="s">
        <v>511</v>
      </c>
      <c r="G86" s="349"/>
      <c r="H86" s="350" t="s">
        <v>512</v>
      </c>
      <c r="I86" s="351" t="s">
        <v>513</v>
      </c>
      <c r="J86" s="350"/>
      <c r="K86" s="349"/>
      <c r="L86" s="348"/>
      <c r="M86" s="348"/>
      <c r="N86" s="354" t="s">
        <v>514</v>
      </c>
      <c r="O86" s="354" t="s">
        <v>515</v>
      </c>
      <c r="P86" s="352" t="s">
        <v>2595</v>
      </c>
      <c r="Q86" s="424" t="s">
        <v>516</v>
      </c>
      <c r="R86" s="352" t="s">
        <v>517</v>
      </c>
      <c r="S86" s="352">
        <v>30</v>
      </c>
      <c r="T86" s="352">
        <f>$S86*DE_Cost!$B$1*8</f>
        <v>288</v>
      </c>
      <c r="U86" s="355">
        <f>$S86*DE_Cost!$B$1</f>
        <v>36</v>
      </c>
      <c r="V86" s="355"/>
      <c r="W86" s="355"/>
      <c r="X86" s="355">
        <f t="shared" si="4"/>
        <v>7</v>
      </c>
      <c r="Y86" s="355">
        <f t="shared" si="5"/>
        <v>210</v>
      </c>
      <c r="Z86" s="352" t="s">
        <v>42</v>
      </c>
      <c r="AA86" s="352"/>
      <c r="AB86" s="353"/>
      <c r="AC86" s="353"/>
      <c r="AD86" s="482"/>
      <c r="AE86" s="487">
        <f t="shared" si="6"/>
        <v>76776.930280957342</v>
      </c>
    </row>
    <row r="87" spans="1:80" ht="126">
      <c r="A87" s="405" t="s">
        <v>140</v>
      </c>
      <c r="B87" s="404" t="s">
        <v>141</v>
      </c>
      <c r="C87" s="351" t="s">
        <v>441</v>
      </c>
      <c r="D87" s="351" t="s">
        <v>518</v>
      </c>
      <c r="E87" s="351" t="s">
        <v>519</v>
      </c>
      <c r="F87" s="351" t="s">
        <v>520</v>
      </c>
      <c r="G87" s="349"/>
      <c r="H87" s="350" t="s">
        <v>521</v>
      </c>
      <c r="I87" s="351" t="s">
        <v>522</v>
      </c>
      <c r="J87" s="350"/>
      <c r="K87" s="349"/>
      <c r="L87" s="348"/>
      <c r="M87" s="348"/>
      <c r="N87" s="354" t="s">
        <v>523</v>
      </c>
      <c r="O87" s="354" t="s">
        <v>524</v>
      </c>
      <c r="P87" s="352" t="s">
        <v>2595</v>
      </c>
      <c r="Q87" s="352"/>
      <c r="R87" s="352"/>
      <c r="S87" s="352">
        <v>10</v>
      </c>
      <c r="T87" s="352">
        <f>$S87*DE_Cost!$B$1*8</f>
        <v>96</v>
      </c>
      <c r="U87" s="355">
        <f>$S87*DE_Cost!$B$1</f>
        <v>12</v>
      </c>
      <c r="V87" s="355"/>
      <c r="W87" s="355"/>
      <c r="X87" s="355">
        <f t="shared" si="4"/>
        <v>7</v>
      </c>
      <c r="Y87" s="355">
        <f t="shared" si="5"/>
        <v>70</v>
      </c>
      <c r="Z87" s="352" t="s">
        <v>42</v>
      </c>
      <c r="AA87" s="352"/>
      <c r="AB87" s="353"/>
      <c r="AC87" s="353"/>
      <c r="AD87" s="474"/>
      <c r="AE87" s="487">
        <f t="shared" si="6"/>
        <v>25592.310093652446</v>
      </c>
    </row>
    <row r="88" spans="1:80" ht="72">
      <c r="A88" s="405" t="s">
        <v>140</v>
      </c>
      <c r="B88" s="404" t="s">
        <v>141</v>
      </c>
      <c r="C88" s="351" t="s">
        <v>441</v>
      </c>
      <c r="D88" s="351" t="s">
        <v>525</v>
      </c>
      <c r="E88" s="351" t="s">
        <v>526</v>
      </c>
      <c r="F88" s="351" t="s">
        <v>527</v>
      </c>
      <c r="G88" s="349"/>
      <c r="H88" s="350" t="s">
        <v>528</v>
      </c>
      <c r="I88" s="351" t="s">
        <v>529</v>
      </c>
      <c r="J88" s="350"/>
      <c r="K88" s="349"/>
      <c r="L88" s="348"/>
      <c r="M88" s="348"/>
      <c r="N88" s="354" t="s">
        <v>530</v>
      </c>
      <c r="O88" s="358"/>
      <c r="P88" s="352" t="s">
        <v>2595</v>
      </c>
      <c r="Q88" s="352"/>
      <c r="R88" s="352"/>
      <c r="S88" s="352">
        <v>3</v>
      </c>
      <c r="T88" s="352">
        <f>$S88*DE_Cost!$B$1*8</f>
        <v>28.799999999999997</v>
      </c>
      <c r="U88" s="355">
        <f>$S88*DE_Cost!$B$1</f>
        <v>3.5999999999999996</v>
      </c>
      <c r="V88" s="355"/>
      <c r="W88" s="355"/>
      <c r="X88" s="355">
        <f t="shared" si="4"/>
        <v>7</v>
      </c>
      <c r="Y88" s="355">
        <f t="shared" si="5"/>
        <v>21</v>
      </c>
      <c r="Z88" s="352" t="s">
        <v>42</v>
      </c>
      <c r="AA88" s="352"/>
      <c r="AB88" s="353"/>
      <c r="AC88" s="353"/>
      <c r="AD88" s="474"/>
      <c r="AE88" s="487">
        <f t="shared" si="6"/>
        <v>7677.693028095734</v>
      </c>
    </row>
    <row r="89" spans="1:80" ht="90">
      <c r="A89" s="405" t="s">
        <v>140</v>
      </c>
      <c r="B89" s="404" t="s">
        <v>141</v>
      </c>
      <c r="C89" s="351" t="s">
        <v>441</v>
      </c>
      <c r="D89" s="357" t="s">
        <v>531</v>
      </c>
      <c r="E89" s="357" t="s">
        <v>532</v>
      </c>
      <c r="F89" s="357" t="s">
        <v>533</v>
      </c>
      <c r="G89" s="349"/>
      <c r="H89" s="350" t="s">
        <v>534</v>
      </c>
      <c r="I89" s="357" t="s">
        <v>535</v>
      </c>
      <c r="J89" s="350"/>
      <c r="K89" s="349"/>
      <c r="L89" s="348"/>
      <c r="M89" s="348"/>
      <c r="N89" s="354" t="s">
        <v>536</v>
      </c>
      <c r="O89" s="354" t="s">
        <v>2585</v>
      </c>
      <c r="P89" s="352" t="s">
        <v>2595</v>
      </c>
      <c r="Q89" s="352"/>
      <c r="R89" s="352"/>
      <c r="S89" s="352">
        <v>2</v>
      </c>
      <c r="T89" s="352">
        <f>$S89*DE_Cost!$B$1*8</f>
        <v>19.2</v>
      </c>
      <c r="U89" s="355">
        <f>$S89*DE_Cost!$B$1</f>
        <v>2.4</v>
      </c>
      <c r="V89" s="355"/>
      <c r="W89" s="355"/>
      <c r="X89" s="355">
        <f t="shared" si="4"/>
        <v>7</v>
      </c>
      <c r="Y89" s="355">
        <f t="shared" si="5"/>
        <v>14</v>
      </c>
      <c r="Z89" s="352" t="s">
        <v>42</v>
      </c>
      <c r="AA89" s="352"/>
      <c r="AB89" s="353"/>
      <c r="AC89" s="353"/>
      <c r="AD89" s="474"/>
      <c r="AE89" s="487">
        <f t="shared" si="6"/>
        <v>5118.462018730489</v>
      </c>
    </row>
    <row r="90" spans="1:80" ht="90">
      <c r="A90" s="405" t="s">
        <v>140</v>
      </c>
      <c r="B90" s="404" t="s">
        <v>141</v>
      </c>
      <c r="C90" s="351" t="s">
        <v>441</v>
      </c>
      <c r="D90" s="351" t="s">
        <v>538</v>
      </c>
      <c r="E90" s="351" t="s">
        <v>539</v>
      </c>
      <c r="F90" s="351" t="s">
        <v>540</v>
      </c>
      <c r="G90" s="349"/>
      <c r="H90" s="350" t="s">
        <v>541</v>
      </c>
      <c r="I90" s="351" t="s">
        <v>542</v>
      </c>
      <c r="J90" s="350"/>
      <c r="K90" s="349"/>
      <c r="L90" s="348"/>
      <c r="M90" s="348"/>
      <c r="N90" s="354" t="s">
        <v>543</v>
      </c>
      <c r="O90" s="354" t="s">
        <v>2586</v>
      </c>
      <c r="P90" s="352" t="s">
        <v>2594</v>
      </c>
      <c r="Q90" s="352"/>
      <c r="R90" s="352"/>
      <c r="S90" s="352">
        <v>10</v>
      </c>
      <c r="T90" s="352">
        <f>$S90*DE_Cost!$B$1*8</f>
        <v>96</v>
      </c>
      <c r="U90" s="355">
        <f>$S90*DE_Cost!$B$1</f>
        <v>12</v>
      </c>
      <c r="V90" s="355"/>
      <c r="W90" s="355"/>
      <c r="X90" s="355">
        <f t="shared" si="4"/>
        <v>6</v>
      </c>
      <c r="Y90" s="355">
        <f t="shared" si="5"/>
        <v>60</v>
      </c>
      <c r="Z90" s="352" t="s">
        <v>150</v>
      </c>
      <c r="AA90" s="352" t="s">
        <v>545</v>
      </c>
      <c r="AB90" s="353"/>
      <c r="AC90" s="353"/>
      <c r="AD90" s="482"/>
      <c r="AE90" s="487">
        <f t="shared" si="6"/>
        <v>21936.265794559236</v>
      </c>
    </row>
    <row r="91" spans="1:80" ht="72">
      <c r="A91" s="405" t="s">
        <v>140</v>
      </c>
      <c r="B91" s="404" t="s">
        <v>141</v>
      </c>
      <c r="C91" s="351" t="s">
        <v>441</v>
      </c>
      <c r="D91" s="351" t="s">
        <v>546</v>
      </c>
      <c r="E91" s="351" t="s">
        <v>547</v>
      </c>
      <c r="F91" s="351" t="s">
        <v>548</v>
      </c>
      <c r="G91" s="349"/>
      <c r="H91" s="350" t="s">
        <v>549</v>
      </c>
      <c r="I91" s="351" t="s">
        <v>550</v>
      </c>
      <c r="J91" s="350"/>
      <c r="K91" s="349"/>
      <c r="L91" s="348"/>
      <c r="M91" s="348"/>
      <c r="N91" s="354" t="s">
        <v>551</v>
      </c>
      <c r="O91" s="354" t="s">
        <v>552</v>
      </c>
      <c r="P91" s="352" t="s">
        <v>2595</v>
      </c>
      <c r="Q91" s="352"/>
      <c r="R91" s="352"/>
      <c r="S91" s="352">
        <v>5</v>
      </c>
      <c r="T91" s="352">
        <f>$S91*DE_Cost!$B$1*8</f>
        <v>48</v>
      </c>
      <c r="U91" s="355">
        <f>$S91*DE_Cost!$B$1</f>
        <v>6</v>
      </c>
      <c r="V91" s="355"/>
      <c r="W91" s="355"/>
      <c r="X91" s="355">
        <f t="shared" si="4"/>
        <v>7</v>
      </c>
      <c r="Y91" s="355">
        <f t="shared" si="5"/>
        <v>35</v>
      </c>
      <c r="Z91" s="352" t="s">
        <v>42</v>
      </c>
      <c r="AA91" s="352"/>
      <c r="AB91" s="353"/>
      <c r="AC91" s="353"/>
      <c r="AD91" s="482"/>
      <c r="AE91" s="487">
        <f t="shared" si="6"/>
        <v>12796.155046826223</v>
      </c>
    </row>
    <row r="92" spans="1:80" ht="72">
      <c r="A92" s="405" t="s">
        <v>140</v>
      </c>
      <c r="B92" s="404" t="s">
        <v>553</v>
      </c>
      <c r="C92" s="351" t="s">
        <v>441</v>
      </c>
      <c r="D92" s="357" t="s">
        <v>554</v>
      </c>
      <c r="E92" s="357" t="s">
        <v>555</v>
      </c>
      <c r="F92" s="357" t="s">
        <v>556</v>
      </c>
      <c r="G92" s="349"/>
      <c r="H92" s="350" t="s">
        <v>557</v>
      </c>
      <c r="I92" s="357" t="s">
        <v>558</v>
      </c>
      <c r="J92" s="350"/>
      <c r="K92" s="349"/>
      <c r="L92" s="348"/>
      <c r="M92" s="348"/>
      <c r="N92" s="354" t="s">
        <v>559</v>
      </c>
      <c r="O92" s="354" t="s">
        <v>560</v>
      </c>
      <c r="P92" s="352" t="s">
        <v>2595</v>
      </c>
      <c r="Q92" s="352"/>
      <c r="R92" s="352"/>
      <c r="S92" s="352">
        <v>4</v>
      </c>
      <c r="T92" s="352">
        <f>$S92*DE_Cost!$B$1*8</f>
        <v>38.4</v>
      </c>
      <c r="U92" s="355">
        <f>$S92*DE_Cost!$B$1</f>
        <v>4.8</v>
      </c>
      <c r="V92" s="355"/>
      <c r="W92" s="355"/>
      <c r="X92" s="355">
        <f t="shared" si="4"/>
        <v>7</v>
      </c>
      <c r="Y92" s="355">
        <f t="shared" si="5"/>
        <v>28</v>
      </c>
      <c r="Z92" s="352" t="s">
        <v>42</v>
      </c>
      <c r="AA92" s="352"/>
      <c r="AB92" s="353"/>
      <c r="AC92" s="353"/>
      <c r="AD92" s="482"/>
      <c r="AE92" s="487">
        <f t="shared" si="6"/>
        <v>10236.924037460978</v>
      </c>
    </row>
    <row r="93" spans="1:80" ht="90">
      <c r="A93" s="405" t="s">
        <v>140</v>
      </c>
      <c r="B93" s="404" t="s">
        <v>141</v>
      </c>
      <c r="C93" s="351" t="s">
        <v>441</v>
      </c>
      <c r="D93" s="351" t="s">
        <v>561</v>
      </c>
      <c r="E93" s="351" t="s">
        <v>562</v>
      </c>
      <c r="F93" s="351" t="s">
        <v>563</v>
      </c>
      <c r="G93" s="349"/>
      <c r="H93" s="350" t="s">
        <v>564</v>
      </c>
      <c r="I93" s="351" t="s">
        <v>565</v>
      </c>
      <c r="J93" s="350"/>
      <c r="K93" s="349"/>
      <c r="L93" s="348"/>
      <c r="M93" s="348"/>
      <c r="N93" s="354" t="s">
        <v>566</v>
      </c>
      <c r="O93" s="354" t="s">
        <v>567</v>
      </c>
      <c r="P93" s="352" t="s">
        <v>2597</v>
      </c>
      <c r="Q93" s="352"/>
      <c r="R93" s="352"/>
      <c r="S93" s="352">
        <v>5</v>
      </c>
      <c r="T93" s="352">
        <f>$S93*DE_Cost!$B$1*8</f>
        <v>48</v>
      </c>
      <c r="U93" s="355">
        <f>$S93*DE_Cost!$B$1</f>
        <v>6</v>
      </c>
      <c r="V93" s="355"/>
      <c r="W93" s="355"/>
      <c r="X93" s="355">
        <f t="shared" si="4"/>
        <v>6</v>
      </c>
      <c r="Y93" s="355">
        <f t="shared" si="5"/>
        <v>30</v>
      </c>
      <c r="Z93" s="352" t="s">
        <v>42</v>
      </c>
      <c r="AA93" s="352"/>
      <c r="AB93" s="353"/>
      <c r="AC93" s="353"/>
      <c r="AD93" s="482"/>
      <c r="AE93" s="487">
        <f t="shared" si="6"/>
        <v>10968.132897279618</v>
      </c>
    </row>
    <row r="94" spans="1:80" ht="126">
      <c r="A94" s="405" t="s">
        <v>140</v>
      </c>
      <c r="B94" s="404" t="s">
        <v>141</v>
      </c>
      <c r="C94" s="351" t="s">
        <v>568</v>
      </c>
      <c r="D94" s="351" t="s">
        <v>569</v>
      </c>
      <c r="E94" s="351" t="s">
        <v>570</v>
      </c>
      <c r="F94" s="351" t="s">
        <v>571</v>
      </c>
      <c r="G94" s="349"/>
      <c r="H94" s="350" t="s">
        <v>572</v>
      </c>
      <c r="I94" s="351" t="s">
        <v>573</v>
      </c>
      <c r="J94" s="350"/>
      <c r="K94" s="349"/>
      <c r="L94" s="348"/>
      <c r="M94" s="348"/>
      <c r="N94" s="354" t="s">
        <v>574</v>
      </c>
      <c r="O94" s="354" t="s">
        <v>575</v>
      </c>
      <c r="P94" s="352" t="s">
        <v>2597</v>
      </c>
      <c r="Q94" s="352"/>
      <c r="R94" s="352"/>
      <c r="S94" s="352">
        <v>13</v>
      </c>
      <c r="T94" s="352">
        <f>$S94*DE_Cost!$B$1*8</f>
        <v>124.8</v>
      </c>
      <c r="U94" s="355">
        <f>$S94*DE_Cost!$B$1</f>
        <v>15.6</v>
      </c>
      <c r="V94" s="355"/>
      <c r="W94" s="355"/>
      <c r="X94" s="355">
        <f t="shared" si="4"/>
        <v>6</v>
      </c>
      <c r="Y94" s="355">
        <f t="shared" si="5"/>
        <v>78</v>
      </c>
      <c r="Z94" s="352" t="s">
        <v>42</v>
      </c>
      <c r="AA94" s="352"/>
      <c r="AB94" s="353"/>
      <c r="AC94" s="353"/>
      <c r="AD94" s="482"/>
      <c r="AE94" s="487">
        <f t="shared" si="6"/>
        <v>28517.14553292701</v>
      </c>
    </row>
    <row r="95" spans="1:80" ht="252">
      <c r="A95" s="405" t="s">
        <v>140</v>
      </c>
      <c r="B95" s="404" t="s">
        <v>141</v>
      </c>
      <c r="C95" s="351" t="s">
        <v>576</v>
      </c>
      <c r="D95" s="351" t="s">
        <v>577</v>
      </c>
      <c r="E95" s="351" t="s">
        <v>578</v>
      </c>
      <c r="F95" s="351" t="s">
        <v>579</v>
      </c>
      <c r="G95" s="349"/>
      <c r="H95" s="350" t="s">
        <v>580</v>
      </c>
      <c r="I95" s="351" t="s">
        <v>581</v>
      </c>
      <c r="J95" s="350"/>
      <c r="K95" s="349"/>
      <c r="L95" s="348"/>
      <c r="M95" s="348"/>
      <c r="N95" s="354" t="s">
        <v>582</v>
      </c>
      <c r="O95" s="354" t="s">
        <v>583</v>
      </c>
      <c r="P95" s="352" t="s">
        <v>2596</v>
      </c>
      <c r="Q95" s="352"/>
      <c r="R95" s="352"/>
      <c r="S95" s="352">
        <v>3</v>
      </c>
      <c r="T95" s="352">
        <f>$S95*DE_Cost!$B$1*8</f>
        <v>28.799999999999997</v>
      </c>
      <c r="U95" s="355">
        <f>$S95*DE_Cost!$B$1</f>
        <v>3.5999999999999996</v>
      </c>
      <c r="V95" s="355"/>
      <c r="W95" s="355"/>
      <c r="X95" s="355">
        <f t="shared" si="4"/>
        <v>4</v>
      </c>
      <c r="Y95" s="355">
        <f t="shared" si="5"/>
        <v>12</v>
      </c>
      <c r="Z95" s="352" t="s">
        <v>42</v>
      </c>
      <c r="AA95" s="352"/>
      <c r="AB95" s="353"/>
      <c r="AC95" s="353"/>
      <c r="AD95" s="482"/>
      <c r="AE95" s="487">
        <f t="shared" si="6"/>
        <v>4387.2531589118471</v>
      </c>
    </row>
    <row r="96" spans="1:80" ht="108">
      <c r="A96" s="405" t="s">
        <v>140</v>
      </c>
      <c r="B96" s="404" t="s">
        <v>141</v>
      </c>
      <c r="C96" s="351" t="s">
        <v>576</v>
      </c>
      <c r="D96" s="351" t="s">
        <v>584</v>
      </c>
      <c r="E96" s="351" t="s">
        <v>585</v>
      </c>
      <c r="F96" s="351" t="s">
        <v>586</v>
      </c>
      <c r="G96" s="349"/>
      <c r="H96" s="350" t="s">
        <v>587</v>
      </c>
      <c r="I96" s="351" t="s">
        <v>588</v>
      </c>
      <c r="J96" s="350"/>
      <c r="K96" s="349"/>
      <c r="L96" s="348"/>
      <c r="M96" s="348"/>
      <c r="N96" s="354" t="s">
        <v>589</v>
      </c>
      <c r="O96" s="354" t="s">
        <v>590</v>
      </c>
      <c r="P96" s="352" t="s">
        <v>2593</v>
      </c>
      <c r="Q96" s="352"/>
      <c r="R96" s="352"/>
      <c r="S96" s="352">
        <v>30</v>
      </c>
      <c r="T96" s="352">
        <f>$S96*DE_Cost!$B$1*8</f>
        <v>288</v>
      </c>
      <c r="U96" s="355">
        <f>$S96*DE_Cost!$B$1</f>
        <v>36</v>
      </c>
      <c r="V96" s="355"/>
      <c r="W96" s="355"/>
      <c r="X96" s="355">
        <f t="shared" si="4"/>
        <v>6</v>
      </c>
      <c r="Y96" s="355">
        <f t="shared" si="5"/>
        <v>180</v>
      </c>
      <c r="Z96" s="352" t="s">
        <v>42</v>
      </c>
      <c r="AA96" s="352"/>
      <c r="AB96" s="353"/>
      <c r="AC96" s="353"/>
      <c r="AD96" s="482"/>
      <c r="AE96" s="487">
        <f t="shared" si="6"/>
        <v>65808.797383677724</v>
      </c>
    </row>
    <row r="97" spans="1:80" ht="90">
      <c r="A97" s="405" t="s">
        <v>140</v>
      </c>
      <c r="B97" s="404" t="s">
        <v>141</v>
      </c>
      <c r="C97" s="351" t="s">
        <v>576</v>
      </c>
      <c r="D97" s="357" t="s">
        <v>591</v>
      </c>
      <c r="E97" s="357" t="s">
        <v>592</v>
      </c>
      <c r="F97" s="357" t="s">
        <v>593</v>
      </c>
      <c r="G97" s="349"/>
      <c r="H97" s="350" t="s">
        <v>594</v>
      </c>
      <c r="I97" s="357" t="s">
        <v>595</v>
      </c>
      <c r="J97" s="350"/>
      <c r="K97" s="349"/>
      <c r="L97" s="348"/>
      <c r="M97" s="348"/>
      <c r="N97" s="354" t="s">
        <v>596</v>
      </c>
      <c r="O97" s="354" t="s">
        <v>597</v>
      </c>
      <c r="P97" s="352" t="s">
        <v>2593</v>
      </c>
      <c r="Q97" s="352"/>
      <c r="R97" s="352"/>
      <c r="S97" s="352">
        <v>30</v>
      </c>
      <c r="T97" s="352">
        <f>$S97*DE_Cost!$B$1*8</f>
        <v>288</v>
      </c>
      <c r="U97" s="355">
        <f>$S97*DE_Cost!$B$1</f>
        <v>36</v>
      </c>
      <c r="V97" s="355"/>
      <c r="W97" s="355"/>
      <c r="X97" s="355">
        <f t="shared" si="4"/>
        <v>6</v>
      </c>
      <c r="Y97" s="355">
        <f t="shared" si="5"/>
        <v>180</v>
      </c>
      <c r="Z97" s="352" t="s">
        <v>42</v>
      </c>
      <c r="AA97" s="352"/>
      <c r="AB97" s="353"/>
      <c r="AC97" s="353"/>
      <c r="AD97" s="482"/>
      <c r="AE97" s="487">
        <f t="shared" si="6"/>
        <v>65808.797383677724</v>
      </c>
    </row>
    <row r="98" spans="1:80" s="417" customFormat="1" ht="90">
      <c r="A98" s="423" t="s">
        <v>140</v>
      </c>
      <c r="B98" s="422" t="s">
        <v>141</v>
      </c>
      <c r="C98" s="413" t="s">
        <v>576</v>
      </c>
      <c r="D98" s="374" t="s">
        <v>598</v>
      </c>
      <c r="E98" s="374" t="s">
        <v>599</v>
      </c>
      <c r="F98" s="374" t="s">
        <v>600</v>
      </c>
      <c r="G98" s="369"/>
      <c r="H98" s="373" t="s">
        <v>601</v>
      </c>
      <c r="I98" s="374" t="s">
        <v>602</v>
      </c>
      <c r="J98" s="373"/>
      <c r="K98" s="369"/>
      <c r="L98" s="421"/>
      <c r="M98" s="421"/>
      <c r="N98" s="420" t="s">
        <v>603</v>
      </c>
      <c r="O98" s="420" t="s">
        <v>604</v>
      </c>
      <c r="P98" s="352" t="s">
        <v>2593</v>
      </c>
      <c r="Q98" s="418"/>
      <c r="R98" s="418"/>
      <c r="S98" s="418">
        <v>5</v>
      </c>
      <c r="T98" s="418">
        <f>$S98*DE_Cost!$B$1*8</f>
        <v>48</v>
      </c>
      <c r="U98" s="419">
        <f>$S98*DE_Cost!$B$1</f>
        <v>6</v>
      </c>
      <c r="V98" s="355"/>
      <c r="W98" s="355"/>
      <c r="X98" s="355">
        <f t="shared" si="4"/>
        <v>6</v>
      </c>
      <c r="Y98" s="355">
        <f t="shared" si="5"/>
        <v>30</v>
      </c>
      <c r="Z98" s="418" t="s">
        <v>42</v>
      </c>
      <c r="AA98" s="352"/>
      <c r="AB98" s="353"/>
      <c r="AC98" s="353"/>
      <c r="AD98" s="482"/>
      <c r="AE98" s="487">
        <f t="shared" si="6"/>
        <v>10968.132897279618</v>
      </c>
    </row>
    <row r="99" spans="1:80" ht="108">
      <c r="A99" s="405" t="s">
        <v>140</v>
      </c>
      <c r="B99" s="404" t="s">
        <v>141</v>
      </c>
      <c r="C99" s="351" t="s">
        <v>576</v>
      </c>
      <c r="D99" s="357" t="s">
        <v>605</v>
      </c>
      <c r="E99" s="357" t="s">
        <v>606</v>
      </c>
      <c r="F99" s="357" t="s">
        <v>607</v>
      </c>
      <c r="G99" s="349"/>
      <c r="H99" s="350" t="s">
        <v>608</v>
      </c>
      <c r="I99" s="357" t="s">
        <v>609</v>
      </c>
      <c r="J99" s="350"/>
      <c r="K99" s="349"/>
      <c r="L99" s="348"/>
      <c r="M99" s="348"/>
      <c r="N99" s="354" t="s">
        <v>610</v>
      </c>
      <c r="O99" s="354" t="s">
        <v>611</v>
      </c>
      <c r="P99" s="352" t="s">
        <v>2597</v>
      </c>
      <c r="Q99" s="352"/>
      <c r="R99" s="352" t="s">
        <v>612</v>
      </c>
      <c r="S99" s="352">
        <v>5</v>
      </c>
      <c r="T99" s="352">
        <f>$S99*DE_Cost!$B$1*8</f>
        <v>48</v>
      </c>
      <c r="U99" s="355">
        <f>$S99*DE_Cost!$B$1</f>
        <v>6</v>
      </c>
      <c r="V99" s="355"/>
      <c r="W99" s="355"/>
      <c r="X99" s="355">
        <f t="shared" si="4"/>
        <v>6</v>
      </c>
      <c r="Y99" s="355">
        <f t="shared" si="5"/>
        <v>30</v>
      </c>
      <c r="Z99" s="352" t="s">
        <v>150</v>
      </c>
      <c r="AA99" s="352" t="s">
        <v>613</v>
      </c>
      <c r="AB99" s="353"/>
      <c r="AC99" s="353"/>
      <c r="AD99" s="482"/>
      <c r="AE99" s="487">
        <f t="shared" si="6"/>
        <v>10968.132897279618</v>
      </c>
    </row>
    <row r="100" spans="1:80" ht="108">
      <c r="A100" s="405" t="s">
        <v>140</v>
      </c>
      <c r="B100" s="404" t="s">
        <v>141</v>
      </c>
      <c r="C100" s="351" t="s">
        <v>576</v>
      </c>
      <c r="D100" s="357" t="s">
        <v>614</v>
      </c>
      <c r="E100" s="357" t="s">
        <v>615</v>
      </c>
      <c r="F100" s="357" t="s">
        <v>616</v>
      </c>
      <c r="G100" s="349"/>
      <c r="H100" s="350" t="s">
        <v>617</v>
      </c>
      <c r="I100" s="357" t="s">
        <v>618</v>
      </c>
      <c r="J100" s="350"/>
      <c r="K100" s="349"/>
      <c r="L100" s="348"/>
      <c r="M100" s="348"/>
      <c r="N100" s="354" t="s">
        <v>619</v>
      </c>
      <c r="O100" s="354" t="s">
        <v>620</v>
      </c>
      <c r="P100" s="352" t="s">
        <v>2595</v>
      </c>
      <c r="Q100" s="352"/>
      <c r="R100" s="352"/>
      <c r="S100" s="352">
        <v>25</v>
      </c>
      <c r="T100" s="352">
        <f>$S100*DE_Cost!$B$1*8</f>
        <v>240</v>
      </c>
      <c r="U100" s="355">
        <f>$S100*DE_Cost!$B$1</f>
        <v>30</v>
      </c>
      <c r="V100" s="355"/>
      <c r="W100" s="355"/>
      <c r="X100" s="355">
        <f t="shared" si="4"/>
        <v>7</v>
      </c>
      <c r="Y100" s="355">
        <f t="shared" si="5"/>
        <v>175</v>
      </c>
      <c r="Z100" s="352" t="s">
        <v>150</v>
      </c>
      <c r="AA100" s="352" t="s">
        <v>621</v>
      </c>
      <c r="AB100" s="353"/>
      <c r="AC100" s="353"/>
      <c r="AD100" s="482"/>
      <c r="AE100" s="487">
        <f t="shared" si="6"/>
        <v>63980.775234131113</v>
      </c>
    </row>
    <row r="101" spans="1:80" ht="108">
      <c r="A101" s="405" t="s">
        <v>140</v>
      </c>
      <c r="B101" s="404" t="s">
        <v>141</v>
      </c>
      <c r="C101" s="351" t="s">
        <v>576</v>
      </c>
      <c r="D101" s="351" t="s">
        <v>622</v>
      </c>
      <c r="E101" s="351" t="s">
        <v>623</v>
      </c>
      <c r="F101" s="351" t="s">
        <v>624</v>
      </c>
      <c r="G101" s="349"/>
      <c r="H101" s="350" t="s">
        <v>625</v>
      </c>
      <c r="I101" s="351" t="s">
        <v>626</v>
      </c>
      <c r="J101" s="350"/>
      <c r="K101" s="349"/>
      <c r="L101" s="348"/>
      <c r="M101" s="348"/>
      <c r="N101" s="354" t="s">
        <v>627</v>
      </c>
      <c r="O101" s="354" t="s">
        <v>628</v>
      </c>
      <c r="P101" s="352" t="s">
        <v>2597</v>
      </c>
      <c r="Q101" s="352"/>
      <c r="R101" s="352"/>
      <c r="S101" s="352">
        <v>5</v>
      </c>
      <c r="T101" s="352">
        <f>$S101*DE_Cost!$B$1*8</f>
        <v>48</v>
      </c>
      <c r="U101" s="355">
        <f>$S101*DE_Cost!$B$1</f>
        <v>6</v>
      </c>
      <c r="V101" s="355"/>
      <c r="W101" s="355"/>
      <c r="X101" s="355">
        <f t="shared" ref="X101:X164" si="7">IF(TRIM(P101)="", 0, LEN(P101) - LEN(SUBSTITUTE(P101, "&amp;", "")) + 1)</f>
        <v>6</v>
      </c>
      <c r="Y101" s="355">
        <f t="shared" si="5"/>
        <v>30</v>
      </c>
      <c r="Z101" s="352" t="s">
        <v>150</v>
      </c>
      <c r="AA101" s="352" t="s">
        <v>629</v>
      </c>
      <c r="AB101" s="353"/>
      <c r="AC101" s="353"/>
      <c r="AD101" s="482"/>
      <c r="AE101" s="487">
        <f t="shared" si="6"/>
        <v>10968.132897279618</v>
      </c>
    </row>
    <row r="102" spans="1:80" ht="126">
      <c r="A102" s="405" t="s">
        <v>140</v>
      </c>
      <c r="B102" s="404" t="s">
        <v>141</v>
      </c>
      <c r="C102" s="351" t="s">
        <v>576</v>
      </c>
      <c r="D102" s="351" t="s">
        <v>630</v>
      </c>
      <c r="E102" s="351" t="s">
        <v>631</v>
      </c>
      <c r="F102" s="351" t="s">
        <v>632</v>
      </c>
      <c r="G102" s="349"/>
      <c r="H102" s="350" t="s">
        <v>633</v>
      </c>
      <c r="I102" s="351" t="s">
        <v>634</v>
      </c>
      <c r="J102" s="350"/>
      <c r="K102" s="349"/>
      <c r="L102" s="348"/>
      <c r="M102" s="348"/>
      <c r="N102" s="354" t="s">
        <v>635</v>
      </c>
      <c r="O102" s="354" t="s">
        <v>636</v>
      </c>
      <c r="P102" s="352" t="s">
        <v>2595</v>
      </c>
      <c r="Q102" s="352"/>
      <c r="R102" s="352"/>
      <c r="S102" s="352">
        <v>8</v>
      </c>
      <c r="T102" s="352">
        <f>$S102*DE_Cost!$B$1*8</f>
        <v>76.8</v>
      </c>
      <c r="U102" s="355">
        <f>$S102*DE_Cost!$B$1</f>
        <v>9.6</v>
      </c>
      <c r="V102" s="355"/>
      <c r="W102" s="355"/>
      <c r="X102" s="355">
        <f t="shared" si="7"/>
        <v>7</v>
      </c>
      <c r="Y102" s="355">
        <f t="shared" ref="Y102:Y165" si="8">S102 * X102</f>
        <v>56</v>
      </c>
      <c r="Z102" s="352" t="s">
        <v>42</v>
      </c>
      <c r="AA102" s="352"/>
      <c r="AB102" s="353"/>
      <c r="AC102" s="353"/>
      <c r="AD102" s="482"/>
      <c r="AE102" s="487">
        <f t="shared" ref="AE102:AE165" si="9">(Y102 / $AE$2) * $AC$2</f>
        <v>20473.848074921956</v>
      </c>
    </row>
    <row r="103" spans="1:80" ht="126">
      <c r="A103" s="405" t="s">
        <v>140</v>
      </c>
      <c r="B103" s="404" t="s">
        <v>141</v>
      </c>
      <c r="C103" s="351" t="s">
        <v>576</v>
      </c>
      <c r="D103" s="351" t="s">
        <v>637</v>
      </c>
      <c r="E103" s="351" t="s">
        <v>638</v>
      </c>
      <c r="F103" s="351" t="s">
        <v>639</v>
      </c>
      <c r="G103" s="349"/>
      <c r="H103" s="350" t="s">
        <v>640</v>
      </c>
      <c r="I103" s="351" t="s">
        <v>641</v>
      </c>
      <c r="J103" s="350"/>
      <c r="K103" s="349"/>
      <c r="L103" s="348"/>
      <c r="M103" s="348"/>
      <c r="N103" s="354" t="s">
        <v>642</v>
      </c>
      <c r="O103" s="354" t="s">
        <v>643</v>
      </c>
      <c r="P103" s="352" t="s">
        <v>2595</v>
      </c>
      <c r="Q103" s="352"/>
      <c r="R103" s="352"/>
      <c r="S103" s="352">
        <v>2</v>
      </c>
      <c r="T103" s="352">
        <f>$S103*DE_Cost!$B$1*8</f>
        <v>19.2</v>
      </c>
      <c r="U103" s="355">
        <f>$S103*DE_Cost!$B$1</f>
        <v>2.4</v>
      </c>
      <c r="V103" s="355"/>
      <c r="W103" s="355"/>
      <c r="X103" s="355">
        <f t="shared" si="7"/>
        <v>7</v>
      </c>
      <c r="Y103" s="355">
        <f t="shared" si="8"/>
        <v>14</v>
      </c>
      <c r="Z103" s="352" t="s">
        <v>150</v>
      </c>
      <c r="AA103" s="352" t="s">
        <v>644</v>
      </c>
      <c r="AB103" s="353"/>
      <c r="AC103" s="353"/>
      <c r="AD103" s="482"/>
      <c r="AE103" s="487">
        <f t="shared" si="9"/>
        <v>5118.462018730489</v>
      </c>
    </row>
    <row r="104" spans="1:80" ht="72">
      <c r="A104" s="405" t="s">
        <v>140</v>
      </c>
      <c r="B104" s="404" t="s">
        <v>141</v>
      </c>
      <c r="C104" s="351" t="s">
        <v>576</v>
      </c>
      <c r="D104" s="357" t="s">
        <v>645</v>
      </c>
      <c r="E104" s="357" t="s">
        <v>646</v>
      </c>
      <c r="F104" s="357" t="s">
        <v>647</v>
      </c>
      <c r="G104" s="349"/>
      <c r="H104" s="350" t="s">
        <v>648</v>
      </c>
      <c r="I104" s="357" t="s">
        <v>649</v>
      </c>
      <c r="J104" s="350"/>
      <c r="K104" s="349"/>
      <c r="L104" s="348"/>
      <c r="M104" s="348"/>
      <c r="N104" s="354" t="s">
        <v>650</v>
      </c>
      <c r="O104" s="354"/>
      <c r="P104" s="352" t="s">
        <v>2595</v>
      </c>
      <c r="Q104" s="352"/>
      <c r="R104" s="352"/>
      <c r="S104" s="352">
        <v>3</v>
      </c>
      <c r="T104" s="352">
        <f>$S104*DE_Cost!$B$1*8</f>
        <v>28.799999999999997</v>
      </c>
      <c r="U104" s="355">
        <f>$S104*DE_Cost!$B$1</f>
        <v>3.5999999999999996</v>
      </c>
      <c r="V104" s="355"/>
      <c r="W104" s="355"/>
      <c r="X104" s="355">
        <f t="shared" si="7"/>
        <v>7</v>
      </c>
      <c r="Y104" s="355">
        <f t="shared" si="8"/>
        <v>21</v>
      </c>
      <c r="Z104" s="352" t="s">
        <v>42</v>
      </c>
      <c r="AA104" s="352"/>
      <c r="AB104" s="353"/>
      <c r="AC104" s="353"/>
      <c r="AD104" s="482"/>
      <c r="AE104" s="487">
        <f t="shared" si="9"/>
        <v>7677.693028095734</v>
      </c>
    </row>
    <row r="105" spans="1:80" ht="66" customHeight="1">
      <c r="A105" s="405" t="s">
        <v>140</v>
      </c>
      <c r="B105" s="404" t="s">
        <v>141</v>
      </c>
      <c r="C105" s="351" t="s">
        <v>576</v>
      </c>
      <c r="D105" s="351" t="s">
        <v>651</v>
      </c>
      <c r="E105" s="351" t="s">
        <v>652</v>
      </c>
      <c r="F105" s="351" t="s">
        <v>653</v>
      </c>
      <c r="G105" s="349"/>
      <c r="H105" s="350" t="s">
        <v>654</v>
      </c>
      <c r="I105" s="351" t="s">
        <v>655</v>
      </c>
      <c r="J105" s="350"/>
      <c r="K105" s="349"/>
      <c r="L105" s="348"/>
      <c r="M105" s="348"/>
      <c r="N105" s="354" t="s">
        <v>656</v>
      </c>
      <c r="O105" s="354" t="s">
        <v>657</v>
      </c>
      <c r="P105" s="352" t="s">
        <v>2593</v>
      </c>
      <c r="Q105" s="352"/>
      <c r="R105" s="352"/>
      <c r="S105" s="352">
        <v>3</v>
      </c>
      <c r="T105" s="352">
        <f>$S105*DE_Cost!$B$1*8</f>
        <v>28.799999999999997</v>
      </c>
      <c r="U105" s="355">
        <f>$S105*DE_Cost!$B$1</f>
        <v>3.5999999999999996</v>
      </c>
      <c r="V105" s="355"/>
      <c r="W105" s="355"/>
      <c r="X105" s="355">
        <f t="shared" si="7"/>
        <v>6</v>
      </c>
      <c r="Y105" s="355">
        <f t="shared" si="8"/>
        <v>18</v>
      </c>
      <c r="Z105" s="352" t="s">
        <v>42</v>
      </c>
      <c r="AA105" s="352"/>
      <c r="AB105" s="353"/>
      <c r="AC105" s="353"/>
      <c r="AD105" s="482"/>
      <c r="AE105" s="487">
        <f t="shared" si="9"/>
        <v>6580.8797383677711</v>
      </c>
    </row>
    <row r="106" spans="1:80" ht="108">
      <c r="A106" s="405" t="s">
        <v>140</v>
      </c>
      <c r="B106" s="404" t="s">
        <v>141</v>
      </c>
      <c r="C106" s="351" t="s">
        <v>576</v>
      </c>
      <c r="D106" s="351" t="s">
        <v>658</v>
      </c>
      <c r="E106" s="351" t="s">
        <v>659</v>
      </c>
      <c r="F106" s="351" t="s">
        <v>660</v>
      </c>
      <c r="G106" s="349"/>
      <c r="H106" s="350" t="s">
        <v>661</v>
      </c>
      <c r="I106" s="351" t="s">
        <v>662</v>
      </c>
      <c r="J106" s="350"/>
      <c r="K106" s="349"/>
      <c r="L106" s="348"/>
      <c r="M106" s="348"/>
      <c r="N106" s="354" t="s">
        <v>663</v>
      </c>
      <c r="O106" s="354" t="s">
        <v>664</v>
      </c>
      <c r="P106" s="352" t="s">
        <v>2593</v>
      </c>
      <c r="Q106" s="352"/>
      <c r="R106" s="352"/>
      <c r="S106" s="352">
        <v>6</v>
      </c>
      <c r="T106" s="352">
        <f>$S106*DE_Cost!$B$1*8</f>
        <v>57.599999999999994</v>
      </c>
      <c r="U106" s="355">
        <f>$S106*DE_Cost!$B$1</f>
        <v>7.1999999999999993</v>
      </c>
      <c r="V106" s="355"/>
      <c r="W106" s="355"/>
      <c r="X106" s="355">
        <f t="shared" si="7"/>
        <v>6</v>
      </c>
      <c r="Y106" s="355">
        <f t="shared" si="8"/>
        <v>36</v>
      </c>
      <c r="Z106" s="352" t="s">
        <v>42</v>
      </c>
      <c r="AA106" s="352"/>
      <c r="AB106" s="353"/>
      <c r="AC106" s="353"/>
      <c r="AD106" s="482"/>
      <c r="AE106" s="487">
        <f t="shared" si="9"/>
        <v>13161.759476735542</v>
      </c>
    </row>
    <row r="107" spans="1:80" s="414" customFormat="1" ht="108">
      <c r="A107" s="349" t="s">
        <v>140</v>
      </c>
      <c r="B107" s="349" t="s">
        <v>141</v>
      </c>
      <c r="C107" s="349" t="s">
        <v>576</v>
      </c>
      <c r="D107" s="349" t="s">
        <v>665</v>
      </c>
      <c r="E107" s="349" t="s">
        <v>666</v>
      </c>
      <c r="F107" s="349" t="s">
        <v>667</v>
      </c>
      <c r="G107" s="349"/>
      <c r="H107" s="350" t="s">
        <v>668</v>
      </c>
      <c r="I107" s="350" t="s">
        <v>669</v>
      </c>
      <c r="J107" s="416"/>
      <c r="K107" s="349"/>
      <c r="L107" s="348"/>
      <c r="M107" s="348"/>
      <c r="N107" s="354" t="s">
        <v>670</v>
      </c>
      <c r="O107" s="354" t="s">
        <v>671</v>
      </c>
      <c r="P107" s="352" t="s">
        <v>2593</v>
      </c>
      <c r="Q107" s="354"/>
      <c r="R107" s="352"/>
      <c r="S107" s="352">
        <v>10</v>
      </c>
      <c r="T107" s="352">
        <f>$S107*DE_Cost!$B$1*8</f>
        <v>96</v>
      </c>
      <c r="U107" s="352">
        <f>$S107*DE_Cost!$B$1</f>
        <v>12</v>
      </c>
      <c r="V107" s="355"/>
      <c r="W107" s="355"/>
      <c r="X107" s="355">
        <f t="shared" si="7"/>
        <v>6</v>
      </c>
      <c r="Y107" s="355">
        <f t="shared" si="8"/>
        <v>60</v>
      </c>
      <c r="Z107" s="352" t="s">
        <v>42</v>
      </c>
      <c r="AA107" s="352"/>
      <c r="AB107" s="353"/>
      <c r="AC107" s="353"/>
      <c r="AD107" s="482"/>
      <c r="AE107" s="487">
        <f t="shared" si="9"/>
        <v>21936.265794559236</v>
      </c>
      <c r="AF107" s="335"/>
      <c r="AG107" s="335"/>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c r="BD107" s="335"/>
      <c r="BE107" s="335"/>
      <c r="BF107" s="335"/>
      <c r="BG107" s="335"/>
      <c r="BH107" s="335"/>
      <c r="BI107" s="335"/>
      <c r="BJ107" s="335"/>
      <c r="BK107" s="335"/>
      <c r="BL107" s="335"/>
      <c r="BM107" s="335"/>
      <c r="BN107" s="335"/>
      <c r="BO107" s="335"/>
      <c r="BP107" s="335"/>
      <c r="BQ107" s="335"/>
      <c r="BR107" s="335"/>
      <c r="BS107" s="335"/>
      <c r="BT107" s="335"/>
      <c r="BU107" s="335"/>
      <c r="BV107" s="335"/>
      <c r="BW107" s="335"/>
      <c r="BX107" s="335"/>
      <c r="BY107" s="335"/>
      <c r="BZ107" s="335"/>
      <c r="CA107" s="335"/>
      <c r="CB107" s="335"/>
    </row>
    <row r="108" spans="1:80" ht="144">
      <c r="A108" s="405" t="s">
        <v>140</v>
      </c>
      <c r="B108" s="404" t="s">
        <v>141</v>
      </c>
      <c r="C108" s="351" t="s">
        <v>672</v>
      </c>
      <c r="D108" s="357" t="s">
        <v>673</v>
      </c>
      <c r="E108" s="357" t="s">
        <v>2410</v>
      </c>
      <c r="F108" s="357" t="s">
        <v>675</v>
      </c>
      <c r="G108" s="387"/>
      <c r="H108" s="372" t="s">
        <v>676</v>
      </c>
      <c r="I108" s="357" t="s">
        <v>677</v>
      </c>
      <c r="J108" s="350"/>
      <c r="K108" s="349"/>
      <c r="L108" s="348"/>
      <c r="M108" s="348"/>
      <c r="N108" s="354" t="s">
        <v>678</v>
      </c>
      <c r="O108" s="354" t="s">
        <v>679</v>
      </c>
      <c r="P108" s="352" t="s">
        <v>2597</v>
      </c>
      <c r="Q108" s="352"/>
      <c r="R108" s="352"/>
      <c r="S108" s="352">
        <v>20</v>
      </c>
      <c r="T108" s="352">
        <f>$S108*DE_Cost!$B$1*8</f>
        <v>192</v>
      </c>
      <c r="U108" s="355">
        <f>$S108*DE_Cost!$B$1</f>
        <v>24</v>
      </c>
      <c r="V108" s="355"/>
      <c r="W108" s="355"/>
      <c r="X108" s="355">
        <f t="shared" si="7"/>
        <v>6</v>
      </c>
      <c r="Y108" s="355">
        <f t="shared" si="8"/>
        <v>120</v>
      </c>
      <c r="Z108" s="352" t="s">
        <v>42</v>
      </c>
      <c r="AA108" s="352"/>
      <c r="AB108" s="353"/>
      <c r="AC108" s="353"/>
      <c r="AD108" s="482"/>
      <c r="AE108" s="487">
        <f t="shared" si="9"/>
        <v>43872.531589118473</v>
      </c>
    </row>
    <row r="109" spans="1:80" ht="90">
      <c r="A109" s="405" t="s">
        <v>140</v>
      </c>
      <c r="B109" s="404" t="s">
        <v>141</v>
      </c>
      <c r="C109" s="351" t="s">
        <v>672</v>
      </c>
      <c r="D109" s="351" t="s">
        <v>680</v>
      </c>
      <c r="E109" s="351" t="s">
        <v>681</v>
      </c>
      <c r="F109" s="351" t="s">
        <v>682</v>
      </c>
      <c r="G109" s="387"/>
      <c r="H109" s="350" t="s">
        <v>683</v>
      </c>
      <c r="I109" s="351" t="s">
        <v>684</v>
      </c>
      <c r="J109" s="350"/>
      <c r="K109" s="349"/>
      <c r="L109" s="348"/>
      <c r="M109" s="348"/>
      <c r="N109" s="354" t="s">
        <v>685</v>
      </c>
      <c r="O109" s="354"/>
      <c r="P109" s="352" t="s">
        <v>2597</v>
      </c>
      <c r="Q109" s="352"/>
      <c r="R109" s="352"/>
      <c r="S109" s="352">
        <v>10</v>
      </c>
      <c r="T109" s="352">
        <f>$S109*DE_Cost!$B$1*8</f>
        <v>96</v>
      </c>
      <c r="U109" s="355">
        <f>$S109*DE_Cost!$B$1</f>
        <v>12</v>
      </c>
      <c r="V109" s="355"/>
      <c r="W109" s="355"/>
      <c r="X109" s="355">
        <f t="shared" si="7"/>
        <v>6</v>
      </c>
      <c r="Y109" s="355">
        <f t="shared" si="8"/>
        <v>60</v>
      </c>
      <c r="Z109" s="352" t="s">
        <v>150</v>
      </c>
      <c r="AA109" s="352" t="s">
        <v>686</v>
      </c>
      <c r="AB109" s="353"/>
      <c r="AC109" s="353"/>
      <c r="AD109" s="482"/>
      <c r="AE109" s="487">
        <f t="shared" si="9"/>
        <v>21936.265794559236</v>
      </c>
    </row>
    <row r="110" spans="1:80" ht="72">
      <c r="A110" s="405" t="s">
        <v>140</v>
      </c>
      <c r="B110" s="404" t="s">
        <v>141</v>
      </c>
      <c r="C110" s="351" t="s">
        <v>687</v>
      </c>
      <c r="D110" s="351" t="s">
        <v>688</v>
      </c>
      <c r="E110" s="351" t="s">
        <v>689</v>
      </c>
      <c r="F110" s="351" t="s">
        <v>690</v>
      </c>
      <c r="G110" s="387"/>
      <c r="H110" s="372" t="s">
        <v>691</v>
      </c>
      <c r="I110" s="351" t="s">
        <v>692</v>
      </c>
      <c r="J110" s="350"/>
      <c r="K110" s="349"/>
      <c r="L110" s="348"/>
      <c r="M110" s="348"/>
      <c r="N110" s="354" t="s">
        <v>693</v>
      </c>
      <c r="O110" s="354" t="s">
        <v>694</v>
      </c>
      <c r="P110" s="352" t="s">
        <v>2595</v>
      </c>
      <c r="Q110" s="352"/>
      <c r="R110" s="352"/>
      <c r="S110" s="352">
        <v>8</v>
      </c>
      <c r="T110" s="352">
        <f>$S110*DE_Cost!$B$1*8</f>
        <v>76.8</v>
      </c>
      <c r="U110" s="355">
        <f>$S110*DE_Cost!$B$1</f>
        <v>9.6</v>
      </c>
      <c r="V110" s="355"/>
      <c r="W110" s="355"/>
      <c r="X110" s="355">
        <f t="shared" si="7"/>
        <v>7</v>
      </c>
      <c r="Y110" s="355">
        <f t="shared" si="8"/>
        <v>56</v>
      </c>
      <c r="Z110" s="352" t="s">
        <v>42</v>
      </c>
      <c r="AA110" s="352"/>
      <c r="AB110" s="353"/>
      <c r="AC110" s="353"/>
      <c r="AD110" s="482"/>
      <c r="AE110" s="487">
        <f t="shared" si="9"/>
        <v>20473.848074921956</v>
      </c>
    </row>
    <row r="111" spans="1:80" s="414" customFormat="1" ht="90">
      <c r="A111" s="351" t="s">
        <v>140</v>
      </c>
      <c r="B111" s="351" t="s">
        <v>141</v>
      </c>
      <c r="C111" s="351" t="s">
        <v>687</v>
      </c>
      <c r="D111" s="351" t="s">
        <v>695</v>
      </c>
      <c r="E111" s="351" t="s">
        <v>696</v>
      </c>
      <c r="F111" s="351"/>
      <c r="G111" s="351"/>
      <c r="H111" s="351" t="s">
        <v>697</v>
      </c>
      <c r="I111" s="351"/>
      <c r="J111" s="416"/>
      <c r="K111" s="349"/>
      <c r="L111" s="348"/>
      <c r="M111" s="348"/>
      <c r="N111" s="354" t="s">
        <v>698</v>
      </c>
      <c r="O111" s="354" t="s">
        <v>699</v>
      </c>
      <c r="P111" s="352" t="s">
        <v>2593</v>
      </c>
      <c r="Q111" s="354"/>
      <c r="R111" s="352"/>
      <c r="S111" s="352">
        <v>4</v>
      </c>
      <c r="T111" s="354">
        <f>$S111*DE_Cost!$B$1*8</f>
        <v>38.4</v>
      </c>
      <c r="U111" s="354">
        <f>$S111*DE_Cost!$B$1</f>
        <v>4.8</v>
      </c>
      <c r="V111" s="355"/>
      <c r="W111" s="355"/>
      <c r="X111" s="355">
        <f t="shared" si="7"/>
        <v>6</v>
      </c>
      <c r="Y111" s="355">
        <f t="shared" si="8"/>
        <v>24</v>
      </c>
      <c r="Z111" s="354" t="s">
        <v>42</v>
      </c>
      <c r="AA111" s="352"/>
      <c r="AB111" s="353"/>
      <c r="AC111" s="353"/>
      <c r="AD111" s="482"/>
      <c r="AE111" s="487">
        <f t="shared" si="9"/>
        <v>8774.5063178236942</v>
      </c>
      <c r="AF111" s="335"/>
      <c r="AG111" s="335"/>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c r="BD111" s="335"/>
      <c r="BE111" s="335"/>
      <c r="BF111" s="335"/>
      <c r="BG111" s="335"/>
      <c r="BH111" s="335"/>
      <c r="BI111" s="335"/>
      <c r="BJ111" s="335"/>
      <c r="BK111" s="335"/>
      <c r="BL111" s="335"/>
      <c r="BM111" s="335"/>
      <c r="BN111" s="335"/>
      <c r="BO111" s="335"/>
      <c r="BP111" s="335"/>
      <c r="BQ111" s="335"/>
      <c r="BR111" s="335"/>
      <c r="BS111" s="335"/>
      <c r="BT111" s="335"/>
      <c r="BU111" s="335"/>
      <c r="BV111" s="335"/>
      <c r="BW111" s="335"/>
      <c r="BX111" s="335"/>
      <c r="BY111" s="335"/>
      <c r="BZ111" s="335"/>
      <c r="CA111" s="335"/>
      <c r="CB111" s="335"/>
    </row>
    <row r="112" spans="1:80" ht="162">
      <c r="A112" s="405" t="s">
        <v>140</v>
      </c>
      <c r="B112" s="404" t="s">
        <v>141</v>
      </c>
      <c r="C112" s="351" t="s">
        <v>687</v>
      </c>
      <c r="D112" s="357" t="s">
        <v>700</v>
      </c>
      <c r="E112" s="357" t="s">
        <v>701</v>
      </c>
      <c r="F112" s="357" t="s">
        <v>702</v>
      </c>
      <c r="G112" s="387"/>
      <c r="H112" s="372" t="s">
        <v>703</v>
      </c>
      <c r="I112" s="357" t="s">
        <v>704</v>
      </c>
      <c r="J112" s="350"/>
      <c r="K112" s="349"/>
      <c r="L112" s="348"/>
      <c r="M112" s="348"/>
      <c r="N112" s="354" t="s">
        <v>705</v>
      </c>
      <c r="O112" s="354" t="s">
        <v>706</v>
      </c>
      <c r="P112" s="352" t="s">
        <v>2597</v>
      </c>
      <c r="Q112" s="352"/>
      <c r="R112" s="352"/>
      <c r="S112" s="352">
        <v>12</v>
      </c>
      <c r="T112" s="352">
        <f>$S112*DE_Cost!$B$1*8</f>
        <v>115.19999999999999</v>
      </c>
      <c r="U112" s="355">
        <f>$S112*DE_Cost!$B$1</f>
        <v>14.399999999999999</v>
      </c>
      <c r="V112" s="355"/>
      <c r="W112" s="355"/>
      <c r="X112" s="355">
        <f t="shared" si="7"/>
        <v>6</v>
      </c>
      <c r="Y112" s="355">
        <f t="shared" si="8"/>
        <v>72</v>
      </c>
      <c r="Z112" s="352" t="s">
        <v>42</v>
      </c>
      <c r="AA112" s="352"/>
      <c r="AB112" s="353"/>
      <c r="AC112" s="353"/>
      <c r="AD112" s="482"/>
      <c r="AE112" s="487">
        <f t="shared" si="9"/>
        <v>26323.518953471084</v>
      </c>
    </row>
    <row r="113" spans="1:80" ht="108">
      <c r="A113" s="405" t="s">
        <v>140</v>
      </c>
      <c r="B113" s="404" t="s">
        <v>141</v>
      </c>
      <c r="C113" s="351" t="s">
        <v>687</v>
      </c>
      <c r="D113" s="351" t="s">
        <v>707</v>
      </c>
      <c r="E113" s="351" t="s">
        <v>708</v>
      </c>
      <c r="F113" s="351" t="s">
        <v>709</v>
      </c>
      <c r="G113" s="387"/>
      <c r="H113" s="372" t="s">
        <v>710</v>
      </c>
      <c r="I113" s="351" t="s">
        <v>711</v>
      </c>
      <c r="J113" s="350"/>
      <c r="K113" s="349"/>
      <c r="L113" s="348"/>
      <c r="M113" s="348"/>
      <c r="N113" s="354" t="s">
        <v>712</v>
      </c>
      <c r="O113" s="354" t="s">
        <v>713</v>
      </c>
      <c r="P113" s="352" t="s">
        <v>2597</v>
      </c>
      <c r="Q113" s="352"/>
      <c r="R113" s="352"/>
      <c r="S113" s="352">
        <v>10</v>
      </c>
      <c r="T113" s="352">
        <f>$S113*DE_Cost!$B$1*8</f>
        <v>96</v>
      </c>
      <c r="U113" s="355">
        <f>$S113*DE_Cost!$B$1</f>
        <v>12</v>
      </c>
      <c r="V113" s="355"/>
      <c r="W113" s="355"/>
      <c r="X113" s="355">
        <f t="shared" si="7"/>
        <v>6</v>
      </c>
      <c r="Y113" s="355">
        <f t="shared" si="8"/>
        <v>60</v>
      </c>
      <c r="Z113" s="352" t="s">
        <v>42</v>
      </c>
      <c r="AA113" s="352"/>
      <c r="AB113" s="353"/>
      <c r="AC113" s="353"/>
      <c r="AD113" s="482"/>
      <c r="AE113" s="487">
        <f t="shared" si="9"/>
        <v>21936.265794559236</v>
      </c>
    </row>
    <row r="114" spans="1:80" ht="72">
      <c r="A114" s="405" t="s">
        <v>140</v>
      </c>
      <c r="B114" s="404" t="s">
        <v>141</v>
      </c>
      <c r="C114" s="351" t="s">
        <v>687</v>
      </c>
      <c r="D114" s="351" t="s">
        <v>714</v>
      </c>
      <c r="E114" s="351" t="s">
        <v>715</v>
      </c>
      <c r="F114" s="351" t="s">
        <v>716</v>
      </c>
      <c r="G114" s="387"/>
      <c r="H114" s="372" t="s">
        <v>717</v>
      </c>
      <c r="I114" s="351" t="s">
        <v>718</v>
      </c>
      <c r="J114" s="350"/>
      <c r="K114" s="349"/>
      <c r="L114" s="348"/>
      <c r="M114" s="348"/>
      <c r="N114" s="354" t="s">
        <v>719</v>
      </c>
      <c r="O114" s="354" t="s">
        <v>720</v>
      </c>
      <c r="P114" s="352" t="s">
        <v>2595</v>
      </c>
      <c r="Q114" s="352"/>
      <c r="R114" s="352"/>
      <c r="S114" s="352">
        <v>6</v>
      </c>
      <c r="T114" s="352">
        <f>$S114*DE_Cost!$B$1*8</f>
        <v>57.599999999999994</v>
      </c>
      <c r="U114" s="355">
        <f>$S114*DE_Cost!$B$1</f>
        <v>7.1999999999999993</v>
      </c>
      <c r="V114" s="355"/>
      <c r="W114" s="355"/>
      <c r="X114" s="355">
        <f t="shared" si="7"/>
        <v>7</v>
      </c>
      <c r="Y114" s="355">
        <f t="shared" si="8"/>
        <v>42</v>
      </c>
      <c r="Z114" s="352" t="s">
        <v>42</v>
      </c>
      <c r="AA114" s="352"/>
      <c r="AB114" s="353"/>
      <c r="AC114" s="353"/>
      <c r="AD114" s="482"/>
      <c r="AE114" s="487">
        <f t="shared" si="9"/>
        <v>15355.386056191468</v>
      </c>
    </row>
    <row r="115" spans="1:80" ht="90">
      <c r="A115" s="405" t="s">
        <v>140</v>
      </c>
      <c r="B115" s="404" t="s">
        <v>141</v>
      </c>
      <c r="C115" s="351" t="s">
        <v>687</v>
      </c>
      <c r="D115" s="351" t="s">
        <v>721</v>
      </c>
      <c r="E115" s="351" t="s">
        <v>722</v>
      </c>
      <c r="F115" s="351"/>
      <c r="G115" s="387"/>
      <c r="H115" s="372" t="s">
        <v>723</v>
      </c>
      <c r="I115" s="351"/>
      <c r="J115" s="350"/>
      <c r="K115" s="349"/>
      <c r="L115" s="348"/>
      <c r="M115" s="348"/>
      <c r="N115" s="354" t="s">
        <v>724</v>
      </c>
      <c r="O115" s="354" t="s">
        <v>725</v>
      </c>
      <c r="P115" s="352" t="s">
        <v>2593</v>
      </c>
      <c r="Q115" s="352"/>
      <c r="R115" s="352"/>
      <c r="S115" s="352">
        <v>2</v>
      </c>
      <c r="T115" s="352">
        <f>$S115*DE_Cost!$B$1*8</f>
        <v>19.2</v>
      </c>
      <c r="U115" s="355">
        <f>$S115*DE_Cost!$B$1</f>
        <v>2.4</v>
      </c>
      <c r="V115" s="355"/>
      <c r="W115" s="355"/>
      <c r="X115" s="355">
        <f t="shared" si="7"/>
        <v>6</v>
      </c>
      <c r="Y115" s="355">
        <f t="shared" si="8"/>
        <v>12</v>
      </c>
      <c r="Z115" s="352" t="s">
        <v>42</v>
      </c>
      <c r="AA115" s="352"/>
      <c r="AB115" s="353"/>
      <c r="AC115" s="353"/>
      <c r="AD115" s="482"/>
      <c r="AE115" s="487">
        <f t="shared" si="9"/>
        <v>4387.2531589118471</v>
      </c>
    </row>
    <row r="116" spans="1:80" s="414" customFormat="1" ht="90">
      <c r="A116" s="351" t="s">
        <v>140</v>
      </c>
      <c r="B116" s="351" t="s">
        <v>141</v>
      </c>
      <c r="C116" s="351" t="s">
        <v>687</v>
      </c>
      <c r="D116" s="351" t="s">
        <v>726</v>
      </c>
      <c r="E116" s="351" t="s">
        <v>727</v>
      </c>
      <c r="F116" s="351" t="s">
        <v>728</v>
      </c>
      <c r="G116" s="351"/>
      <c r="H116" s="351" t="s">
        <v>729</v>
      </c>
      <c r="I116" s="351" t="s">
        <v>730</v>
      </c>
      <c r="J116" s="416"/>
      <c r="K116" s="349"/>
      <c r="L116" s="348"/>
      <c r="M116" s="348"/>
      <c r="N116" s="354" t="s">
        <v>731</v>
      </c>
      <c r="O116" s="354" t="s">
        <v>732</v>
      </c>
      <c r="P116" s="352" t="s">
        <v>2593</v>
      </c>
      <c r="Q116" s="354"/>
      <c r="R116" s="352"/>
      <c r="S116" s="352">
        <v>10</v>
      </c>
      <c r="T116" s="354">
        <f>$S116*DE_Cost!$B$1*8</f>
        <v>96</v>
      </c>
      <c r="U116" s="354">
        <f>$S116*DE_Cost!$B$1</f>
        <v>12</v>
      </c>
      <c r="V116" s="355"/>
      <c r="W116" s="355"/>
      <c r="X116" s="355">
        <f t="shared" si="7"/>
        <v>6</v>
      </c>
      <c r="Y116" s="355">
        <f t="shared" si="8"/>
        <v>60</v>
      </c>
      <c r="Z116" s="354" t="s">
        <v>42</v>
      </c>
      <c r="AA116" s="352"/>
      <c r="AB116" s="353"/>
      <c r="AC116" s="353"/>
      <c r="AD116" s="482"/>
      <c r="AE116" s="487">
        <f t="shared" si="9"/>
        <v>21936.265794559236</v>
      </c>
      <c r="AF116" s="335"/>
      <c r="AG116" s="335"/>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c r="BD116" s="335"/>
      <c r="BE116" s="335"/>
      <c r="BF116" s="335"/>
      <c r="BG116" s="335"/>
      <c r="BH116" s="335"/>
      <c r="BI116" s="335"/>
      <c r="BJ116" s="335"/>
      <c r="BK116" s="335"/>
      <c r="BL116" s="335"/>
      <c r="BM116" s="335"/>
      <c r="BN116" s="335"/>
      <c r="BO116" s="335"/>
      <c r="BP116" s="335"/>
      <c r="BQ116" s="335"/>
      <c r="BR116" s="335"/>
      <c r="BS116" s="335"/>
      <c r="BT116" s="335"/>
      <c r="BU116" s="335"/>
      <c r="BV116" s="335"/>
      <c r="BW116" s="335"/>
      <c r="BX116" s="335"/>
      <c r="BY116" s="335"/>
      <c r="BZ116" s="335"/>
      <c r="CA116" s="335"/>
      <c r="CB116" s="335"/>
    </row>
    <row r="117" spans="1:80" ht="90">
      <c r="A117" s="405" t="s">
        <v>140</v>
      </c>
      <c r="B117" s="404" t="s">
        <v>141</v>
      </c>
      <c r="C117" s="351" t="s">
        <v>687</v>
      </c>
      <c r="D117" s="351" t="s">
        <v>733</v>
      </c>
      <c r="E117" s="351" t="s">
        <v>734</v>
      </c>
      <c r="F117" s="351" t="s">
        <v>735</v>
      </c>
      <c r="G117" s="349"/>
      <c r="H117" s="350" t="s">
        <v>736</v>
      </c>
      <c r="I117" s="351" t="s">
        <v>737</v>
      </c>
      <c r="J117" s="350"/>
      <c r="K117" s="349"/>
      <c r="L117" s="348"/>
      <c r="M117" s="348"/>
      <c r="N117" s="354" t="s">
        <v>738</v>
      </c>
      <c r="O117" s="354" t="s">
        <v>739</v>
      </c>
      <c r="P117" s="352" t="s">
        <v>2595</v>
      </c>
      <c r="Q117" s="352"/>
      <c r="R117" s="352"/>
      <c r="S117" s="352">
        <v>4</v>
      </c>
      <c r="T117" s="352">
        <f>$S117*DE_Cost!$B$1*8</f>
        <v>38.4</v>
      </c>
      <c r="U117" s="355">
        <f>$S117*DE_Cost!$B$1</f>
        <v>4.8</v>
      </c>
      <c r="V117" s="355"/>
      <c r="W117" s="355"/>
      <c r="X117" s="355">
        <f t="shared" si="7"/>
        <v>7</v>
      </c>
      <c r="Y117" s="355">
        <f t="shared" si="8"/>
        <v>28</v>
      </c>
      <c r="Z117" s="352" t="s">
        <v>42</v>
      </c>
      <c r="AA117" s="352"/>
      <c r="AB117" s="353"/>
      <c r="AC117" s="353"/>
      <c r="AD117" s="482"/>
      <c r="AE117" s="487">
        <f t="shared" si="9"/>
        <v>10236.924037460978</v>
      </c>
    </row>
    <row r="118" spans="1:80" s="414" customFormat="1" ht="90">
      <c r="A118" s="405" t="s">
        <v>140</v>
      </c>
      <c r="B118" s="404" t="s">
        <v>141</v>
      </c>
      <c r="C118" s="351" t="s">
        <v>687</v>
      </c>
      <c r="D118" s="351" t="s">
        <v>740</v>
      </c>
      <c r="E118" s="351" t="s">
        <v>741</v>
      </c>
      <c r="F118" s="351" t="s">
        <v>735</v>
      </c>
      <c r="G118" s="349"/>
      <c r="H118" s="350" t="s">
        <v>742</v>
      </c>
      <c r="I118" s="351" t="s">
        <v>737</v>
      </c>
      <c r="J118" s="416"/>
      <c r="K118" s="349"/>
      <c r="L118" s="348"/>
      <c r="M118" s="348"/>
      <c r="N118" s="415" t="s">
        <v>743</v>
      </c>
      <c r="O118" s="352" t="s">
        <v>739</v>
      </c>
      <c r="P118" s="352" t="s">
        <v>2595</v>
      </c>
      <c r="Q118" s="352"/>
      <c r="R118" s="352"/>
      <c r="S118" s="352">
        <v>4</v>
      </c>
      <c r="T118" s="352">
        <f>$S118*DE_Cost!$B$1*8</f>
        <v>38.4</v>
      </c>
      <c r="U118" s="352">
        <f>$S118*DE_Cost!$B$1</f>
        <v>4.8</v>
      </c>
      <c r="V118" s="355"/>
      <c r="W118" s="355"/>
      <c r="X118" s="355">
        <f t="shared" si="7"/>
        <v>7</v>
      </c>
      <c r="Y118" s="355">
        <f t="shared" si="8"/>
        <v>28</v>
      </c>
      <c r="Z118" s="352" t="s">
        <v>42</v>
      </c>
      <c r="AA118" s="352"/>
      <c r="AB118" s="353"/>
      <c r="AC118" s="353"/>
      <c r="AD118" s="482"/>
      <c r="AE118" s="487">
        <f t="shared" si="9"/>
        <v>10236.924037460978</v>
      </c>
      <c r="AF118" s="335"/>
      <c r="AG118" s="335"/>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c r="BD118" s="335"/>
      <c r="BE118" s="335"/>
      <c r="BF118" s="335"/>
      <c r="BG118" s="335"/>
      <c r="BH118" s="335"/>
      <c r="BI118" s="335"/>
      <c r="BJ118" s="335"/>
      <c r="BK118" s="335"/>
      <c r="BL118" s="335"/>
      <c r="BM118" s="335"/>
      <c r="BN118" s="335"/>
      <c r="BO118" s="335"/>
      <c r="BP118" s="335"/>
      <c r="BQ118" s="335"/>
      <c r="BR118" s="335"/>
      <c r="BS118" s="335"/>
      <c r="BT118" s="335"/>
      <c r="BU118" s="335"/>
      <c r="BV118" s="335"/>
      <c r="BW118" s="335"/>
      <c r="BX118" s="335"/>
      <c r="BY118" s="335"/>
      <c r="BZ118" s="335"/>
      <c r="CA118" s="335"/>
      <c r="CB118" s="335"/>
    </row>
    <row r="119" spans="1:80" ht="90">
      <c r="A119" s="405" t="s">
        <v>140</v>
      </c>
      <c r="B119" s="404" t="s">
        <v>141</v>
      </c>
      <c r="C119" s="351" t="s">
        <v>744</v>
      </c>
      <c r="D119" s="351" t="s">
        <v>745</v>
      </c>
      <c r="E119" s="351" t="s">
        <v>746</v>
      </c>
      <c r="F119" s="351" t="s">
        <v>747</v>
      </c>
      <c r="G119" s="349"/>
      <c r="H119" s="350" t="s">
        <v>748</v>
      </c>
      <c r="I119" s="351" t="s">
        <v>749</v>
      </c>
      <c r="J119" s="350"/>
      <c r="K119" s="349"/>
      <c r="L119" s="348"/>
      <c r="M119" s="348"/>
      <c r="N119" s="354" t="s">
        <v>750</v>
      </c>
      <c r="O119" s="354" t="s">
        <v>751</v>
      </c>
      <c r="P119" s="352" t="s">
        <v>2593</v>
      </c>
      <c r="Q119" s="352"/>
      <c r="R119" s="352" t="s">
        <v>752</v>
      </c>
      <c r="S119" s="352">
        <v>5</v>
      </c>
      <c r="T119" s="352">
        <f>$S119*DE_Cost!$B$1*8</f>
        <v>48</v>
      </c>
      <c r="U119" s="355">
        <f>$S119*DE_Cost!$B$1</f>
        <v>6</v>
      </c>
      <c r="V119" s="355"/>
      <c r="W119" s="355"/>
      <c r="X119" s="355">
        <f t="shared" si="7"/>
        <v>6</v>
      </c>
      <c r="Y119" s="355">
        <f t="shared" si="8"/>
        <v>30</v>
      </c>
      <c r="Z119" s="352" t="s">
        <v>150</v>
      </c>
      <c r="AA119" s="352" t="s">
        <v>753</v>
      </c>
      <c r="AB119" s="353"/>
      <c r="AC119" s="353"/>
      <c r="AD119" s="474"/>
      <c r="AE119" s="487">
        <f t="shared" si="9"/>
        <v>10968.132897279618</v>
      </c>
    </row>
    <row r="120" spans="1:80" ht="72">
      <c r="A120" s="405" t="s">
        <v>140</v>
      </c>
      <c r="B120" s="404" t="s">
        <v>141</v>
      </c>
      <c r="C120" s="351" t="s">
        <v>744</v>
      </c>
      <c r="D120" s="351" t="s">
        <v>754</v>
      </c>
      <c r="E120" s="351" t="s">
        <v>755</v>
      </c>
      <c r="F120" s="351" t="s">
        <v>756</v>
      </c>
      <c r="G120" s="349"/>
      <c r="H120" s="350" t="s">
        <v>757</v>
      </c>
      <c r="I120" s="351" t="s">
        <v>758</v>
      </c>
      <c r="J120" s="350"/>
      <c r="K120" s="349"/>
      <c r="L120" s="348"/>
      <c r="M120" s="348"/>
      <c r="N120" s="354"/>
      <c r="O120" s="354" t="s">
        <v>759</v>
      </c>
      <c r="P120" s="352" t="s">
        <v>2593</v>
      </c>
      <c r="Q120" s="352"/>
      <c r="R120" s="352"/>
      <c r="S120" s="352">
        <v>4</v>
      </c>
      <c r="T120" s="352">
        <f>$S120*DE_Cost!$B$1*8</f>
        <v>38.4</v>
      </c>
      <c r="U120" s="355">
        <f>$S120*DE_Cost!$B$1</f>
        <v>4.8</v>
      </c>
      <c r="V120" s="355"/>
      <c r="W120" s="355"/>
      <c r="X120" s="355">
        <f t="shared" si="7"/>
        <v>6</v>
      </c>
      <c r="Y120" s="355">
        <f t="shared" si="8"/>
        <v>24</v>
      </c>
      <c r="Z120" s="352" t="s">
        <v>42</v>
      </c>
      <c r="AA120" s="352"/>
      <c r="AB120" s="353"/>
      <c r="AC120" s="353"/>
      <c r="AD120" s="474"/>
      <c r="AE120" s="487">
        <f t="shared" si="9"/>
        <v>8774.5063178236942</v>
      </c>
    </row>
    <row r="121" spans="1:80" ht="90">
      <c r="A121" s="405" t="s">
        <v>140</v>
      </c>
      <c r="B121" s="404" t="s">
        <v>141</v>
      </c>
      <c r="C121" s="351" t="s">
        <v>744</v>
      </c>
      <c r="D121" s="351" t="s">
        <v>760</v>
      </c>
      <c r="E121" s="351" t="s">
        <v>761</v>
      </c>
      <c r="F121" s="351" t="s">
        <v>762</v>
      </c>
      <c r="G121" s="349"/>
      <c r="H121" s="350" t="s">
        <v>763</v>
      </c>
      <c r="I121" s="351" t="s">
        <v>764</v>
      </c>
      <c r="J121" s="350"/>
      <c r="K121" s="349"/>
      <c r="L121" s="348"/>
      <c r="M121" s="348"/>
      <c r="N121" s="354" t="s">
        <v>765</v>
      </c>
      <c r="O121" s="354" t="s">
        <v>766</v>
      </c>
      <c r="P121" s="352" t="s">
        <v>2597</v>
      </c>
      <c r="Q121" s="352" t="s">
        <v>767</v>
      </c>
      <c r="R121" s="352"/>
      <c r="S121" s="352">
        <v>15</v>
      </c>
      <c r="T121" s="352">
        <f>$S121*DE_Cost!$B$1*8</f>
        <v>144</v>
      </c>
      <c r="U121" s="355">
        <f>$S121*DE_Cost!$B$1</f>
        <v>18</v>
      </c>
      <c r="V121" s="355"/>
      <c r="W121" s="355"/>
      <c r="X121" s="355">
        <f t="shared" si="7"/>
        <v>6</v>
      </c>
      <c r="Y121" s="355">
        <f t="shared" si="8"/>
        <v>90</v>
      </c>
      <c r="Z121" s="352" t="s">
        <v>42</v>
      </c>
      <c r="AA121" s="352"/>
      <c r="AB121" s="353"/>
      <c r="AC121" s="353"/>
      <c r="AD121" s="474"/>
      <c r="AE121" s="487">
        <f t="shared" si="9"/>
        <v>32904.398691838862</v>
      </c>
    </row>
    <row r="122" spans="1:80" ht="90">
      <c r="A122" s="405" t="s">
        <v>140</v>
      </c>
      <c r="B122" s="404" t="s">
        <v>141</v>
      </c>
      <c r="C122" s="351" t="s">
        <v>744</v>
      </c>
      <c r="D122" s="357" t="s">
        <v>768</v>
      </c>
      <c r="E122" s="357" t="s">
        <v>769</v>
      </c>
      <c r="F122" s="357" t="s">
        <v>770</v>
      </c>
      <c r="G122" s="349"/>
      <c r="H122" s="350" t="s">
        <v>771</v>
      </c>
      <c r="I122" s="357" t="s">
        <v>772</v>
      </c>
      <c r="J122" s="350"/>
      <c r="K122" s="349"/>
      <c r="L122" s="348"/>
      <c r="M122" s="348"/>
      <c r="N122" s="354"/>
      <c r="O122" s="354" t="s">
        <v>773</v>
      </c>
      <c r="P122" s="352" t="s">
        <v>2597</v>
      </c>
      <c r="Q122" s="352" t="s">
        <v>774</v>
      </c>
      <c r="R122" s="352"/>
      <c r="S122" s="352">
        <v>15</v>
      </c>
      <c r="T122" s="352">
        <f>$S122*DE_Cost!$B$1*8</f>
        <v>144</v>
      </c>
      <c r="U122" s="355">
        <f>$S122*DE_Cost!$B$1</f>
        <v>18</v>
      </c>
      <c r="V122" s="355"/>
      <c r="W122" s="355"/>
      <c r="X122" s="355">
        <f t="shared" si="7"/>
        <v>6</v>
      </c>
      <c r="Y122" s="355">
        <f t="shared" si="8"/>
        <v>90</v>
      </c>
      <c r="Z122" s="352" t="s">
        <v>42</v>
      </c>
      <c r="AA122" s="352"/>
      <c r="AB122" s="353"/>
      <c r="AC122" s="353"/>
      <c r="AD122" s="474"/>
      <c r="AE122" s="487">
        <f t="shared" si="9"/>
        <v>32904.398691838862</v>
      </c>
    </row>
    <row r="123" spans="1:80" ht="108">
      <c r="A123" s="405" t="s">
        <v>140</v>
      </c>
      <c r="B123" s="404" t="s">
        <v>141</v>
      </c>
      <c r="C123" s="351" t="s">
        <v>744</v>
      </c>
      <c r="D123" s="351" t="s">
        <v>775</v>
      </c>
      <c r="E123" s="351" t="s">
        <v>776</v>
      </c>
      <c r="F123" s="351" t="s">
        <v>777</v>
      </c>
      <c r="G123" s="349"/>
      <c r="H123" s="350" t="s">
        <v>778</v>
      </c>
      <c r="I123" s="351" t="s">
        <v>779</v>
      </c>
      <c r="J123" s="350"/>
      <c r="K123" s="349"/>
      <c r="L123" s="348"/>
      <c r="M123" s="348"/>
      <c r="N123" s="354" t="s">
        <v>780</v>
      </c>
      <c r="O123" s="354" t="s">
        <v>781</v>
      </c>
      <c r="P123" s="352" t="s">
        <v>2593</v>
      </c>
      <c r="Q123" s="352"/>
      <c r="R123" s="352"/>
      <c r="S123" s="352">
        <v>30</v>
      </c>
      <c r="T123" s="352">
        <f>$S123*DE_Cost!$B$1*8</f>
        <v>288</v>
      </c>
      <c r="U123" s="355">
        <f>$S123*DE_Cost!$B$1</f>
        <v>36</v>
      </c>
      <c r="V123" s="355"/>
      <c r="W123" s="355"/>
      <c r="X123" s="355">
        <f t="shared" si="7"/>
        <v>6</v>
      </c>
      <c r="Y123" s="355">
        <f t="shared" si="8"/>
        <v>180</v>
      </c>
      <c r="Z123" s="352" t="s">
        <v>150</v>
      </c>
      <c r="AA123" s="352" t="s">
        <v>782</v>
      </c>
      <c r="AB123" s="353"/>
      <c r="AC123" s="353"/>
      <c r="AD123" s="474"/>
      <c r="AE123" s="487">
        <f t="shared" si="9"/>
        <v>65808.797383677724</v>
      </c>
    </row>
    <row r="124" spans="1:80" ht="102" customHeight="1">
      <c r="A124" s="405" t="s">
        <v>140</v>
      </c>
      <c r="B124" s="404" t="s">
        <v>141</v>
      </c>
      <c r="C124" s="351" t="s">
        <v>744</v>
      </c>
      <c r="D124" s="351" t="s">
        <v>783</v>
      </c>
      <c r="E124" s="351" t="s">
        <v>784</v>
      </c>
      <c r="F124" s="351" t="s">
        <v>785</v>
      </c>
      <c r="G124" s="349"/>
      <c r="H124" s="350" t="s">
        <v>786</v>
      </c>
      <c r="I124" s="351" t="s">
        <v>787</v>
      </c>
      <c r="J124" s="350"/>
      <c r="K124" s="349"/>
      <c r="L124" s="348"/>
      <c r="M124" s="348"/>
      <c r="N124" s="354" t="s">
        <v>788</v>
      </c>
      <c r="O124" s="354" t="s">
        <v>789</v>
      </c>
      <c r="P124" s="352" t="s">
        <v>2597</v>
      </c>
      <c r="Q124" s="352"/>
      <c r="R124" s="352"/>
      <c r="S124" s="352">
        <v>15</v>
      </c>
      <c r="T124" s="352">
        <f>$S124*DE_Cost!$B$1*8</f>
        <v>144</v>
      </c>
      <c r="U124" s="355">
        <f>$S124*DE_Cost!$B$1</f>
        <v>18</v>
      </c>
      <c r="V124" s="355"/>
      <c r="W124" s="355"/>
      <c r="X124" s="355">
        <f t="shared" si="7"/>
        <v>6</v>
      </c>
      <c r="Y124" s="355">
        <f t="shared" si="8"/>
        <v>90</v>
      </c>
      <c r="Z124" s="352" t="s">
        <v>42</v>
      </c>
      <c r="AA124" s="352"/>
      <c r="AB124" s="353"/>
      <c r="AC124" s="353"/>
      <c r="AD124" s="474"/>
      <c r="AE124" s="487">
        <f t="shared" si="9"/>
        <v>32904.398691838862</v>
      </c>
    </row>
    <row r="125" spans="1:80" ht="159" customHeight="1">
      <c r="A125" s="405" t="s">
        <v>140</v>
      </c>
      <c r="B125" s="404" t="s">
        <v>141</v>
      </c>
      <c r="C125" s="351" t="s">
        <v>744</v>
      </c>
      <c r="D125" s="351" t="s">
        <v>2406</v>
      </c>
      <c r="E125" s="351" t="s">
        <v>791</v>
      </c>
      <c r="F125" s="351" t="s">
        <v>792</v>
      </c>
      <c r="G125" s="349"/>
      <c r="H125" s="350" t="s">
        <v>793</v>
      </c>
      <c r="I125" s="351" t="s">
        <v>794</v>
      </c>
      <c r="J125" s="350"/>
      <c r="K125" s="349"/>
      <c r="L125" s="348"/>
      <c r="M125" s="348"/>
      <c r="N125" s="354" t="s">
        <v>795</v>
      </c>
      <c r="O125" s="354" t="s">
        <v>796</v>
      </c>
      <c r="P125" s="352" t="s">
        <v>2597</v>
      </c>
      <c r="Q125" s="352"/>
      <c r="R125" s="352"/>
      <c r="S125" s="352">
        <v>20</v>
      </c>
      <c r="T125" s="352">
        <f>$S125*DE_Cost!$B$1*8</f>
        <v>192</v>
      </c>
      <c r="U125" s="355">
        <f>$S125*DE_Cost!$B$1</f>
        <v>24</v>
      </c>
      <c r="V125" s="355"/>
      <c r="W125" s="355"/>
      <c r="X125" s="355">
        <f t="shared" si="7"/>
        <v>6</v>
      </c>
      <c r="Y125" s="355">
        <f t="shared" si="8"/>
        <v>120</v>
      </c>
      <c r="Z125" s="352" t="s">
        <v>42</v>
      </c>
      <c r="AA125" s="352"/>
      <c r="AB125" s="353"/>
      <c r="AC125" s="353"/>
      <c r="AD125" s="474"/>
      <c r="AE125" s="487">
        <f t="shared" si="9"/>
        <v>43872.531589118473</v>
      </c>
    </row>
    <row r="126" spans="1:80" ht="72">
      <c r="A126" s="405" t="s">
        <v>140</v>
      </c>
      <c r="B126" s="404" t="s">
        <v>141</v>
      </c>
      <c r="C126" s="351" t="s">
        <v>744</v>
      </c>
      <c r="D126" s="357" t="s">
        <v>797</v>
      </c>
      <c r="E126" s="357" t="s">
        <v>798</v>
      </c>
      <c r="F126" s="357" t="s">
        <v>799</v>
      </c>
      <c r="G126" s="349"/>
      <c r="H126" s="350" t="s">
        <v>800</v>
      </c>
      <c r="I126" s="357" t="s">
        <v>801</v>
      </c>
      <c r="J126" s="350"/>
      <c r="K126" s="349"/>
      <c r="L126" s="348"/>
      <c r="M126" s="348"/>
      <c r="N126" s="354" t="s">
        <v>802</v>
      </c>
      <c r="O126" s="354" t="s">
        <v>803</v>
      </c>
      <c r="P126" s="352" t="s">
        <v>2595</v>
      </c>
      <c r="Q126" s="352"/>
      <c r="R126" s="352"/>
      <c r="S126" s="352">
        <v>4</v>
      </c>
      <c r="T126" s="352">
        <f>$S126*DE_Cost!$B$1*8</f>
        <v>38.4</v>
      </c>
      <c r="U126" s="355">
        <f>$S126*DE_Cost!$B$1</f>
        <v>4.8</v>
      </c>
      <c r="V126" s="355"/>
      <c r="W126" s="355"/>
      <c r="X126" s="355">
        <f t="shared" si="7"/>
        <v>7</v>
      </c>
      <c r="Y126" s="355">
        <f t="shared" si="8"/>
        <v>28</v>
      </c>
      <c r="Z126" s="352" t="s">
        <v>42</v>
      </c>
      <c r="AA126" s="352"/>
      <c r="AB126" s="353"/>
      <c r="AC126" s="353"/>
      <c r="AD126" s="482"/>
      <c r="AE126" s="487">
        <f t="shared" si="9"/>
        <v>10236.924037460978</v>
      </c>
    </row>
    <row r="127" spans="1:80" ht="72">
      <c r="A127" s="405" t="s">
        <v>140</v>
      </c>
      <c r="B127" s="404" t="s">
        <v>141</v>
      </c>
      <c r="C127" s="351" t="s">
        <v>744</v>
      </c>
      <c r="D127" s="351" t="s">
        <v>804</v>
      </c>
      <c r="E127" s="351" t="s">
        <v>805</v>
      </c>
      <c r="F127" s="351" t="s">
        <v>806</v>
      </c>
      <c r="G127" s="349"/>
      <c r="H127" s="350" t="s">
        <v>807</v>
      </c>
      <c r="I127" s="351" t="s">
        <v>808</v>
      </c>
      <c r="J127" s="350"/>
      <c r="K127" s="349"/>
      <c r="L127" s="348"/>
      <c r="M127" s="348"/>
      <c r="N127" s="354" t="s">
        <v>809</v>
      </c>
      <c r="O127" s="354" t="s">
        <v>810</v>
      </c>
      <c r="P127" s="352" t="s">
        <v>2595</v>
      </c>
      <c r="Q127" s="352" t="s">
        <v>811</v>
      </c>
      <c r="R127" s="352"/>
      <c r="S127" s="352">
        <v>10</v>
      </c>
      <c r="T127" s="352">
        <f>$S127*DE_Cost!$B$1*8</f>
        <v>96</v>
      </c>
      <c r="U127" s="355">
        <f>$S127*DE_Cost!$B$1</f>
        <v>12</v>
      </c>
      <c r="V127" s="355"/>
      <c r="W127" s="355"/>
      <c r="X127" s="355">
        <f t="shared" si="7"/>
        <v>7</v>
      </c>
      <c r="Y127" s="355">
        <f t="shared" si="8"/>
        <v>70</v>
      </c>
      <c r="Z127" s="352" t="s">
        <v>42</v>
      </c>
      <c r="AA127" s="352"/>
      <c r="AB127" s="353"/>
      <c r="AC127" s="353"/>
      <c r="AD127" s="482"/>
      <c r="AE127" s="487">
        <f t="shared" si="9"/>
        <v>25592.310093652446</v>
      </c>
    </row>
    <row r="128" spans="1:80" ht="72">
      <c r="A128" s="405" t="s">
        <v>140</v>
      </c>
      <c r="B128" s="404" t="s">
        <v>141</v>
      </c>
      <c r="C128" s="351" t="s">
        <v>744</v>
      </c>
      <c r="D128" s="351" t="s">
        <v>812</v>
      </c>
      <c r="E128" s="351" t="s">
        <v>813</v>
      </c>
      <c r="F128" s="413" t="s">
        <v>814</v>
      </c>
      <c r="G128" s="349"/>
      <c r="H128" s="350" t="s">
        <v>815</v>
      </c>
      <c r="I128" s="413" t="s">
        <v>816</v>
      </c>
      <c r="J128" s="350"/>
      <c r="K128" s="349"/>
      <c r="L128" s="348"/>
      <c r="M128" s="348"/>
      <c r="N128" s="354" t="s">
        <v>817</v>
      </c>
      <c r="O128" s="354" t="s">
        <v>818</v>
      </c>
      <c r="P128" s="352" t="s">
        <v>2597</v>
      </c>
      <c r="Q128" s="352"/>
      <c r="R128" s="352"/>
      <c r="S128" s="352">
        <v>10</v>
      </c>
      <c r="T128" s="352">
        <f>$S128*DE_Cost!$B$1*8</f>
        <v>96</v>
      </c>
      <c r="U128" s="355">
        <f>$S128*DE_Cost!$B$1</f>
        <v>12</v>
      </c>
      <c r="V128" s="355"/>
      <c r="W128" s="355"/>
      <c r="X128" s="355">
        <f t="shared" si="7"/>
        <v>6</v>
      </c>
      <c r="Y128" s="355">
        <f t="shared" si="8"/>
        <v>60</v>
      </c>
      <c r="Z128" s="352" t="s">
        <v>150</v>
      </c>
      <c r="AA128" s="352" t="s">
        <v>819</v>
      </c>
      <c r="AB128" s="353">
        <v>1103</v>
      </c>
      <c r="AC128" s="353"/>
      <c r="AD128" s="482"/>
      <c r="AE128" s="487">
        <f t="shared" si="9"/>
        <v>21936.265794559236</v>
      </c>
    </row>
    <row r="129" spans="1:31" ht="72">
      <c r="A129" s="405" t="s">
        <v>140</v>
      </c>
      <c r="B129" s="404" t="s">
        <v>141</v>
      </c>
      <c r="C129" s="351" t="s">
        <v>744</v>
      </c>
      <c r="D129" s="357" t="s">
        <v>820</v>
      </c>
      <c r="E129" s="357" t="s">
        <v>821</v>
      </c>
      <c r="F129" s="357" t="s">
        <v>822</v>
      </c>
      <c r="G129" s="349"/>
      <c r="H129" s="350" t="s">
        <v>823</v>
      </c>
      <c r="I129" s="357" t="s">
        <v>824</v>
      </c>
      <c r="J129" s="350"/>
      <c r="K129" s="349"/>
      <c r="L129" s="348"/>
      <c r="M129" s="348"/>
      <c r="N129" s="354" t="s">
        <v>825</v>
      </c>
      <c r="O129" s="354" t="s">
        <v>826</v>
      </c>
      <c r="P129" s="352" t="s">
        <v>2595</v>
      </c>
      <c r="Q129" s="352"/>
      <c r="R129" s="352"/>
      <c r="S129" s="352">
        <v>9</v>
      </c>
      <c r="T129" s="352">
        <f>$S129*DE_Cost!$B$1*8</f>
        <v>86.399999999999991</v>
      </c>
      <c r="U129" s="355">
        <f>$S129*DE_Cost!$B$1</f>
        <v>10.799999999999999</v>
      </c>
      <c r="V129" s="355"/>
      <c r="W129" s="355"/>
      <c r="X129" s="355">
        <f t="shared" si="7"/>
        <v>7</v>
      </c>
      <c r="Y129" s="355">
        <f t="shared" si="8"/>
        <v>63</v>
      </c>
      <c r="Z129" s="352" t="s">
        <v>42</v>
      </c>
      <c r="AA129" s="352"/>
      <c r="AB129" s="353"/>
      <c r="AC129" s="353"/>
      <c r="AD129" s="482"/>
      <c r="AE129" s="487">
        <f t="shared" si="9"/>
        <v>23033.079084287201</v>
      </c>
    </row>
    <row r="130" spans="1:31" ht="72">
      <c r="A130" s="405" t="s">
        <v>140</v>
      </c>
      <c r="B130" s="404" t="s">
        <v>141</v>
      </c>
      <c r="C130" s="351" t="s">
        <v>744</v>
      </c>
      <c r="D130" s="351" t="s">
        <v>827</v>
      </c>
      <c r="E130" s="351" t="s">
        <v>828</v>
      </c>
      <c r="F130" s="351"/>
      <c r="G130" s="349"/>
      <c r="H130" s="350" t="s">
        <v>829</v>
      </c>
      <c r="I130" s="351"/>
      <c r="J130" s="350"/>
      <c r="K130" s="349"/>
      <c r="L130" s="348"/>
      <c r="M130" s="348"/>
      <c r="N130" s="354" t="s">
        <v>830</v>
      </c>
      <c r="O130" s="354" t="s">
        <v>831</v>
      </c>
      <c r="P130" s="352" t="s">
        <v>2594</v>
      </c>
      <c r="Q130" s="352" t="s">
        <v>832</v>
      </c>
      <c r="R130" s="352"/>
      <c r="S130" s="352">
        <v>15</v>
      </c>
      <c r="T130" s="352">
        <f>$S130*DE_Cost!$B$1*8</f>
        <v>144</v>
      </c>
      <c r="U130" s="355">
        <f>$S130*DE_Cost!$B$1</f>
        <v>18</v>
      </c>
      <c r="V130" s="355"/>
      <c r="W130" s="355"/>
      <c r="X130" s="355">
        <f t="shared" si="7"/>
        <v>6</v>
      </c>
      <c r="Y130" s="355">
        <f t="shared" si="8"/>
        <v>90</v>
      </c>
      <c r="Z130" s="352" t="s">
        <v>42</v>
      </c>
      <c r="AA130" s="352"/>
      <c r="AB130" s="353">
        <v>1103</v>
      </c>
      <c r="AC130" s="353"/>
      <c r="AD130" s="474"/>
      <c r="AE130" s="487">
        <f t="shared" si="9"/>
        <v>32904.398691838862</v>
      </c>
    </row>
    <row r="131" spans="1:31" ht="72">
      <c r="A131" s="405" t="s">
        <v>140</v>
      </c>
      <c r="B131" s="404" t="s">
        <v>141</v>
      </c>
      <c r="C131" s="351" t="s">
        <v>744</v>
      </c>
      <c r="D131" s="351" t="s">
        <v>833</v>
      </c>
      <c r="E131" s="351" t="s">
        <v>834</v>
      </c>
      <c r="F131" s="351"/>
      <c r="G131" s="349"/>
      <c r="H131" s="350" t="s">
        <v>835</v>
      </c>
      <c r="I131" s="351"/>
      <c r="J131" s="350"/>
      <c r="K131" s="349"/>
      <c r="L131" s="348"/>
      <c r="M131" s="348"/>
      <c r="N131" s="354" t="s">
        <v>830</v>
      </c>
      <c r="O131" s="354" t="s">
        <v>836</v>
      </c>
      <c r="P131" s="352" t="s">
        <v>2594</v>
      </c>
      <c r="Q131" s="352" t="s">
        <v>832</v>
      </c>
      <c r="R131" s="352"/>
      <c r="S131" s="352">
        <v>15</v>
      </c>
      <c r="T131" s="352">
        <f>$S131*DE_Cost!$B$1*8</f>
        <v>144</v>
      </c>
      <c r="U131" s="355">
        <f>$S131*DE_Cost!$B$1</f>
        <v>18</v>
      </c>
      <c r="V131" s="355"/>
      <c r="W131" s="355"/>
      <c r="X131" s="355">
        <f t="shared" si="7"/>
        <v>6</v>
      </c>
      <c r="Y131" s="355">
        <f t="shared" si="8"/>
        <v>90</v>
      </c>
      <c r="Z131" s="352" t="s">
        <v>42</v>
      </c>
      <c r="AA131" s="352"/>
      <c r="AB131" s="353">
        <v>1103</v>
      </c>
      <c r="AC131" s="353"/>
      <c r="AD131" s="474"/>
      <c r="AE131" s="487">
        <f t="shared" si="9"/>
        <v>32904.398691838862</v>
      </c>
    </row>
    <row r="132" spans="1:31" ht="72">
      <c r="A132" s="405" t="s">
        <v>140</v>
      </c>
      <c r="B132" s="404" t="s">
        <v>141</v>
      </c>
      <c r="C132" s="351" t="s">
        <v>744</v>
      </c>
      <c r="D132" s="357" t="s">
        <v>837</v>
      </c>
      <c r="E132" s="357" t="s">
        <v>838</v>
      </c>
      <c r="F132" s="357"/>
      <c r="G132" s="349"/>
      <c r="H132" s="350" t="s">
        <v>839</v>
      </c>
      <c r="I132" s="357"/>
      <c r="J132" s="350"/>
      <c r="K132" s="349"/>
      <c r="L132" s="348"/>
      <c r="M132" s="348"/>
      <c r="N132" s="354" t="s">
        <v>830</v>
      </c>
      <c r="O132" s="354"/>
      <c r="P132" s="352" t="s">
        <v>2594</v>
      </c>
      <c r="Q132" s="352" t="s">
        <v>832</v>
      </c>
      <c r="R132" s="352"/>
      <c r="S132" s="352">
        <v>15</v>
      </c>
      <c r="T132" s="352">
        <f>$S132*DE_Cost!$B$1*8</f>
        <v>144</v>
      </c>
      <c r="U132" s="355">
        <f>$S132*DE_Cost!$B$1</f>
        <v>18</v>
      </c>
      <c r="V132" s="355"/>
      <c r="W132" s="355"/>
      <c r="X132" s="355">
        <f t="shared" si="7"/>
        <v>6</v>
      </c>
      <c r="Y132" s="355">
        <f t="shared" si="8"/>
        <v>90</v>
      </c>
      <c r="Z132" s="352" t="s">
        <v>42</v>
      </c>
      <c r="AA132" s="352"/>
      <c r="AB132" s="353">
        <v>1103</v>
      </c>
      <c r="AC132" s="353"/>
      <c r="AD132" s="474"/>
      <c r="AE132" s="487">
        <f t="shared" si="9"/>
        <v>32904.398691838862</v>
      </c>
    </row>
    <row r="133" spans="1:31" ht="90">
      <c r="A133" s="405" t="s">
        <v>140</v>
      </c>
      <c r="B133" s="404" t="s">
        <v>141</v>
      </c>
      <c r="C133" s="357" t="s">
        <v>744</v>
      </c>
      <c r="D133" s="357" t="s">
        <v>840</v>
      </c>
      <c r="E133" s="357" t="s">
        <v>841</v>
      </c>
      <c r="F133" s="357" t="s">
        <v>842</v>
      </c>
      <c r="G133" s="349"/>
      <c r="H133" s="350" t="s">
        <v>843</v>
      </c>
      <c r="I133" s="357" t="s">
        <v>844</v>
      </c>
      <c r="J133" s="350"/>
      <c r="K133" s="349"/>
      <c r="L133" s="348"/>
      <c r="M133" s="348"/>
      <c r="N133" s="354" t="s">
        <v>845</v>
      </c>
      <c r="O133" s="354" t="s">
        <v>846</v>
      </c>
      <c r="P133" s="352" t="s">
        <v>2593</v>
      </c>
      <c r="Q133" s="352"/>
      <c r="R133" s="352"/>
      <c r="S133" s="352">
        <v>21</v>
      </c>
      <c r="T133" s="352">
        <f>$S133*DE_Cost!$B$1*8</f>
        <v>201.6</v>
      </c>
      <c r="U133" s="355">
        <f>$S133*DE_Cost!$B$1</f>
        <v>25.2</v>
      </c>
      <c r="V133" s="355"/>
      <c r="W133" s="355"/>
      <c r="X133" s="355">
        <f t="shared" si="7"/>
        <v>6</v>
      </c>
      <c r="Y133" s="355">
        <f t="shared" si="8"/>
        <v>126</v>
      </c>
      <c r="Z133" s="352" t="s">
        <v>150</v>
      </c>
      <c r="AA133" s="352" t="s">
        <v>847</v>
      </c>
      <c r="AB133" s="353"/>
      <c r="AC133" s="353"/>
      <c r="AD133" s="482"/>
      <c r="AE133" s="487">
        <f t="shared" si="9"/>
        <v>46066.158168574402</v>
      </c>
    </row>
    <row r="134" spans="1:31" ht="84" customHeight="1">
      <c r="A134" s="405" t="s">
        <v>140</v>
      </c>
      <c r="B134" s="404" t="s">
        <v>141</v>
      </c>
      <c r="C134" s="351" t="s">
        <v>744</v>
      </c>
      <c r="D134" s="351" t="s">
        <v>848</v>
      </c>
      <c r="E134" s="351" t="s">
        <v>849</v>
      </c>
      <c r="F134" s="351" t="s">
        <v>850</v>
      </c>
      <c r="G134" s="349"/>
      <c r="H134" s="350" t="s">
        <v>851</v>
      </c>
      <c r="I134" s="351" t="s">
        <v>852</v>
      </c>
      <c r="J134" s="350"/>
      <c r="K134" s="349"/>
      <c r="L134" s="348"/>
      <c r="M134" s="348"/>
      <c r="N134" s="354" t="s">
        <v>853</v>
      </c>
      <c r="O134" s="354" t="s">
        <v>854</v>
      </c>
      <c r="P134" s="352" t="s">
        <v>2593</v>
      </c>
      <c r="Q134" s="352"/>
      <c r="R134" s="352"/>
      <c r="S134" s="352">
        <v>20</v>
      </c>
      <c r="T134" s="352">
        <f>$S134*DE_Cost!$B$1*8</f>
        <v>192</v>
      </c>
      <c r="U134" s="355">
        <f>$S134*DE_Cost!$B$1</f>
        <v>24</v>
      </c>
      <c r="V134" s="355"/>
      <c r="W134" s="355"/>
      <c r="X134" s="355">
        <f t="shared" si="7"/>
        <v>6</v>
      </c>
      <c r="Y134" s="355">
        <f t="shared" si="8"/>
        <v>120</v>
      </c>
      <c r="Z134" s="352" t="s">
        <v>150</v>
      </c>
      <c r="AA134" s="352" t="s">
        <v>847</v>
      </c>
      <c r="AB134" s="353"/>
      <c r="AC134" s="353"/>
      <c r="AD134" s="482"/>
      <c r="AE134" s="487">
        <f t="shared" si="9"/>
        <v>43872.531589118473</v>
      </c>
    </row>
    <row r="135" spans="1:31" ht="106" customHeight="1">
      <c r="A135" s="405" t="s">
        <v>140</v>
      </c>
      <c r="B135" s="404" t="s">
        <v>141</v>
      </c>
      <c r="C135" s="351" t="s">
        <v>744</v>
      </c>
      <c r="D135" s="357" t="s">
        <v>855</v>
      </c>
      <c r="E135" s="357" t="s">
        <v>856</v>
      </c>
      <c r="F135" s="357" t="s">
        <v>857</v>
      </c>
      <c r="G135" s="349"/>
      <c r="H135" s="350" t="s">
        <v>858</v>
      </c>
      <c r="I135" s="357" t="s">
        <v>859</v>
      </c>
      <c r="J135" s="350"/>
      <c r="K135" s="349"/>
      <c r="L135" s="348"/>
      <c r="M135" s="348"/>
      <c r="N135" s="354"/>
      <c r="O135" s="354" t="s">
        <v>860</v>
      </c>
      <c r="P135" s="352" t="s">
        <v>2593</v>
      </c>
      <c r="Q135" s="352"/>
      <c r="R135" s="352"/>
      <c r="S135" s="352">
        <v>20</v>
      </c>
      <c r="T135" s="352">
        <f>$S135*DE_Cost!$B$1*8</f>
        <v>192</v>
      </c>
      <c r="U135" s="355">
        <f>$S135*DE_Cost!$B$1</f>
        <v>24</v>
      </c>
      <c r="V135" s="355"/>
      <c r="W135" s="355"/>
      <c r="X135" s="355">
        <f t="shared" si="7"/>
        <v>6</v>
      </c>
      <c r="Y135" s="355">
        <f t="shared" si="8"/>
        <v>120</v>
      </c>
      <c r="Z135" s="352" t="s">
        <v>150</v>
      </c>
      <c r="AA135" s="352" t="s">
        <v>847</v>
      </c>
      <c r="AB135" s="353"/>
      <c r="AC135" s="353"/>
      <c r="AD135" s="482"/>
      <c r="AE135" s="487">
        <f t="shared" si="9"/>
        <v>43872.531589118473</v>
      </c>
    </row>
    <row r="136" spans="1:31" ht="88" customHeight="1">
      <c r="A136" s="405" t="s">
        <v>140</v>
      </c>
      <c r="B136" s="404" t="s">
        <v>141</v>
      </c>
      <c r="C136" s="351" t="s">
        <v>861</v>
      </c>
      <c r="D136" s="351" t="s">
        <v>862</v>
      </c>
      <c r="E136" s="351" t="s">
        <v>863</v>
      </c>
      <c r="F136" s="351" t="s">
        <v>864</v>
      </c>
      <c r="G136" s="349" t="s">
        <v>865</v>
      </c>
      <c r="H136" s="350" t="s">
        <v>866</v>
      </c>
      <c r="I136" s="351" t="s">
        <v>867</v>
      </c>
      <c r="J136" s="350" t="s">
        <v>868</v>
      </c>
      <c r="K136" s="349" t="s">
        <v>869</v>
      </c>
      <c r="L136" s="348" t="s">
        <v>870</v>
      </c>
      <c r="M136" s="348" t="s">
        <v>871</v>
      </c>
      <c r="N136" s="354" t="s">
        <v>872</v>
      </c>
      <c r="O136" s="354" t="s">
        <v>873</v>
      </c>
      <c r="P136" s="352" t="s">
        <v>2596</v>
      </c>
      <c r="Q136" s="352"/>
      <c r="R136" s="352"/>
      <c r="S136" s="352">
        <v>20</v>
      </c>
      <c r="T136" s="352">
        <f>$S136*DE_Cost!$B$1*8</f>
        <v>192</v>
      </c>
      <c r="U136" s="355">
        <f>$S136*DE_Cost!$B$1</f>
        <v>24</v>
      </c>
      <c r="V136" s="355"/>
      <c r="W136" s="355"/>
      <c r="X136" s="355">
        <f t="shared" si="7"/>
        <v>4</v>
      </c>
      <c r="Y136" s="355">
        <f t="shared" si="8"/>
        <v>80</v>
      </c>
      <c r="Z136" s="352" t="s">
        <v>150</v>
      </c>
      <c r="AA136" s="352" t="s">
        <v>875</v>
      </c>
      <c r="AB136" s="353"/>
      <c r="AC136" s="353"/>
      <c r="AD136" s="482"/>
      <c r="AE136" s="487">
        <f t="shared" si="9"/>
        <v>29248.354392745652</v>
      </c>
    </row>
    <row r="137" spans="1:31" ht="90">
      <c r="A137" s="368" t="s">
        <v>140</v>
      </c>
      <c r="B137" s="367" t="s">
        <v>141</v>
      </c>
      <c r="C137" s="357" t="s">
        <v>861</v>
      </c>
      <c r="D137" s="357" t="s">
        <v>876</v>
      </c>
      <c r="E137" s="357" t="s">
        <v>877</v>
      </c>
      <c r="F137" s="357" t="s">
        <v>878</v>
      </c>
      <c r="G137" s="349" t="s">
        <v>394</v>
      </c>
      <c r="H137" s="350" t="s">
        <v>879</v>
      </c>
      <c r="I137" s="357" t="s">
        <v>880</v>
      </c>
      <c r="J137" s="350" t="s">
        <v>282</v>
      </c>
      <c r="K137" s="349"/>
      <c r="L137" s="348"/>
      <c r="M137" s="348"/>
      <c r="N137" s="354" t="s">
        <v>881</v>
      </c>
      <c r="O137" s="412" t="s">
        <v>882</v>
      </c>
      <c r="P137" s="352" t="s">
        <v>2597</v>
      </c>
      <c r="Q137" s="352"/>
      <c r="R137" s="352"/>
      <c r="S137" s="352">
        <v>16</v>
      </c>
      <c r="T137" s="352">
        <f>$S137*DE_Cost!$B$1*8</f>
        <v>153.6</v>
      </c>
      <c r="U137" s="355">
        <f>$S137*DE_Cost!$B$1</f>
        <v>19.2</v>
      </c>
      <c r="V137" s="355"/>
      <c r="W137" s="355"/>
      <c r="X137" s="355">
        <f t="shared" si="7"/>
        <v>6</v>
      </c>
      <c r="Y137" s="355">
        <f t="shared" si="8"/>
        <v>96</v>
      </c>
      <c r="Z137" s="352" t="s">
        <v>42</v>
      </c>
      <c r="AA137" s="352"/>
      <c r="AB137" s="353"/>
      <c r="AC137" s="353"/>
      <c r="AD137" s="482"/>
      <c r="AE137" s="487">
        <f t="shared" si="9"/>
        <v>35098.025271294777</v>
      </c>
    </row>
    <row r="138" spans="1:31" ht="283" customHeight="1">
      <c r="A138" s="368" t="s">
        <v>140</v>
      </c>
      <c r="B138" s="367" t="s">
        <v>141</v>
      </c>
      <c r="C138" s="357" t="s">
        <v>861</v>
      </c>
      <c r="D138" s="357" t="s">
        <v>883</v>
      </c>
      <c r="E138" s="357" t="s">
        <v>2407</v>
      </c>
      <c r="F138" s="357" t="s">
        <v>885</v>
      </c>
      <c r="G138" s="349"/>
      <c r="H138" s="350" t="s">
        <v>886</v>
      </c>
      <c r="I138" s="357" t="s">
        <v>887</v>
      </c>
      <c r="J138" s="350"/>
      <c r="K138" s="349"/>
      <c r="L138" s="348"/>
      <c r="M138" s="348"/>
      <c r="N138" s="354"/>
      <c r="O138" s="354" t="s">
        <v>888</v>
      </c>
      <c r="P138" s="352" t="s">
        <v>2597</v>
      </c>
      <c r="Q138" s="352"/>
      <c r="R138" s="352"/>
      <c r="S138" s="352">
        <v>60</v>
      </c>
      <c r="T138" s="352">
        <f>$S138*DE_Cost!$B$1*8</f>
        <v>576</v>
      </c>
      <c r="U138" s="355">
        <f>$S138*DE_Cost!$B$1</f>
        <v>72</v>
      </c>
      <c r="V138" s="355"/>
      <c r="W138" s="355"/>
      <c r="X138" s="355">
        <f t="shared" si="7"/>
        <v>6</v>
      </c>
      <c r="Y138" s="355">
        <f t="shared" si="8"/>
        <v>360</v>
      </c>
      <c r="Z138" s="352" t="s">
        <v>150</v>
      </c>
      <c r="AA138" s="352" t="s">
        <v>889</v>
      </c>
      <c r="AB138" s="353"/>
      <c r="AC138" s="353"/>
      <c r="AD138" s="474"/>
      <c r="AE138" s="487">
        <f t="shared" si="9"/>
        <v>131617.59476735545</v>
      </c>
    </row>
    <row r="139" spans="1:31" ht="72">
      <c r="A139" s="368" t="s">
        <v>140</v>
      </c>
      <c r="B139" s="367" t="s">
        <v>141</v>
      </c>
      <c r="C139" s="357" t="s">
        <v>861</v>
      </c>
      <c r="D139" s="357" t="s">
        <v>890</v>
      </c>
      <c r="E139" s="357" t="s">
        <v>891</v>
      </c>
      <c r="F139" s="357" t="s">
        <v>892</v>
      </c>
      <c r="G139" s="349"/>
      <c r="H139" s="350" t="s">
        <v>893</v>
      </c>
      <c r="I139" s="357" t="s">
        <v>894</v>
      </c>
      <c r="J139" s="350"/>
      <c r="K139" s="349"/>
      <c r="L139" s="348"/>
      <c r="M139" s="348"/>
      <c r="N139" s="354" t="s">
        <v>895</v>
      </c>
      <c r="O139" s="354" t="s">
        <v>896</v>
      </c>
      <c r="P139" s="352" t="s">
        <v>2597</v>
      </c>
      <c r="Q139" s="352"/>
      <c r="R139" s="352"/>
      <c r="S139" s="352">
        <v>10</v>
      </c>
      <c r="T139" s="352">
        <f>$S139*DE_Cost!$B$1*8</f>
        <v>96</v>
      </c>
      <c r="U139" s="355">
        <f>$S139*DE_Cost!$B$1</f>
        <v>12</v>
      </c>
      <c r="V139" s="355"/>
      <c r="W139" s="355"/>
      <c r="X139" s="355">
        <f t="shared" si="7"/>
        <v>6</v>
      </c>
      <c r="Y139" s="355">
        <f t="shared" si="8"/>
        <v>60</v>
      </c>
      <c r="Z139" s="352" t="s">
        <v>42</v>
      </c>
      <c r="AA139" s="352"/>
      <c r="AB139" s="353"/>
      <c r="AC139" s="353"/>
      <c r="AD139" s="482"/>
      <c r="AE139" s="487">
        <f t="shared" si="9"/>
        <v>21936.265794559236</v>
      </c>
    </row>
    <row r="140" spans="1:31" ht="90">
      <c r="A140" s="368" t="s">
        <v>140</v>
      </c>
      <c r="B140" s="367" t="s">
        <v>141</v>
      </c>
      <c r="C140" s="357" t="s">
        <v>861</v>
      </c>
      <c r="D140" s="351" t="s">
        <v>897</v>
      </c>
      <c r="E140" s="351" t="s">
        <v>898</v>
      </c>
      <c r="F140" s="351" t="s">
        <v>878</v>
      </c>
      <c r="G140" s="349"/>
      <c r="H140" s="350" t="s">
        <v>899</v>
      </c>
      <c r="I140" s="351" t="s">
        <v>900</v>
      </c>
      <c r="J140" s="350"/>
      <c r="K140" s="349"/>
      <c r="L140" s="348"/>
      <c r="M140" s="348"/>
      <c r="N140" s="354" t="s">
        <v>901</v>
      </c>
      <c r="O140" s="354" t="s">
        <v>902</v>
      </c>
      <c r="P140" s="352" t="s">
        <v>2597</v>
      </c>
      <c r="Q140" s="352"/>
      <c r="R140" s="352"/>
      <c r="S140" s="352">
        <v>16</v>
      </c>
      <c r="T140" s="352">
        <f>$S140*DE_Cost!$B$1*8</f>
        <v>153.6</v>
      </c>
      <c r="U140" s="355">
        <f>$S140*DE_Cost!$B$1</f>
        <v>19.2</v>
      </c>
      <c r="V140" s="355"/>
      <c r="W140" s="355"/>
      <c r="X140" s="355">
        <f t="shared" si="7"/>
        <v>6</v>
      </c>
      <c r="Y140" s="355">
        <f t="shared" si="8"/>
        <v>96</v>
      </c>
      <c r="Z140" s="352" t="s">
        <v>42</v>
      </c>
      <c r="AA140" s="352"/>
      <c r="AB140" s="353"/>
      <c r="AC140" s="353"/>
      <c r="AD140" s="482"/>
      <c r="AE140" s="487">
        <f t="shared" si="9"/>
        <v>35098.025271294777</v>
      </c>
    </row>
    <row r="141" spans="1:31" ht="144">
      <c r="A141" s="368" t="s">
        <v>140</v>
      </c>
      <c r="B141" s="367" t="s">
        <v>141</v>
      </c>
      <c r="C141" s="357" t="s">
        <v>903</v>
      </c>
      <c r="D141" s="351" t="s">
        <v>904</v>
      </c>
      <c r="E141" s="351" t="s">
        <v>905</v>
      </c>
      <c r="F141" s="351" t="s">
        <v>906</v>
      </c>
      <c r="G141" s="349"/>
      <c r="H141" s="350" t="s">
        <v>907</v>
      </c>
      <c r="I141" s="351" t="s">
        <v>908</v>
      </c>
      <c r="J141" s="350"/>
      <c r="K141" s="349"/>
      <c r="L141" s="348"/>
      <c r="M141" s="348"/>
      <c r="N141" s="354" t="s">
        <v>909</v>
      </c>
      <c r="O141" s="354" t="s">
        <v>910</v>
      </c>
      <c r="P141" s="352" t="s">
        <v>2593</v>
      </c>
      <c r="Q141" s="352"/>
      <c r="R141" s="352"/>
      <c r="S141" s="352">
        <v>13</v>
      </c>
      <c r="T141" s="352">
        <f>$S141*DE_Cost!$B$1*8</f>
        <v>124.8</v>
      </c>
      <c r="U141" s="355">
        <f>$S141*DE_Cost!$B$1</f>
        <v>15.6</v>
      </c>
      <c r="V141" s="355"/>
      <c r="W141" s="355"/>
      <c r="X141" s="355">
        <f t="shared" si="7"/>
        <v>6</v>
      </c>
      <c r="Y141" s="355">
        <f t="shared" si="8"/>
        <v>78</v>
      </c>
      <c r="Z141" s="352" t="s">
        <v>42</v>
      </c>
      <c r="AA141" s="352"/>
      <c r="AB141" s="353"/>
      <c r="AC141" s="353"/>
      <c r="AD141" s="482"/>
      <c r="AE141" s="487">
        <f t="shared" si="9"/>
        <v>28517.14553292701</v>
      </c>
    </row>
    <row r="142" spans="1:31" ht="90">
      <c r="A142" s="368" t="s">
        <v>140</v>
      </c>
      <c r="B142" s="367" t="s">
        <v>141</v>
      </c>
      <c r="C142" s="357" t="s">
        <v>903</v>
      </c>
      <c r="D142" s="351" t="s">
        <v>911</v>
      </c>
      <c r="E142" s="351" t="s">
        <v>912</v>
      </c>
      <c r="F142" s="351" t="s">
        <v>913</v>
      </c>
      <c r="G142" s="349"/>
      <c r="H142" s="350" t="s">
        <v>914</v>
      </c>
      <c r="I142" s="351" t="s">
        <v>915</v>
      </c>
      <c r="J142" s="350"/>
      <c r="K142" s="349"/>
      <c r="L142" s="348"/>
      <c r="M142" s="348"/>
      <c r="N142" s="354" t="s">
        <v>916</v>
      </c>
      <c r="O142" s="354" t="s">
        <v>917</v>
      </c>
      <c r="P142" s="352" t="s">
        <v>2593</v>
      </c>
      <c r="Q142" s="352"/>
      <c r="R142" s="352"/>
      <c r="S142" s="352">
        <v>10</v>
      </c>
      <c r="T142" s="352">
        <f>$S142*DE_Cost!$B$1*8</f>
        <v>96</v>
      </c>
      <c r="U142" s="355">
        <f>$S142*DE_Cost!$B$1</f>
        <v>12</v>
      </c>
      <c r="V142" s="355"/>
      <c r="W142" s="355"/>
      <c r="X142" s="355">
        <f t="shared" si="7"/>
        <v>6</v>
      </c>
      <c r="Y142" s="355">
        <f t="shared" si="8"/>
        <v>60</v>
      </c>
      <c r="Z142" s="352" t="s">
        <v>42</v>
      </c>
      <c r="AA142" s="352"/>
      <c r="AB142" s="353"/>
      <c r="AC142" s="353"/>
      <c r="AD142" s="482"/>
      <c r="AE142" s="487">
        <f t="shared" si="9"/>
        <v>21936.265794559236</v>
      </c>
    </row>
    <row r="143" spans="1:31" ht="90">
      <c r="A143" s="368" t="s">
        <v>140</v>
      </c>
      <c r="B143" s="367" t="s">
        <v>141</v>
      </c>
      <c r="C143" s="357" t="s">
        <v>903</v>
      </c>
      <c r="D143" s="357" t="s">
        <v>918</v>
      </c>
      <c r="E143" s="357" t="s">
        <v>919</v>
      </c>
      <c r="F143" s="357" t="s">
        <v>920</v>
      </c>
      <c r="G143" s="349"/>
      <c r="H143" s="350" t="s">
        <v>921</v>
      </c>
      <c r="I143" s="357" t="s">
        <v>922</v>
      </c>
      <c r="J143" s="350"/>
      <c r="K143" s="349"/>
      <c r="L143" s="348"/>
      <c r="M143" s="348"/>
      <c r="N143" s="354" t="s">
        <v>923</v>
      </c>
      <c r="O143" s="354" t="s">
        <v>924</v>
      </c>
      <c r="P143" s="352" t="s">
        <v>2593</v>
      </c>
      <c r="Q143" s="352"/>
      <c r="R143" s="352"/>
      <c r="S143" s="352">
        <v>6</v>
      </c>
      <c r="T143" s="352">
        <f>$S143*DE_Cost!$B$1*8</f>
        <v>57.599999999999994</v>
      </c>
      <c r="U143" s="355">
        <f>$S143*DE_Cost!$B$1</f>
        <v>7.1999999999999993</v>
      </c>
      <c r="V143" s="355"/>
      <c r="W143" s="355"/>
      <c r="X143" s="355">
        <f t="shared" si="7"/>
        <v>6</v>
      </c>
      <c r="Y143" s="355">
        <f t="shared" si="8"/>
        <v>36</v>
      </c>
      <c r="Z143" s="352" t="s">
        <v>42</v>
      </c>
      <c r="AA143" s="352"/>
      <c r="AB143" s="353"/>
      <c r="AC143" s="353"/>
      <c r="AD143" s="482"/>
      <c r="AE143" s="487">
        <f t="shared" si="9"/>
        <v>13161.759476735542</v>
      </c>
    </row>
    <row r="144" spans="1:31" ht="72">
      <c r="A144" s="368" t="s">
        <v>140</v>
      </c>
      <c r="B144" s="367" t="s">
        <v>141</v>
      </c>
      <c r="C144" s="357" t="s">
        <v>903</v>
      </c>
      <c r="D144" s="351" t="s">
        <v>925</v>
      </c>
      <c r="E144" s="351" t="s">
        <v>926</v>
      </c>
      <c r="F144" s="351" t="s">
        <v>927</v>
      </c>
      <c r="G144" s="349"/>
      <c r="H144" s="350" t="s">
        <v>928</v>
      </c>
      <c r="I144" s="351" t="s">
        <v>929</v>
      </c>
      <c r="J144" s="350"/>
      <c r="K144" s="349"/>
      <c r="L144" s="348"/>
      <c r="M144" s="348"/>
      <c r="N144" s="354" t="s">
        <v>930</v>
      </c>
      <c r="O144" s="354" t="s">
        <v>931</v>
      </c>
      <c r="P144" s="352" t="s">
        <v>2593</v>
      </c>
      <c r="Q144" s="352"/>
      <c r="R144" s="352"/>
      <c r="S144" s="352">
        <v>2</v>
      </c>
      <c r="T144" s="352">
        <f>$S144*DE_Cost!$B$1*8</f>
        <v>19.2</v>
      </c>
      <c r="U144" s="355">
        <f>$S144*DE_Cost!$B$1</f>
        <v>2.4</v>
      </c>
      <c r="V144" s="355"/>
      <c r="W144" s="355"/>
      <c r="X144" s="355">
        <f t="shared" si="7"/>
        <v>6</v>
      </c>
      <c r="Y144" s="355">
        <f t="shared" si="8"/>
        <v>12</v>
      </c>
      <c r="Z144" s="352" t="s">
        <v>42</v>
      </c>
      <c r="AA144" s="352"/>
      <c r="AB144" s="353"/>
      <c r="AC144" s="353"/>
      <c r="AD144" s="482"/>
      <c r="AE144" s="487">
        <f t="shared" si="9"/>
        <v>4387.2531589118471</v>
      </c>
    </row>
    <row r="145" spans="1:31" ht="90">
      <c r="A145" s="368" t="s">
        <v>140</v>
      </c>
      <c r="B145" s="367" t="s">
        <v>141</v>
      </c>
      <c r="C145" s="357" t="s">
        <v>903</v>
      </c>
      <c r="D145" s="351" t="s">
        <v>932</v>
      </c>
      <c r="E145" s="351" t="s">
        <v>933</v>
      </c>
      <c r="F145" s="351" t="s">
        <v>934</v>
      </c>
      <c r="G145" s="349"/>
      <c r="H145" s="350" t="s">
        <v>935</v>
      </c>
      <c r="I145" s="351" t="s">
        <v>936</v>
      </c>
      <c r="J145" s="350"/>
      <c r="K145" s="349"/>
      <c r="L145" s="348"/>
      <c r="M145" s="348"/>
      <c r="N145" s="354" t="s">
        <v>937</v>
      </c>
      <c r="O145" s="354" t="s">
        <v>938</v>
      </c>
      <c r="P145" s="352" t="s">
        <v>2593</v>
      </c>
      <c r="Q145" s="352"/>
      <c r="R145" s="352"/>
      <c r="S145" s="352">
        <v>15</v>
      </c>
      <c r="T145" s="352">
        <f>$S145*DE_Cost!$B$1*8</f>
        <v>144</v>
      </c>
      <c r="U145" s="355">
        <f>$S145*DE_Cost!$B$1</f>
        <v>18</v>
      </c>
      <c r="V145" s="355"/>
      <c r="W145" s="355"/>
      <c r="X145" s="355">
        <f t="shared" si="7"/>
        <v>6</v>
      </c>
      <c r="Y145" s="355">
        <f t="shared" si="8"/>
        <v>90</v>
      </c>
      <c r="Z145" s="352" t="s">
        <v>42</v>
      </c>
      <c r="AA145" s="352"/>
      <c r="AB145" s="353"/>
      <c r="AC145" s="353"/>
      <c r="AD145" s="482"/>
      <c r="AE145" s="487">
        <f t="shared" si="9"/>
        <v>32904.398691838862</v>
      </c>
    </row>
    <row r="146" spans="1:31" ht="90">
      <c r="A146" s="368" t="s">
        <v>140</v>
      </c>
      <c r="B146" s="367" t="s">
        <v>141</v>
      </c>
      <c r="C146" s="357" t="s">
        <v>903</v>
      </c>
      <c r="D146" s="351" t="s">
        <v>939</v>
      </c>
      <c r="E146" s="351" t="s">
        <v>940</v>
      </c>
      <c r="F146" s="351" t="s">
        <v>941</v>
      </c>
      <c r="G146" s="349"/>
      <c r="H146" s="350" t="s">
        <v>942</v>
      </c>
      <c r="I146" s="351" t="s">
        <v>943</v>
      </c>
      <c r="J146" s="350"/>
      <c r="K146" s="349"/>
      <c r="L146" s="348"/>
      <c r="M146" s="348"/>
      <c r="N146" s="354" t="s">
        <v>944</v>
      </c>
      <c r="O146" s="354" t="s">
        <v>945</v>
      </c>
      <c r="P146" s="352" t="s">
        <v>2593</v>
      </c>
      <c r="Q146" s="352"/>
      <c r="R146" s="352"/>
      <c r="S146" s="352">
        <v>7</v>
      </c>
      <c r="T146" s="352">
        <f>$S146*DE_Cost!$B$1*8</f>
        <v>67.2</v>
      </c>
      <c r="U146" s="355">
        <f>$S146*DE_Cost!$B$1</f>
        <v>8.4</v>
      </c>
      <c r="V146" s="355"/>
      <c r="W146" s="355"/>
      <c r="X146" s="355">
        <f t="shared" si="7"/>
        <v>6</v>
      </c>
      <c r="Y146" s="355">
        <f t="shared" si="8"/>
        <v>42</v>
      </c>
      <c r="Z146" s="352" t="s">
        <v>42</v>
      </c>
      <c r="AA146" s="352"/>
      <c r="AB146" s="353"/>
      <c r="AC146" s="353"/>
      <c r="AD146" s="482"/>
      <c r="AE146" s="487">
        <f t="shared" si="9"/>
        <v>15355.386056191468</v>
      </c>
    </row>
    <row r="147" spans="1:31" ht="90">
      <c r="A147" s="368" t="s">
        <v>140</v>
      </c>
      <c r="B147" s="367" t="s">
        <v>141</v>
      </c>
      <c r="C147" s="357" t="s">
        <v>903</v>
      </c>
      <c r="D147" s="357" t="s">
        <v>946</v>
      </c>
      <c r="E147" s="357" t="s">
        <v>947</v>
      </c>
      <c r="F147" s="357" t="s">
        <v>948</v>
      </c>
      <c r="G147" s="349"/>
      <c r="H147" s="350" t="s">
        <v>949</v>
      </c>
      <c r="I147" s="357" t="s">
        <v>950</v>
      </c>
      <c r="J147" s="350"/>
      <c r="K147" s="349"/>
      <c r="L147" s="348"/>
      <c r="M147" s="348"/>
      <c r="N147" s="354" t="s">
        <v>951</v>
      </c>
      <c r="O147" s="354" t="s">
        <v>952</v>
      </c>
      <c r="P147" s="352" t="s">
        <v>2593</v>
      </c>
      <c r="Q147" s="352"/>
      <c r="R147" s="352"/>
      <c r="S147" s="352">
        <v>6</v>
      </c>
      <c r="T147" s="352">
        <f>$S147*DE_Cost!$B$1*8</f>
        <v>57.599999999999994</v>
      </c>
      <c r="U147" s="355">
        <f>$S147*DE_Cost!$B$1</f>
        <v>7.1999999999999993</v>
      </c>
      <c r="V147" s="355"/>
      <c r="W147" s="355"/>
      <c r="X147" s="355">
        <f t="shared" si="7"/>
        <v>6</v>
      </c>
      <c r="Y147" s="355">
        <f t="shared" si="8"/>
        <v>36</v>
      </c>
      <c r="Z147" s="352" t="s">
        <v>42</v>
      </c>
      <c r="AA147" s="352"/>
      <c r="AB147" s="353"/>
      <c r="AC147" s="353"/>
      <c r="AD147" s="482"/>
      <c r="AE147" s="487">
        <f t="shared" si="9"/>
        <v>13161.759476735542</v>
      </c>
    </row>
    <row r="148" spans="1:31" ht="90">
      <c r="A148" s="368" t="s">
        <v>140</v>
      </c>
      <c r="B148" s="367" t="s">
        <v>141</v>
      </c>
      <c r="C148" s="357" t="s">
        <v>903</v>
      </c>
      <c r="D148" s="357" t="s">
        <v>953</v>
      </c>
      <c r="E148" s="357" t="s">
        <v>2425</v>
      </c>
      <c r="F148" s="357" t="s">
        <v>955</v>
      </c>
      <c r="G148" s="349"/>
      <c r="H148" s="350" t="s">
        <v>2430</v>
      </c>
      <c r="I148" s="357" t="s">
        <v>957</v>
      </c>
      <c r="J148" s="350"/>
      <c r="K148" s="349"/>
      <c r="L148" s="348"/>
      <c r="M148" s="348"/>
      <c r="N148" s="354" t="s">
        <v>958</v>
      </c>
      <c r="O148" s="354" t="s">
        <v>959</v>
      </c>
      <c r="P148" s="352" t="s">
        <v>2593</v>
      </c>
      <c r="Q148" s="352"/>
      <c r="R148" s="352"/>
      <c r="S148" s="352">
        <v>8</v>
      </c>
      <c r="T148" s="352">
        <f>$S148*DE_Cost!$B$1*8</f>
        <v>76.8</v>
      </c>
      <c r="U148" s="355">
        <f>$S148*DE_Cost!$B$1</f>
        <v>9.6</v>
      </c>
      <c r="V148" s="355"/>
      <c r="W148" s="355"/>
      <c r="X148" s="355">
        <f t="shared" si="7"/>
        <v>6</v>
      </c>
      <c r="Y148" s="355">
        <f t="shared" si="8"/>
        <v>48</v>
      </c>
      <c r="Z148" s="352" t="s">
        <v>150</v>
      </c>
      <c r="AA148" s="352" t="s">
        <v>960</v>
      </c>
      <c r="AB148" s="353"/>
      <c r="AC148" s="353"/>
      <c r="AD148" s="482"/>
      <c r="AE148" s="487">
        <f t="shared" si="9"/>
        <v>17549.012635647388</v>
      </c>
    </row>
    <row r="149" spans="1:31" ht="126">
      <c r="A149" s="368" t="s">
        <v>140</v>
      </c>
      <c r="B149" s="367" t="s">
        <v>141</v>
      </c>
      <c r="C149" s="351" t="s">
        <v>903</v>
      </c>
      <c r="D149" s="351" t="s">
        <v>961</v>
      </c>
      <c r="E149" s="351" t="s">
        <v>962</v>
      </c>
      <c r="F149" s="351" t="s">
        <v>963</v>
      </c>
      <c r="G149" s="349"/>
      <c r="H149" s="350" t="s">
        <v>964</v>
      </c>
      <c r="I149" s="351" t="s">
        <v>965</v>
      </c>
      <c r="J149" s="350"/>
      <c r="K149" s="349"/>
      <c r="L149" s="348"/>
      <c r="M149" s="348"/>
      <c r="N149" s="354"/>
      <c r="O149" s="354" t="s">
        <v>966</v>
      </c>
      <c r="P149" s="352" t="s">
        <v>2597</v>
      </c>
      <c r="Q149" s="352"/>
      <c r="R149" s="352"/>
      <c r="S149" s="352">
        <v>5</v>
      </c>
      <c r="T149" s="352">
        <f>$S149*DE_Cost!$B$1*8</f>
        <v>48</v>
      </c>
      <c r="U149" s="355">
        <f>$S149*DE_Cost!$B$1</f>
        <v>6</v>
      </c>
      <c r="V149" s="355"/>
      <c r="W149" s="355"/>
      <c r="X149" s="355">
        <f t="shared" si="7"/>
        <v>6</v>
      </c>
      <c r="Y149" s="355">
        <f t="shared" si="8"/>
        <v>30</v>
      </c>
      <c r="Z149" s="352" t="s">
        <v>150</v>
      </c>
      <c r="AA149" s="352" t="s">
        <v>967</v>
      </c>
      <c r="AB149" s="353"/>
      <c r="AC149" s="353"/>
      <c r="AD149" s="482" t="s">
        <v>2546</v>
      </c>
      <c r="AE149" s="487">
        <f t="shared" si="9"/>
        <v>10968.132897279618</v>
      </c>
    </row>
    <row r="150" spans="1:31" ht="90">
      <c r="A150" s="368" t="s">
        <v>140</v>
      </c>
      <c r="B150" s="367" t="s">
        <v>141</v>
      </c>
      <c r="C150" s="351" t="s">
        <v>968</v>
      </c>
      <c r="D150" s="351" t="s">
        <v>969</v>
      </c>
      <c r="E150" s="351" t="s">
        <v>970</v>
      </c>
      <c r="F150" s="351" t="s">
        <v>971</v>
      </c>
      <c r="G150" s="349" t="s">
        <v>972</v>
      </c>
      <c r="H150" s="350" t="s">
        <v>973</v>
      </c>
      <c r="I150" s="351" t="s">
        <v>974</v>
      </c>
      <c r="J150" s="350"/>
      <c r="K150" s="349"/>
      <c r="L150" s="348"/>
      <c r="M150" s="348"/>
      <c r="N150" s="354" t="s">
        <v>975</v>
      </c>
      <c r="O150" s="354" t="s">
        <v>976</v>
      </c>
      <c r="P150" s="352" t="s">
        <v>2593</v>
      </c>
      <c r="Q150" s="352"/>
      <c r="R150" s="352"/>
      <c r="S150" s="352">
        <v>20</v>
      </c>
      <c r="T150" s="352">
        <f>$S150*DE_Cost!$B$1*8</f>
        <v>192</v>
      </c>
      <c r="U150" s="355">
        <f>$S150*DE_Cost!$B$1</f>
        <v>24</v>
      </c>
      <c r="V150" s="355"/>
      <c r="W150" s="355"/>
      <c r="X150" s="355">
        <f t="shared" si="7"/>
        <v>6</v>
      </c>
      <c r="Y150" s="355">
        <f t="shared" si="8"/>
        <v>120</v>
      </c>
      <c r="Z150" s="352" t="s">
        <v>150</v>
      </c>
      <c r="AA150" s="352" t="s">
        <v>977</v>
      </c>
      <c r="AB150" s="353"/>
      <c r="AC150" s="353"/>
      <c r="AD150" s="476" t="s">
        <v>2545</v>
      </c>
      <c r="AE150" s="487">
        <f t="shared" si="9"/>
        <v>43872.531589118473</v>
      </c>
    </row>
    <row r="151" spans="1:31" ht="60" customHeight="1">
      <c r="A151" s="405" t="s">
        <v>140</v>
      </c>
      <c r="B151" s="404" t="s">
        <v>141</v>
      </c>
      <c r="C151" s="351" t="s">
        <v>968</v>
      </c>
      <c r="D151" s="351" t="s">
        <v>978</v>
      </c>
      <c r="E151" s="351" t="s">
        <v>979</v>
      </c>
      <c r="F151" s="351" t="s">
        <v>980</v>
      </c>
      <c r="G151" s="349"/>
      <c r="H151" s="350" t="s">
        <v>2427</v>
      </c>
      <c r="I151" s="351" t="s">
        <v>982</v>
      </c>
      <c r="J151" s="350"/>
      <c r="K151" s="349"/>
      <c r="L151" s="348"/>
      <c r="M151" s="348"/>
      <c r="N151" s="354" t="s">
        <v>983</v>
      </c>
      <c r="O151" s="354" t="s">
        <v>984</v>
      </c>
      <c r="P151" s="352" t="s">
        <v>2593</v>
      </c>
      <c r="Q151" s="352"/>
      <c r="R151" s="352"/>
      <c r="S151" s="352">
        <v>20</v>
      </c>
      <c r="T151" s="352">
        <f>$S151*DE_Cost!$B$1*8</f>
        <v>192</v>
      </c>
      <c r="U151" s="355">
        <f>$S151*DE_Cost!$B$1</f>
        <v>24</v>
      </c>
      <c r="V151" s="355"/>
      <c r="W151" s="355"/>
      <c r="X151" s="355">
        <f t="shared" si="7"/>
        <v>6</v>
      </c>
      <c r="Y151" s="355">
        <f t="shared" si="8"/>
        <v>120</v>
      </c>
      <c r="Z151" s="352" t="s">
        <v>150</v>
      </c>
      <c r="AA151" s="352" t="s">
        <v>977</v>
      </c>
      <c r="AB151" s="353"/>
      <c r="AC151" s="353"/>
      <c r="AD151" s="482"/>
      <c r="AE151" s="487">
        <f t="shared" si="9"/>
        <v>43872.531589118473</v>
      </c>
    </row>
    <row r="152" spans="1:31" ht="60" customHeight="1">
      <c r="A152" s="405" t="s">
        <v>140</v>
      </c>
      <c r="B152" s="404" t="s">
        <v>141</v>
      </c>
      <c r="C152" s="351" t="s">
        <v>968</v>
      </c>
      <c r="D152" s="351" t="s">
        <v>985</v>
      </c>
      <c r="E152" s="351" t="s">
        <v>986</v>
      </c>
      <c r="F152" s="351" t="s">
        <v>987</v>
      </c>
      <c r="G152" s="349"/>
      <c r="H152" s="350" t="s">
        <v>988</v>
      </c>
      <c r="I152" s="351" t="s">
        <v>989</v>
      </c>
      <c r="J152" s="350"/>
      <c r="K152" s="349"/>
      <c r="L152" s="348"/>
      <c r="M152" s="348"/>
      <c r="N152" s="354" t="s">
        <v>990</v>
      </c>
      <c r="O152" s="354" t="s">
        <v>991</v>
      </c>
      <c r="P152" s="352" t="s">
        <v>2593</v>
      </c>
      <c r="Q152" s="352"/>
      <c r="R152" s="352"/>
      <c r="S152" s="352">
        <v>2</v>
      </c>
      <c r="T152" s="352">
        <f>$S152*DE_Cost!$B$1*8</f>
        <v>19.2</v>
      </c>
      <c r="U152" s="355">
        <f>$S152*DE_Cost!$B$1</f>
        <v>2.4</v>
      </c>
      <c r="V152" s="355"/>
      <c r="W152" s="355"/>
      <c r="X152" s="355">
        <f t="shared" si="7"/>
        <v>6</v>
      </c>
      <c r="Y152" s="355">
        <f t="shared" si="8"/>
        <v>12</v>
      </c>
      <c r="Z152" s="352" t="s">
        <v>150</v>
      </c>
      <c r="AA152" s="352" t="s">
        <v>977</v>
      </c>
      <c r="AB152" s="353"/>
      <c r="AC152" s="353"/>
      <c r="AD152" s="476"/>
      <c r="AE152" s="487">
        <f t="shared" si="9"/>
        <v>4387.2531589118471</v>
      </c>
    </row>
    <row r="153" spans="1:31" ht="108" customHeight="1">
      <c r="A153" s="405" t="s">
        <v>140</v>
      </c>
      <c r="B153" s="404" t="s">
        <v>141</v>
      </c>
      <c r="C153" s="351" t="s">
        <v>903</v>
      </c>
      <c r="D153" s="351" t="s">
        <v>992</v>
      </c>
      <c r="E153" s="351" t="s">
        <v>993</v>
      </c>
      <c r="F153" s="351"/>
      <c r="G153" s="349"/>
      <c r="H153" s="350" t="s">
        <v>994</v>
      </c>
      <c r="I153" s="351"/>
      <c r="J153" s="350"/>
      <c r="K153" s="349"/>
      <c r="L153" s="348"/>
      <c r="M153" s="348"/>
      <c r="N153" s="354" t="s">
        <v>995</v>
      </c>
      <c r="O153" s="354" t="s">
        <v>996</v>
      </c>
      <c r="P153" s="352" t="s">
        <v>2596</v>
      </c>
      <c r="Q153" s="352"/>
      <c r="R153" s="352"/>
      <c r="S153" s="352">
        <v>40</v>
      </c>
      <c r="T153" s="352">
        <f>$S153*DE_Cost!$B$1*8</f>
        <v>384</v>
      </c>
      <c r="U153" s="355">
        <f>$S153*DE_Cost!$B$1</f>
        <v>48</v>
      </c>
      <c r="V153" s="355"/>
      <c r="W153" s="355"/>
      <c r="X153" s="355">
        <f t="shared" si="7"/>
        <v>4</v>
      </c>
      <c r="Y153" s="355">
        <f t="shared" si="8"/>
        <v>160</v>
      </c>
      <c r="Z153" s="352" t="s">
        <v>150</v>
      </c>
      <c r="AA153" s="352" t="s">
        <v>997</v>
      </c>
      <c r="AB153" s="353"/>
      <c r="AC153" s="353"/>
      <c r="AD153" s="482"/>
      <c r="AE153" s="487">
        <f t="shared" si="9"/>
        <v>58496.708785491304</v>
      </c>
    </row>
    <row r="154" spans="1:31" ht="90">
      <c r="A154" s="405" t="s">
        <v>140</v>
      </c>
      <c r="B154" s="404" t="s">
        <v>141</v>
      </c>
      <c r="C154" s="351" t="s">
        <v>903</v>
      </c>
      <c r="D154" s="357" t="s">
        <v>998</v>
      </c>
      <c r="E154" s="357" t="s">
        <v>999</v>
      </c>
      <c r="F154" s="357" t="s">
        <v>1000</v>
      </c>
      <c r="G154" s="349"/>
      <c r="H154" s="350" t="s">
        <v>1001</v>
      </c>
      <c r="I154" s="357" t="s">
        <v>1002</v>
      </c>
      <c r="J154" s="350"/>
      <c r="K154" s="349"/>
      <c r="L154" s="348"/>
      <c r="M154" s="348"/>
      <c r="N154" s="354" t="s">
        <v>1003</v>
      </c>
      <c r="O154" s="354"/>
      <c r="P154" s="352" t="s">
        <v>2593</v>
      </c>
      <c r="Q154" s="352"/>
      <c r="R154" s="352"/>
      <c r="S154" s="352">
        <v>3</v>
      </c>
      <c r="T154" s="352">
        <f>$S154*DE_Cost!$B$1*8</f>
        <v>28.799999999999997</v>
      </c>
      <c r="U154" s="355">
        <f>$S154*DE_Cost!$B$1</f>
        <v>3.5999999999999996</v>
      </c>
      <c r="V154" s="355"/>
      <c r="W154" s="355"/>
      <c r="X154" s="355">
        <f t="shared" si="7"/>
        <v>6</v>
      </c>
      <c r="Y154" s="355">
        <f t="shared" si="8"/>
        <v>18</v>
      </c>
      <c r="Z154" s="352" t="s">
        <v>150</v>
      </c>
      <c r="AA154" s="352" t="s">
        <v>1004</v>
      </c>
      <c r="AB154" s="353"/>
      <c r="AC154" s="353"/>
      <c r="AD154" s="476"/>
      <c r="AE154" s="487">
        <f t="shared" si="9"/>
        <v>6580.8797383677711</v>
      </c>
    </row>
    <row r="155" spans="1:31" ht="72">
      <c r="A155" s="405" t="s">
        <v>140</v>
      </c>
      <c r="B155" s="404" t="s">
        <v>141</v>
      </c>
      <c r="C155" s="351" t="s">
        <v>903</v>
      </c>
      <c r="D155" s="351" t="s">
        <v>1005</v>
      </c>
      <c r="E155" s="351" t="s">
        <v>2431</v>
      </c>
      <c r="F155" s="351" t="s">
        <v>1007</v>
      </c>
      <c r="G155" s="349"/>
      <c r="H155" s="350" t="s">
        <v>2429</v>
      </c>
      <c r="I155" s="351" t="s">
        <v>1009</v>
      </c>
      <c r="J155" s="350"/>
      <c r="K155" s="349"/>
      <c r="L155" s="348"/>
      <c r="M155" s="348"/>
      <c r="N155" s="354" t="s">
        <v>1010</v>
      </c>
      <c r="O155" s="354"/>
      <c r="P155" s="352" t="s">
        <v>2597</v>
      </c>
      <c r="Q155" s="352"/>
      <c r="R155" s="352"/>
      <c r="S155" s="352">
        <v>5</v>
      </c>
      <c r="T155" s="352">
        <f>$S155*DE_Cost!$B$1*8</f>
        <v>48</v>
      </c>
      <c r="U155" s="355">
        <f>$S155*DE_Cost!$B$1</f>
        <v>6</v>
      </c>
      <c r="V155" s="355"/>
      <c r="W155" s="355"/>
      <c r="X155" s="355">
        <f t="shared" si="7"/>
        <v>6</v>
      </c>
      <c r="Y155" s="355">
        <f t="shared" si="8"/>
        <v>30</v>
      </c>
      <c r="Z155" s="352" t="s">
        <v>150</v>
      </c>
      <c r="AA155" s="352" t="s">
        <v>1011</v>
      </c>
      <c r="AB155" s="353"/>
      <c r="AC155" s="353"/>
      <c r="AD155" s="476"/>
      <c r="AE155" s="487">
        <f t="shared" si="9"/>
        <v>10968.132897279618</v>
      </c>
    </row>
    <row r="156" spans="1:31" ht="72">
      <c r="A156" s="405" t="s">
        <v>140</v>
      </c>
      <c r="B156" s="404" t="s">
        <v>141</v>
      </c>
      <c r="C156" s="351" t="s">
        <v>903</v>
      </c>
      <c r="D156" s="351" t="s">
        <v>1012</v>
      </c>
      <c r="E156" s="351" t="s">
        <v>1013</v>
      </c>
      <c r="F156" s="351" t="s">
        <v>1014</v>
      </c>
      <c r="G156" s="349"/>
      <c r="H156" s="350" t="s">
        <v>1015</v>
      </c>
      <c r="I156" s="351" t="s">
        <v>1016</v>
      </c>
      <c r="J156" s="350"/>
      <c r="K156" s="349"/>
      <c r="L156" s="348"/>
      <c r="M156" s="348"/>
      <c r="N156" s="354" t="s">
        <v>1017</v>
      </c>
      <c r="O156" s="354"/>
      <c r="P156" s="352" t="s">
        <v>2593</v>
      </c>
      <c r="Q156" s="352"/>
      <c r="R156" s="352"/>
      <c r="S156" s="352">
        <v>3</v>
      </c>
      <c r="T156" s="352">
        <f>$S156*DE_Cost!$B$1*8</f>
        <v>28.799999999999997</v>
      </c>
      <c r="U156" s="355">
        <f>$S156*DE_Cost!$B$1</f>
        <v>3.5999999999999996</v>
      </c>
      <c r="V156" s="355"/>
      <c r="W156" s="355"/>
      <c r="X156" s="355">
        <f t="shared" si="7"/>
        <v>6</v>
      </c>
      <c r="Y156" s="355">
        <f t="shared" si="8"/>
        <v>18</v>
      </c>
      <c r="Z156" s="352" t="s">
        <v>150</v>
      </c>
      <c r="AA156" s="352" t="s">
        <v>977</v>
      </c>
      <c r="AB156" s="353"/>
      <c r="AC156" s="353"/>
      <c r="AD156" s="476"/>
      <c r="AE156" s="487">
        <f t="shared" si="9"/>
        <v>6580.8797383677711</v>
      </c>
    </row>
    <row r="157" spans="1:31" ht="90">
      <c r="A157" s="405" t="s">
        <v>140</v>
      </c>
      <c r="B157" s="404" t="s">
        <v>141</v>
      </c>
      <c r="C157" s="351" t="s">
        <v>1018</v>
      </c>
      <c r="D157" s="351" t="s">
        <v>1019</v>
      </c>
      <c r="E157" s="351" t="s">
        <v>1020</v>
      </c>
      <c r="F157" s="351" t="s">
        <v>1021</v>
      </c>
      <c r="G157" s="349" t="s">
        <v>1022</v>
      </c>
      <c r="H157" s="350" t="s">
        <v>1023</v>
      </c>
      <c r="I157" s="351" t="s">
        <v>1024</v>
      </c>
      <c r="J157" s="350"/>
      <c r="K157" s="349"/>
      <c r="L157" s="348"/>
      <c r="M157" s="348"/>
      <c r="N157" s="354" t="s">
        <v>1025</v>
      </c>
      <c r="O157" s="354" t="s">
        <v>1026</v>
      </c>
      <c r="P157" s="352" t="s">
        <v>2597</v>
      </c>
      <c r="Q157" s="352"/>
      <c r="R157" s="352"/>
      <c r="S157" s="352">
        <v>2</v>
      </c>
      <c r="T157" s="352">
        <f>$S157*DE_Cost!$B$1*8</f>
        <v>19.2</v>
      </c>
      <c r="U157" s="355">
        <f>$S157*DE_Cost!$B$1</f>
        <v>2.4</v>
      </c>
      <c r="V157" s="355"/>
      <c r="W157" s="355"/>
      <c r="X157" s="355">
        <f t="shared" si="7"/>
        <v>6</v>
      </c>
      <c r="Y157" s="355">
        <f t="shared" si="8"/>
        <v>12</v>
      </c>
      <c r="Z157" s="352" t="s">
        <v>150</v>
      </c>
      <c r="AA157" s="352" t="s">
        <v>1027</v>
      </c>
      <c r="AB157" s="353"/>
      <c r="AC157" s="353"/>
      <c r="AD157" s="482"/>
      <c r="AE157" s="487">
        <f t="shared" si="9"/>
        <v>4387.2531589118471</v>
      </c>
    </row>
    <row r="158" spans="1:31" ht="90">
      <c r="A158" s="405" t="s">
        <v>140</v>
      </c>
      <c r="B158" s="404" t="s">
        <v>141</v>
      </c>
      <c r="C158" s="351" t="s">
        <v>1018</v>
      </c>
      <c r="D158" s="351" t="s">
        <v>1028</v>
      </c>
      <c r="E158" s="351" t="s">
        <v>1029</v>
      </c>
      <c r="F158" s="351" t="s">
        <v>1030</v>
      </c>
      <c r="G158" s="349"/>
      <c r="H158" s="350" t="s">
        <v>1031</v>
      </c>
      <c r="I158" s="351" t="s">
        <v>1032</v>
      </c>
      <c r="J158" s="350"/>
      <c r="K158" s="349"/>
      <c r="L158" s="348"/>
      <c r="M158" s="348"/>
      <c r="N158" s="354" t="s">
        <v>1033</v>
      </c>
      <c r="O158" s="354" t="s">
        <v>1034</v>
      </c>
      <c r="P158" s="352" t="s">
        <v>2594</v>
      </c>
      <c r="Q158" s="352"/>
      <c r="R158" s="352"/>
      <c r="S158" s="352">
        <v>30</v>
      </c>
      <c r="T158" s="352">
        <f>$S158*DE_Cost!$B$1*8</f>
        <v>288</v>
      </c>
      <c r="U158" s="355">
        <f>$S158*DE_Cost!$B$1</f>
        <v>36</v>
      </c>
      <c r="V158" s="355"/>
      <c r="W158" s="355"/>
      <c r="X158" s="355">
        <f t="shared" si="7"/>
        <v>6</v>
      </c>
      <c r="Y158" s="355">
        <f t="shared" si="8"/>
        <v>180</v>
      </c>
      <c r="Z158" s="352" t="s">
        <v>150</v>
      </c>
      <c r="AA158" s="352" t="s">
        <v>1036</v>
      </c>
      <c r="AB158" s="353"/>
      <c r="AC158" s="353"/>
      <c r="AD158" s="482"/>
      <c r="AE158" s="487">
        <f t="shared" si="9"/>
        <v>65808.797383677724</v>
      </c>
    </row>
    <row r="159" spans="1:31" ht="195" customHeight="1">
      <c r="A159" s="405" t="s">
        <v>140</v>
      </c>
      <c r="B159" s="404" t="s">
        <v>141</v>
      </c>
      <c r="C159" s="351" t="s">
        <v>1018</v>
      </c>
      <c r="D159" s="357" t="s">
        <v>1037</v>
      </c>
      <c r="E159" s="357" t="s">
        <v>1038</v>
      </c>
      <c r="F159" s="357" t="s">
        <v>1039</v>
      </c>
      <c r="G159" s="349" t="s">
        <v>1022</v>
      </c>
      <c r="H159" s="350" t="s">
        <v>2452</v>
      </c>
      <c r="I159" s="356" t="s">
        <v>1041</v>
      </c>
      <c r="J159" s="350" t="s">
        <v>1042</v>
      </c>
      <c r="K159" s="349"/>
      <c r="L159" s="348"/>
      <c r="M159" s="348" t="s">
        <v>1043</v>
      </c>
      <c r="N159" s="354" t="s">
        <v>1044</v>
      </c>
      <c r="O159" s="354" t="s">
        <v>2587</v>
      </c>
      <c r="P159" s="352" t="s">
        <v>2594</v>
      </c>
      <c r="Q159" s="352"/>
      <c r="R159" s="352"/>
      <c r="S159" s="352">
        <v>10</v>
      </c>
      <c r="T159" s="352">
        <f>$S159*DE_Cost!$B$1*8</f>
        <v>96</v>
      </c>
      <c r="U159" s="355">
        <f>$S159*DE_Cost!$B$1</f>
        <v>12</v>
      </c>
      <c r="V159" s="355"/>
      <c r="W159" s="355"/>
      <c r="X159" s="355">
        <f t="shared" si="7"/>
        <v>6</v>
      </c>
      <c r="Y159" s="355">
        <f t="shared" si="8"/>
        <v>60</v>
      </c>
      <c r="Z159" s="352" t="s">
        <v>42</v>
      </c>
      <c r="AA159" s="352"/>
      <c r="AB159" s="353"/>
      <c r="AC159" s="353"/>
      <c r="AD159" s="482"/>
      <c r="AE159" s="487">
        <f t="shared" si="9"/>
        <v>21936.265794559236</v>
      </c>
    </row>
    <row r="160" spans="1:31" ht="182" customHeight="1">
      <c r="A160" s="405" t="s">
        <v>140</v>
      </c>
      <c r="B160" s="404" t="s">
        <v>141</v>
      </c>
      <c r="C160" s="351" t="s">
        <v>1018</v>
      </c>
      <c r="D160" s="357" t="s">
        <v>1046</v>
      </c>
      <c r="E160" s="357" t="s">
        <v>1047</v>
      </c>
      <c r="F160" s="357" t="s">
        <v>1048</v>
      </c>
      <c r="G160" s="349" t="s">
        <v>1022</v>
      </c>
      <c r="H160" s="350" t="s">
        <v>1049</v>
      </c>
      <c r="I160" s="357" t="s">
        <v>1050</v>
      </c>
      <c r="J160" s="350" t="s">
        <v>2588</v>
      </c>
      <c r="K160" s="349"/>
      <c r="L160" s="348"/>
      <c r="M160" s="348"/>
      <c r="N160" s="354" t="s">
        <v>1052</v>
      </c>
      <c r="O160" s="354" t="s">
        <v>1053</v>
      </c>
      <c r="P160" s="352" t="s">
        <v>2593</v>
      </c>
      <c r="Q160" s="352"/>
      <c r="R160" s="352"/>
      <c r="S160" s="352">
        <v>60</v>
      </c>
      <c r="T160" s="352">
        <f>$S160*DE_Cost!$B$1*8</f>
        <v>576</v>
      </c>
      <c r="U160" s="355">
        <f>$S160*DE_Cost!$B$1</f>
        <v>72</v>
      </c>
      <c r="V160" s="355"/>
      <c r="W160" s="355"/>
      <c r="X160" s="355">
        <f t="shared" si="7"/>
        <v>6</v>
      </c>
      <c r="Y160" s="355">
        <f t="shared" si="8"/>
        <v>360</v>
      </c>
      <c r="Z160" s="352" t="s">
        <v>42</v>
      </c>
      <c r="AA160" s="352"/>
      <c r="AB160" s="353"/>
      <c r="AC160" s="353"/>
      <c r="AD160" s="482"/>
      <c r="AE160" s="487">
        <f t="shared" si="9"/>
        <v>131617.59476735545</v>
      </c>
    </row>
    <row r="161" spans="1:31" ht="90">
      <c r="A161" s="405" t="s">
        <v>140</v>
      </c>
      <c r="B161" s="404" t="s">
        <v>141</v>
      </c>
      <c r="C161" s="351" t="s">
        <v>1018</v>
      </c>
      <c r="D161" s="357" t="s">
        <v>1054</v>
      </c>
      <c r="E161" s="357" t="s">
        <v>1055</v>
      </c>
      <c r="F161" s="357" t="s">
        <v>1056</v>
      </c>
      <c r="G161" s="349"/>
      <c r="H161" s="350" t="s">
        <v>1057</v>
      </c>
      <c r="I161" s="357" t="s">
        <v>1058</v>
      </c>
      <c r="J161" s="350"/>
      <c r="K161" s="349"/>
      <c r="L161" s="348"/>
      <c r="M161" s="348"/>
      <c r="N161" s="354" t="s">
        <v>1059</v>
      </c>
      <c r="O161" s="354"/>
      <c r="P161" s="352" t="s">
        <v>2594</v>
      </c>
      <c r="Q161" s="352"/>
      <c r="R161" s="352"/>
      <c r="S161" s="352">
        <v>30</v>
      </c>
      <c r="T161" s="352">
        <f>$S161*DE_Cost!$B$1*8</f>
        <v>288</v>
      </c>
      <c r="U161" s="355">
        <f>$S161*DE_Cost!$B$1</f>
        <v>36</v>
      </c>
      <c r="V161" s="355"/>
      <c r="W161" s="355"/>
      <c r="X161" s="355">
        <f t="shared" si="7"/>
        <v>6</v>
      </c>
      <c r="Y161" s="355">
        <f t="shared" si="8"/>
        <v>180</v>
      </c>
      <c r="Z161" s="352" t="s">
        <v>150</v>
      </c>
      <c r="AA161" s="352" t="s">
        <v>1061</v>
      </c>
      <c r="AB161" s="353"/>
      <c r="AC161" s="353"/>
      <c r="AD161" s="482"/>
      <c r="AE161" s="487">
        <f t="shared" si="9"/>
        <v>65808.797383677724</v>
      </c>
    </row>
    <row r="162" spans="1:31" ht="72">
      <c r="A162" s="405" t="s">
        <v>140</v>
      </c>
      <c r="B162" s="404" t="s">
        <v>141</v>
      </c>
      <c r="C162" s="351" t="s">
        <v>1018</v>
      </c>
      <c r="D162" s="357" t="s">
        <v>1062</v>
      </c>
      <c r="E162" s="357" t="s">
        <v>1063</v>
      </c>
      <c r="F162" s="357"/>
      <c r="G162" s="349"/>
      <c r="H162" s="350" t="s">
        <v>1064</v>
      </c>
      <c r="I162" s="357"/>
      <c r="J162" s="350"/>
      <c r="K162" s="349"/>
      <c r="L162" s="348"/>
      <c r="M162" s="348"/>
      <c r="N162" s="354" t="s">
        <v>1065</v>
      </c>
      <c r="O162" s="354"/>
      <c r="P162" s="352" t="s">
        <v>2595</v>
      </c>
      <c r="Q162" s="352" t="s">
        <v>1066</v>
      </c>
      <c r="R162" s="352"/>
      <c r="S162" s="352">
        <v>10</v>
      </c>
      <c r="T162" s="352">
        <f>$S162*DE_Cost!$B$1*8</f>
        <v>96</v>
      </c>
      <c r="U162" s="355">
        <f>$S162*DE_Cost!$B$1</f>
        <v>12</v>
      </c>
      <c r="V162" s="355"/>
      <c r="W162" s="355"/>
      <c r="X162" s="355">
        <f t="shared" si="7"/>
        <v>7</v>
      </c>
      <c r="Y162" s="355">
        <f t="shared" si="8"/>
        <v>70</v>
      </c>
      <c r="Z162" s="352" t="s">
        <v>42</v>
      </c>
      <c r="AA162" s="352"/>
      <c r="AB162" s="353"/>
      <c r="AC162" s="353"/>
      <c r="AD162" s="482"/>
      <c r="AE162" s="487">
        <f t="shared" si="9"/>
        <v>25592.310093652446</v>
      </c>
    </row>
    <row r="163" spans="1:31" ht="90">
      <c r="A163" s="405" t="s">
        <v>140</v>
      </c>
      <c r="B163" s="404" t="s">
        <v>141</v>
      </c>
      <c r="C163" s="351" t="s">
        <v>1018</v>
      </c>
      <c r="D163" s="351" t="s">
        <v>1067</v>
      </c>
      <c r="E163" s="351" t="s">
        <v>2411</v>
      </c>
      <c r="F163" s="351" t="s">
        <v>1069</v>
      </c>
      <c r="G163" s="349" t="s">
        <v>1022</v>
      </c>
      <c r="H163" s="350" t="s">
        <v>1070</v>
      </c>
      <c r="I163" s="351" t="s">
        <v>1071</v>
      </c>
      <c r="J163" s="350"/>
      <c r="K163" s="349"/>
      <c r="L163" s="348"/>
      <c r="M163" s="348"/>
      <c r="N163" s="354" t="s">
        <v>1072</v>
      </c>
      <c r="O163" s="354" t="s">
        <v>1073</v>
      </c>
      <c r="P163" s="352" t="s">
        <v>2593</v>
      </c>
      <c r="Q163" s="352"/>
      <c r="R163" s="352"/>
      <c r="S163" s="352">
        <v>20</v>
      </c>
      <c r="T163" s="352">
        <f>$S163*DE_Cost!$B$1*8</f>
        <v>192</v>
      </c>
      <c r="U163" s="355">
        <f>$S163*DE_Cost!$B$1</f>
        <v>24</v>
      </c>
      <c r="V163" s="355"/>
      <c r="W163" s="355"/>
      <c r="X163" s="355">
        <f t="shared" si="7"/>
        <v>6</v>
      </c>
      <c r="Y163" s="355">
        <f t="shared" si="8"/>
        <v>120</v>
      </c>
      <c r="Z163" s="352" t="s">
        <v>150</v>
      </c>
      <c r="AA163" s="352" t="s">
        <v>1074</v>
      </c>
      <c r="AB163" s="353"/>
      <c r="AC163" s="353"/>
      <c r="AD163" s="482"/>
      <c r="AE163" s="487">
        <f t="shared" si="9"/>
        <v>43872.531589118473</v>
      </c>
    </row>
    <row r="164" spans="1:31" ht="97" customHeight="1">
      <c r="A164" s="411" t="s">
        <v>140</v>
      </c>
      <c r="B164" s="410" t="s">
        <v>141</v>
      </c>
      <c r="C164" s="385" t="s">
        <v>1018</v>
      </c>
      <c r="D164" s="393" t="s">
        <v>1075</v>
      </c>
      <c r="E164" s="393" t="s">
        <v>1076</v>
      </c>
      <c r="F164" s="385" t="s">
        <v>1077</v>
      </c>
      <c r="G164" s="391"/>
      <c r="H164" s="409" t="s">
        <v>1078</v>
      </c>
      <c r="I164" s="385" t="s">
        <v>1079</v>
      </c>
      <c r="J164" s="392"/>
      <c r="K164" s="408"/>
      <c r="L164" s="348"/>
      <c r="M164" s="348"/>
      <c r="N164" s="407" t="s">
        <v>1080</v>
      </c>
      <c r="O164" s="407" t="s">
        <v>1081</v>
      </c>
      <c r="P164" s="352" t="s">
        <v>2593</v>
      </c>
      <c r="Q164" s="388"/>
      <c r="R164" s="388"/>
      <c r="S164" s="388">
        <v>40</v>
      </c>
      <c r="T164" s="388">
        <f>$S164*DE_Cost!$B$1*8</f>
        <v>384</v>
      </c>
      <c r="U164" s="389">
        <f>$S164*DE_Cost!$B$1</f>
        <v>48</v>
      </c>
      <c r="V164" s="355"/>
      <c r="W164" s="355"/>
      <c r="X164" s="355">
        <f t="shared" si="7"/>
        <v>6</v>
      </c>
      <c r="Y164" s="355">
        <f t="shared" si="8"/>
        <v>240</v>
      </c>
      <c r="Z164" s="388" t="s">
        <v>150</v>
      </c>
      <c r="AA164" s="352" t="s">
        <v>1082</v>
      </c>
      <c r="AB164" s="353"/>
      <c r="AC164" s="353"/>
      <c r="AD164" s="482"/>
      <c r="AE164" s="487">
        <f t="shared" si="9"/>
        <v>87745.063178236946</v>
      </c>
    </row>
    <row r="165" spans="1:31" ht="108">
      <c r="A165" s="405" t="s">
        <v>140</v>
      </c>
      <c r="B165" s="404" t="s">
        <v>141</v>
      </c>
      <c r="C165" s="351" t="s">
        <v>1018</v>
      </c>
      <c r="D165" s="351" t="s">
        <v>1083</v>
      </c>
      <c r="E165" s="351" t="s">
        <v>1084</v>
      </c>
      <c r="F165" s="351" t="s">
        <v>1085</v>
      </c>
      <c r="G165" s="349"/>
      <c r="H165" s="350" t="s">
        <v>1086</v>
      </c>
      <c r="I165" s="351" t="s">
        <v>1087</v>
      </c>
      <c r="J165" s="350"/>
      <c r="K165" s="349"/>
      <c r="L165" s="348"/>
      <c r="M165" s="348"/>
      <c r="N165" s="354" t="s">
        <v>1088</v>
      </c>
      <c r="O165" s="354" t="s">
        <v>1089</v>
      </c>
      <c r="P165" s="352" t="s">
        <v>2593</v>
      </c>
      <c r="Q165" s="352"/>
      <c r="R165" s="352"/>
      <c r="S165" s="352">
        <v>5</v>
      </c>
      <c r="T165" s="352">
        <f>$S165*DE_Cost!$B$1*8</f>
        <v>48</v>
      </c>
      <c r="U165" s="355">
        <f>$S165*DE_Cost!$B$1</f>
        <v>6</v>
      </c>
      <c r="V165" s="355"/>
      <c r="W165" s="355"/>
      <c r="X165" s="355">
        <f t="shared" ref="X165:X228" si="10">IF(TRIM(P165)="", 0, LEN(P165) - LEN(SUBSTITUTE(P165, "&amp;", "")) + 1)</f>
        <v>6</v>
      </c>
      <c r="Y165" s="355">
        <f t="shared" si="8"/>
        <v>30</v>
      </c>
      <c r="Z165" s="352" t="s">
        <v>42</v>
      </c>
      <c r="AA165" s="352"/>
      <c r="AB165" s="353"/>
      <c r="AC165" s="353"/>
      <c r="AD165" s="482"/>
      <c r="AE165" s="487">
        <f t="shared" si="9"/>
        <v>10968.132897279618</v>
      </c>
    </row>
    <row r="166" spans="1:31" ht="144">
      <c r="A166" s="405" t="s">
        <v>140</v>
      </c>
      <c r="B166" s="404" t="s">
        <v>141</v>
      </c>
      <c r="C166" s="351" t="s">
        <v>1018</v>
      </c>
      <c r="D166" s="357" t="s">
        <v>1090</v>
      </c>
      <c r="E166" s="357" t="s">
        <v>1091</v>
      </c>
      <c r="F166" s="357" t="s">
        <v>1092</v>
      </c>
      <c r="G166" s="349" t="s">
        <v>1022</v>
      </c>
      <c r="H166" s="350" t="s">
        <v>1093</v>
      </c>
      <c r="I166" s="357" t="s">
        <v>1094</v>
      </c>
      <c r="J166" s="350"/>
      <c r="K166" s="349" t="s">
        <v>318</v>
      </c>
      <c r="L166" s="348" t="s">
        <v>1095</v>
      </c>
      <c r="M166" s="348"/>
      <c r="N166" s="354" t="s">
        <v>1096</v>
      </c>
      <c r="O166" s="354" t="s">
        <v>1097</v>
      </c>
      <c r="P166" s="352" t="s">
        <v>2593</v>
      </c>
      <c r="Q166" s="352"/>
      <c r="R166" s="352"/>
      <c r="S166" s="352">
        <v>30</v>
      </c>
      <c r="T166" s="352">
        <f>$S166*DE_Cost!$B$1*8</f>
        <v>288</v>
      </c>
      <c r="U166" s="355">
        <f>$S166*DE_Cost!$B$1</f>
        <v>36</v>
      </c>
      <c r="V166" s="355"/>
      <c r="W166" s="355"/>
      <c r="X166" s="355">
        <f t="shared" si="10"/>
        <v>6</v>
      </c>
      <c r="Y166" s="355">
        <f t="shared" ref="Y166:Y229" si="11">S166 * X166</f>
        <v>180</v>
      </c>
      <c r="Z166" s="352" t="s">
        <v>42</v>
      </c>
      <c r="AA166" s="352"/>
      <c r="AB166" s="353"/>
      <c r="AC166" s="353"/>
      <c r="AD166" s="482"/>
      <c r="AE166" s="487">
        <f t="shared" ref="AE166:AE229" si="12">(Y166 / $AE$2) * $AC$2</f>
        <v>65808.797383677724</v>
      </c>
    </row>
    <row r="167" spans="1:31" ht="90">
      <c r="A167" s="405" t="s">
        <v>140</v>
      </c>
      <c r="B167" s="404" t="s">
        <v>141</v>
      </c>
      <c r="C167" s="351" t="s">
        <v>1018</v>
      </c>
      <c r="D167" s="351" t="s">
        <v>1098</v>
      </c>
      <c r="E167" s="351" t="s">
        <v>1099</v>
      </c>
      <c r="F167" s="351" t="s">
        <v>1100</v>
      </c>
      <c r="G167" s="349" t="s">
        <v>174</v>
      </c>
      <c r="H167" s="350" t="s">
        <v>1101</v>
      </c>
      <c r="I167" s="351" t="s">
        <v>1102</v>
      </c>
      <c r="J167" s="350"/>
      <c r="K167" s="349" t="s">
        <v>1103</v>
      </c>
      <c r="L167" s="348"/>
      <c r="M167" s="348"/>
      <c r="N167" s="354" t="s">
        <v>1104</v>
      </c>
      <c r="O167" s="354" t="s">
        <v>1105</v>
      </c>
      <c r="P167" s="352" t="s">
        <v>2593</v>
      </c>
      <c r="Q167" s="352"/>
      <c r="R167" s="352"/>
      <c r="S167" s="352">
        <v>15</v>
      </c>
      <c r="T167" s="352">
        <f>$S167*DE_Cost!$B$1*8</f>
        <v>144</v>
      </c>
      <c r="U167" s="355">
        <f>$S167*DE_Cost!$B$1</f>
        <v>18</v>
      </c>
      <c r="V167" s="355"/>
      <c r="W167" s="355"/>
      <c r="X167" s="355">
        <f t="shared" si="10"/>
        <v>6</v>
      </c>
      <c r="Y167" s="355">
        <f t="shared" si="11"/>
        <v>90</v>
      </c>
      <c r="Z167" s="352" t="s">
        <v>42</v>
      </c>
      <c r="AA167" s="352"/>
      <c r="AB167" s="353"/>
      <c r="AC167" s="353"/>
      <c r="AD167" s="482"/>
      <c r="AE167" s="487">
        <f t="shared" si="12"/>
        <v>32904.398691838862</v>
      </c>
    </row>
    <row r="168" spans="1:31" ht="72">
      <c r="A168" s="368" t="s">
        <v>140</v>
      </c>
      <c r="B168" s="367" t="s">
        <v>141</v>
      </c>
      <c r="C168" s="351" t="s">
        <v>1018</v>
      </c>
      <c r="D168" s="351" t="s">
        <v>1106</v>
      </c>
      <c r="E168" s="351" t="s">
        <v>1107</v>
      </c>
      <c r="F168" s="351" t="s">
        <v>1108</v>
      </c>
      <c r="G168" s="349" t="s">
        <v>174</v>
      </c>
      <c r="H168" s="361" t="s">
        <v>1109</v>
      </c>
      <c r="I168" s="351" t="s">
        <v>1110</v>
      </c>
      <c r="J168" s="350"/>
      <c r="K168" s="349" t="s">
        <v>1103</v>
      </c>
      <c r="L168" s="348"/>
      <c r="M168" s="348"/>
      <c r="N168" s="354" t="s">
        <v>1111</v>
      </c>
      <c r="O168" s="354" t="s">
        <v>1112</v>
      </c>
      <c r="P168" s="352" t="s">
        <v>2593</v>
      </c>
      <c r="Q168" s="352"/>
      <c r="R168" s="352"/>
      <c r="S168" s="352">
        <v>20</v>
      </c>
      <c r="T168" s="352">
        <f>$S168*DE_Cost!$B$1*8</f>
        <v>192</v>
      </c>
      <c r="U168" s="355">
        <f>$S168*DE_Cost!$B$1</f>
        <v>24</v>
      </c>
      <c r="V168" s="355"/>
      <c r="W168" s="355"/>
      <c r="X168" s="355">
        <f t="shared" si="10"/>
        <v>6</v>
      </c>
      <c r="Y168" s="355">
        <f t="shared" si="11"/>
        <v>120</v>
      </c>
      <c r="Z168" s="352" t="s">
        <v>42</v>
      </c>
      <c r="AA168" s="352"/>
      <c r="AB168" s="353"/>
      <c r="AC168" s="353"/>
      <c r="AD168" s="482"/>
      <c r="AE168" s="487">
        <f t="shared" si="12"/>
        <v>43872.531589118473</v>
      </c>
    </row>
    <row r="169" spans="1:31" ht="57" customHeight="1">
      <c r="A169" s="368" t="s">
        <v>140</v>
      </c>
      <c r="B169" s="367" t="s">
        <v>141</v>
      </c>
      <c r="C169" s="351" t="s">
        <v>1018</v>
      </c>
      <c r="D169" s="357" t="s">
        <v>1113</v>
      </c>
      <c r="E169" s="357" t="s">
        <v>1114</v>
      </c>
      <c r="F169" s="351" t="s">
        <v>1115</v>
      </c>
      <c r="G169" s="349" t="s">
        <v>174</v>
      </c>
      <c r="H169" s="350" t="s">
        <v>1116</v>
      </c>
      <c r="I169" s="351" t="s">
        <v>1117</v>
      </c>
      <c r="J169" s="350"/>
      <c r="K169" s="360" t="s">
        <v>1103</v>
      </c>
      <c r="L169" s="348"/>
      <c r="M169" s="348"/>
      <c r="N169" s="354" t="s">
        <v>1118</v>
      </c>
      <c r="O169" s="354" t="s">
        <v>1119</v>
      </c>
      <c r="P169" s="352" t="s">
        <v>2594</v>
      </c>
      <c r="Q169" s="352"/>
      <c r="R169" s="352"/>
      <c r="S169" s="352">
        <v>5</v>
      </c>
      <c r="T169" s="352">
        <f>$S169*DE_Cost!$B$1*8</f>
        <v>48</v>
      </c>
      <c r="U169" s="355">
        <f>$S169*DE_Cost!$B$1</f>
        <v>6</v>
      </c>
      <c r="V169" s="355"/>
      <c r="W169" s="355"/>
      <c r="X169" s="355">
        <f t="shared" si="10"/>
        <v>6</v>
      </c>
      <c r="Y169" s="355">
        <f t="shared" si="11"/>
        <v>30</v>
      </c>
      <c r="Z169" s="352" t="s">
        <v>42</v>
      </c>
      <c r="AA169" s="352"/>
      <c r="AB169" s="353"/>
      <c r="AC169" s="353"/>
      <c r="AD169" s="482"/>
      <c r="AE169" s="487">
        <f t="shared" si="12"/>
        <v>10968.132897279618</v>
      </c>
    </row>
    <row r="170" spans="1:31" ht="306">
      <c r="A170" s="368" t="s">
        <v>140</v>
      </c>
      <c r="B170" s="367" t="s">
        <v>1120</v>
      </c>
      <c r="C170" s="351" t="s">
        <v>1121</v>
      </c>
      <c r="D170" s="351" t="s">
        <v>1122</v>
      </c>
      <c r="E170" s="351" t="s">
        <v>1123</v>
      </c>
      <c r="F170" s="351" t="s">
        <v>1124</v>
      </c>
      <c r="G170" s="349" t="s">
        <v>394</v>
      </c>
      <c r="H170" s="350" t="s">
        <v>1125</v>
      </c>
      <c r="I170" s="384" t="s">
        <v>1126</v>
      </c>
      <c r="J170" s="350" t="s">
        <v>1127</v>
      </c>
      <c r="K170" s="349"/>
      <c r="L170" s="348"/>
      <c r="M170" s="348"/>
      <c r="N170" s="359" t="s">
        <v>1128</v>
      </c>
      <c r="O170" s="359" t="s">
        <v>1129</v>
      </c>
      <c r="P170" s="352" t="s">
        <v>2595</v>
      </c>
      <c r="Q170" s="352"/>
      <c r="R170" s="352"/>
      <c r="S170" s="352">
        <v>8</v>
      </c>
      <c r="T170" s="352">
        <f>$S170*DE_Cost!$B$1*8</f>
        <v>76.8</v>
      </c>
      <c r="U170" s="355">
        <f>$S170*DE_Cost!$B$1</f>
        <v>9.6</v>
      </c>
      <c r="V170" s="355"/>
      <c r="W170" s="355"/>
      <c r="X170" s="355">
        <f t="shared" si="10"/>
        <v>7</v>
      </c>
      <c r="Y170" s="355">
        <f t="shared" si="11"/>
        <v>56</v>
      </c>
      <c r="Z170" s="352" t="s">
        <v>150</v>
      </c>
      <c r="AA170" s="352" t="s">
        <v>1130</v>
      </c>
      <c r="AB170" s="353"/>
      <c r="AC170" s="353"/>
      <c r="AD170" s="482"/>
      <c r="AE170" s="487">
        <f t="shared" si="12"/>
        <v>20473.848074921956</v>
      </c>
    </row>
    <row r="171" spans="1:31" ht="409.6">
      <c r="A171" s="368" t="s">
        <v>140</v>
      </c>
      <c r="B171" s="367" t="s">
        <v>1120</v>
      </c>
      <c r="C171" s="351" t="s">
        <v>1121</v>
      </c>
      <c r="D171" s="357" t="s">
        <v>1131</v>
      </c>
      <c r="E171" s="357" t="s">
        <v>1132</v>
      </c>
      <c r="F171" s="357" t="s">
        <v>1133</v>
      </c>
      <c r="G171" s="349" t="s">
        <v>394</v>
      </c>
      <c r="H171" s="350" t="s">
        <v>1134</v>
      </c>
      <c r="I171" s="357" t="s">
        <v>1135</v>
      </c>
      <c r="J171" s="350" t="s">
        <v>1136</v>
      </c>
      <c r="K171" s="349"/>
      <c r="L171" s="348"/>
      <c r="M171" s="348"/>
      <c r="N171" s="359" t="s">
        <v>1137</v>
      </c>
      <c r="O171" s="359" t="s">
        <v>1138</v>
      </c>
      <c r="P171" s="352" t="s">
        <v>2595</v>
      </c>
      <c r="Q171" s="352"/>
      <c r="R171" s="352"/>
      <c r="S171" s="352">
        <v>8</v>
      </c>
      <c r="T171" s="352">
        <f>$S171*DE_Cost!$B$1*8</f>
        <v>76.8</v>
      </c>
      <c r="U171" s="355">
        <f>$S171*DE_Cost!$B$1</f>
        <v>9.6</v>
      </c>
      <c r="V171" s="355"/>
      <c r="W171" s="355"/>
      <c r="X171" s="355">
        <f t="shared" si="10"/>
        <v>7</v>
      </c>
      <c r="Y171" s="355">
        <f t="shared" si="11"/>
        <v>56</v>
      </c>
      <c r="Z171" s="352" t="s">
        <v>150</v>
      </c>
      <c r="AA171" s="352" t="s">
        <v>1130</v>
      </c>
      <c r="AB171" s="353"/>
      <c r="AC171" s="353"/>
      <c r="AD171" s="482"/>
      <c r="AE171" s="487">
        <f t="shared" si="12"/>
        <v>20473.848074921956</v>
      </c>
    </row>
    <row r="172" spans="1:31" ht="98" customHeight="1">
      <c r="A172" s="368" t="s">
        <v>140</v>
      </c>
      <c r="B172" s="367" t="s">
        <v>1120</v>
      </c>
      <c r="C172" s="351" t="s">
        <v>1121</v>
      </c>
      <c r="D172" s="351" t="s">
        <v>1139</v>
      </c>
      <c r="E172" s="351" t="s">
        <v>1140</v>
      </c>
      <c r="F172" s="351" t="s">
        <v>1141</v>
      </c>
      <c r="G172" s="349"/>
      <c r="H172" s="350" t="s">
        <v>1142</v>
      </c>
      <c r="I172" s="403" t="s">
        <v>1143</v>
      </c>
      <c r="J172" s="350"/>
      <c r="K172" s="349"/>
      <c r="L172" s="348"/>
      <c r="M172" s="348"/>
      <c r="N172" s="359" t="s">
        <v>1144</v>
      </c>
      <c r="O172" s="359" t="s">
        <v>1145</v>
      </c>
      <c r="P172" s="352" t="s">
        <v>2595</v>
      </c>
      <c r="Q172" s="352"/>
      <c r="R172" s="352"/>
      <c r="S172" s="352">
        <v>6</v>
      </c>
      <c r="T172" s="352">
        <f>$S172*DE_Cost!$B$1*8</f>
        <v>57.599999999999994</v>
      </c>
      <c r="U172" s="355">
        <f>$S172*DE_Cost!$B$1</f>
        <v>7.1999999999999993</v>
      </c>
      <c r="V172" s="355"/>
      <c r="W172" s="355"/>
      <c r="X172" s="355">
        <f t="shared" si="10"/>
        <v>7</v>
      </c>
      <c r="Y172" s="355">
        <f t="shared" si="11"/>
        <v>42</v>
      </c>
      <c r="Z172" s="352" t="s">
        <v>42</v>
      </c>
      <c r="AA172" s="352"/>
      <c r="AB172" s="353"/>
      <c r="AC172" s="353"/>
      <c r="AD172" s="482"/>
      <c r="AE172" s="487">
        <f t="shared" si="12"/>
        <v>15355.386056191468</v>
      </c>
    </row>
    <row r="173" spans="1:31" ht="90">
      <c r="A173" s="368" t="s">
        <v>140</v>
      </c>
      <c r="B173" s="367" t="s">
        <v>1120</v>
      </c>
      <c r="C173" s="357" t="s">
        <v>1121</v>
      </c>
      <c r="D173" s="357" t="s">
        <v>1146</v>
      </c>
      <c r="E173" s="357" t="s">
        <v>1147</v>
      </c>
      <c r="F173" s="357" t="s">
        <v>1148</v>
      </c>
      <c r="G173" s="349"/>
      <c r="H173" s="350" t="s">
        <v>1149</v>
      </c>
      <c r="I173" s="357" t="s">
        <v>1150</v>
      </c>
      <c r="J173" s="350"/>
      <c r="K173" s="349"/>
      <c r="L173" s="348"/>
      <c r="M173" s="348"/>
      <c r="N173" s="359" t="s">
        <v>1151</v>
      </c>
      <c r="O173" s="359"/>
      <c r="P173" s="352" t="s">
        <v>2595</v>
      </c>
      <c r="Q173" s="352"/>
      <c r="R173" s="352"/>
      <c r="S173" s="352">
        <v>5</v>
      </c>
      <c r="T173" s="352">
        <f>$S173*DE_Cost!$B$1*8</f>
        <v>48</v>
      </c>
      <c r="U173" s="355">
        <f>$S173*DE_Cost!$B$1</f>
        <v>6</v>
      </c>
      <c r="V173" s="355"/>
      <c r="W173" s="355"/>
      <c r="X173" s="355">
        <f t="shared" si="10"/>
        <v>7</v>
      </c>
      <c r="Y173" s="355">
        <f t="shared" si="11"/>
        <v>35</v>
      </c>
      <c r="Z173" s="352" t="s">
        <v>150</v>
      </c>
      <c r="AA173" s="352" t="s">
        <v>1152</v>
      </c>
      <c r="AB173" s="353"/>
      <c r="AC173" s="353"/>
      <c r="AD173" s="482"/>
      <c r="AE173" s="487">
        <f t="shared" si="12"/>
        <v>12796.155046826223</v>
      </c>
    </row>
    <row r="174" spans="1:31" ht="116" customHeight="1">
      <c r="A174" s="405" t="s">
        <v>140</v>
      </c>
      <c r="B174" s="404" t="s">
        <v>1120</v>
      </c>
      <c r="C174" s="406" t="s">
        <v>1121</v>
      </c>
      <c r="D174" s="357" t="s">
        <v>1153</v>
      </c>
      <c r="E174" s="357" t="s">
        <v>1154</v>
      </c>
      <c r="F174" s="357" t="s">
        <v>1155</v>
      </c>
      <c r="G174" s="349"/>
      <c r="H174" s="350" t="s">
        <v>1156</v>
      </c>
      <c r="I174" s="357" t="s">
        <v>1157</v>
      </c>
      <c r="J174" s="350"/>
      <c r="K174" s="349"/>
      <c r="L174" s="348"/>
      <c r="M174" s="348"/>
      <c r="N174" s="359" t="s">
        <v>1158</v>
      </c>
      <c r="O174" s="359" t="s">
        <v>1159</v>
      </c>
      <c r="P174" s="352" t="s">
        <v>2595</v>
      </c>
      <c r="Q174" s="352"/>
      <c r="R174" s="352"/>
      <c r="S174" s="352">
        <v>25</v>
      </c>
      <c r="T174" s="352">
        <f>$S174*DE_Cost!$B$1*8</f>
        <v>240</v>
      </c>
      <c r="U174" s="355">
        <f>$S174*DE_Cost!$B$1</f>
        <v>30</v>
      </c>
      <c r="V174" s="355"/>
      <c r="W174" s="355"/>
      <c r="X174" s="355">
        <f t="shared" si="10"/>
        <v>7</v>
      </c>
      <c r="Y174" s="355">
        <f t="shared" si="11"/>
        <v>175</v>
      </c>
      <c r="Z174" s="352" t="s">
        <v>150</v>
      </c>
      <c r="AA174" s="352" t="s">
        <v>1160</v>
      </c>
      <c r="AB174" s="353"/>
      <c r="AC174" s="353"/>
      <c r="AD174" s="482"/>
      <c r="AE174" s="487">
        <f t="shared" si="12"/>
        <v>63980.775234131113</v>
      </c>
    </row>
    <row r="175" spans="1:31" ht="85" customHeight="1">
      <c r="A175" s="405" t="s">
        <v>140</v>
      </c>
      <c r="B175" s="404" t="s">
        <v>1120</v>
      </c>
      <c r="C175" s="351" t="s">
        <v>1121</v>
      </c>
      <c r="D175" s="351" t="s">
        <v>1161</v>
      </c>
      <c r="E175" s="357" t="s">
        <v>1162</v>
      </c>
      <c r="F175" s="351" t="s">
        <v>1163</v>
      </c>
      <c r="G175" s="349"/>
      <c r="H175" s="350" t="s">
        <v>1164</v>
      </c>
      <c r="I175" s="351" t="s">
        <v>1165</v>
      </c>
      <c r="J175" s="350"/>
      <c r="K175" s="349"/>
      <c r="L175" s="348"/>
      <c r="M175" s="348"/>
      <c r="N175" s="359" t="s">
        <v>1166</v>
      </c>
      <c r="O175" s="359" t="s">
        <v>1167</v>
      </c>
      <c r="P175" s="352" t="s">
        <v>2595</v>
      </c>
      <c r="Q175" s="352"/>
      <c r="R175" s="352"/>
      <c r="S175" s="352">
        <v>20</v>
      </c>
      <c r="T175" s="352">
        <f>$S175*DE_Cost!$B$1*8</f>
        <v>192</v>
      </c>
      <c r="U175" s="355">
        <f>$S175*DE_Cost!$B$1</f>
        <v>24</v>
      </c>
      <c r="V175" s="355"/>
      <c r="W175" s="355"/>
      <c r="X175" s="355">
        <f t="shared" si="10"/>
        <v>7</v>
      </c>
      <c r="Y175" s="355">
        <f t="shared" si="11"/>
        <v>140</v>
      </c>
      <c r="Z175" s="352" t="s">
        <v>150</v>
      </c>
      <c r="AA175" s="352" t="s">
        <v>1160</v>
      </c>
      <c r="AB175" s="353"/>
      <c r="AC175" s="353"/>
      <c r="AD175" s="482"/>
      <c r="AE175" s="487">
        <f t="shared" si="12"/>
        <v>51184.620187304892</v>
      </c>
    </row>
    <row r="176" spans="1:31" ht="90">
      <c r="A176" s="368" t="s">
        <v>140</v>
      </c>
      <c r="B176" s="367" t="s">
        <v>1120</v>
      </c>
      <c r="C176" s="351" t="s">
        <v>1121</v>
      </c>
      <c r="D176" s="351" t="s">
        <v>1168</v>
      </c>
      <c r="E176" s="351" t="s">
        <v>1169</v>
      </c>
      <c r="F176" s="351" t="s">
        <v>1170</v>
      </c>
      <c r="G176" s="349"/>
      <c r="H176" s="350" t="s">
        <v>1171</v>
      </c>
      <c r="I176" s="351" t="s">
        <v>1172</v>
      </c>
      <c r="J176" s="350"/>
      <c r="K176" s="349"/>
      <c r="L176" s="348"/>
      <c r="M176" s="348"/>
      <c r="N176" s="359" t="s">
        <v>1173</v>
      </c>
      <c r="O176" s="359" t="s">
        <v>1174</v>
      </c>
      <c r="P176" s="352" t="s">
        <v>2597</v>
      </c>
      <c r="Q176" s="352" t="s">
        <v>1175</v>
      </c>
      <c r="R176" s="352"/>
      <c r="S176" s="352">
        <v>30</v>
      </c>
      <c r="T176" s="352">
        <f>$S176*DE_Cost!$B$1*8</f>
        <v>288</v>
      </c>
      <c r="U176" s="355">
        <f>$S176*DE_Cost!$B$1</f>
        <v>36</v>
      </c>
      <c r="V176" s="355"/>
      <c r="W176" s="355"/>
      <c r="X176" s="355">
        <f t="shared" si="10"/>
        <v>6</v>
      </c>
      <c r="Y176" s="355">
        <f t="shared" si="11"/>
        <v>180</v>
      </c>
      <c r="Z176" s="352" t="s">
        <v>42</v>
      </c>
      <c r="AA176" s="352"/>
      <c r="AB176" s="353"/>
      <c r="AC176" s="353"/>
      <c r="AD176" s="482"/>
      <c r="AE176" s="487">
        <f t="shared" si="12"/>
        <v>65808.797383677724</v>
      </c>
    </row>
    <row r="177" spans="1:31" ht="129" customHeight="1">
      <c r="A177" s="368" t="s">
        <v>140</v>
      </c>
      <c r="B177" s="367" t="s">
        <v>1120</v>
      </c>
      <c r="C177" s="351" t="s">
        <v>1121</v>
      </c>
      <c r="D177" s="351" t="s">
        <v>1176</v>
      </c>
      <c r="E177" s="357" t="s">
        <v>1177</v>
      </c>
      <c r="F177" s="357" t="s">
        <v>1178</v>
      </c>
      <c r="G177" s="349" t="s">
        <v>1179</v>
      </c>
      <c r="H177" s="350" t="s">
        <v>1180</v>
      </c>
      <c r="I177" s="402" t="s">
        <v>1181</v>
      </c>
      <c r="J177" s="350"/>
      <c r="K177" s="349"/>
      <c r="L177" s="348"/>
      <c r="M177" s="348"/>
      <c r="N177" s="359" t="s">
        <v>1182</v>
      </c>
      <c r="O177" s="359" t="s">
        <v>1183</v>
      </c>
      <c r="P177" s="352" t="s">
        <v>2593</v>
      </c>
      <c r="Q177" s="352"/>
      <c r="R177" s="352"/>
      <c r="S177" s="352">
        <v>30</v>
      </c>
      <c r="T177" s="352">
        <f>$S177*DE_Cost!$B$1*8</f>
        <v>288</v>
      </c>
      <c r="U177" s="355">
        <f>$S177*DE_Cost!$B$1</f>
        <v>36</v>
      </c>
      <c r="V177" s="355"/>
      <c r="W177" s="355"/>
      <c r="X177" s="355">
        <f t="shared" si="10"/>
        <v>6</v>
      </c>
      <c r="Y177" s="355">
        <f t="shared" si="11"/>
        <v>180</v>
      </c>
      <c r="Z177" s="352" t="s">
        <v>150</v>
      </c>
      <c r="AA177" s="352" t="s">
        <v>1184</v>
      </c>
      <c r="AB177" s="353"/>
      <c r="AC177" s="353"/>
      <c r="AD177" s="482"/>
      <c r="AE177" s="487">
        <f t="shared" si="12"/>
        <v>65808.797383677724</v>
      </c>
    </row>
    <row r="178" spans="1:31" ht="90">
      <c r="A178" s="368" t="s">
        <v>140</v>
      </c>
      <c r="B178" s="367" t="s">
        <v>1120</v>
      </c>
      <c r="C178" s="351" t="s">
        <v>1121</v>
      </c>
      <c r="D178" s="351" t="s">
        <v>1185</v>
      </c>
      <c r="E178" s="351" t="s">
        <v>1186</v>
      </c>
      <c r="F178" s="351" t="s">
        <v>1187</v>
      </c>
      <c r="G178" s="349" t="s">
        <v>1179</v>
      </c>
      <c r="H178" s="350" t="s">
        <v>1188</v>
      </c>
      <c r="I178" s="403" t="s">
        <v>1189</v>
      </c>
      <c r="J178" s="350"/>
      <c r="K178" s="349"/>
      <c r="L178" s="348"/>
      <c r="M178" s="348"/>
      <c r="N178" s="359" t="s">
        <v>1190</v>
      </c>
      <c r="O178" s="359" t="s">
        <v>1191</v>
      </c>
      <c r="P178" s="352" t="s">
        <v>2595</v>
      </c>
      <c r="Q178" s="352"/>
      <c r="R178" s="352"/>
      <c r="S178" s="352">
        <v>10</v>
      </c>
      <c r="T178" s="352">
        <f>$S178*DE_Cost!$B$1*8</f>
        <v>96</v>
      </c>
      <c r="U178" s="355">
        <f>$S178*DE_Cost!$B$1</f>
        <v>12</v>
      </c>
      <c r="V178" s="355"/>
      <c r="W178" s="355"/>
      <c r="X178" s="355">
        <f t="shared" si="10"/>
        <v>7</v>
      </c>
      <c r="Y178" s="355">
        <f t="shared" si="11"/>
        <v>70</v>
      </c>
      <c r="Z178" s="352" t="s">
        <v>150</v>
      </c>
      <c r="AA178" s="352" t="s">
        <v>1192</v>
      </c>
      <c r="AB178" s="353"/>
      <c r="AC178" s="353"/>
      <c r="AD178" s="482"/>
      <c r="AE178" s="487">
        <f t="shared" si="12"/>
        <v>25592.310093652446</v>
      </c>
    </row>
    <row r="179" spans="1:31" ht="409.6">
      <c r="A179" s="368" t="s">
        <v>140</v>
      </c>
      <c r="B179" s="367" t="s">
        <v>1120</v>
      </c>
      <c r="C179" s="351" t="s">
        <v>1121</v>
      </c>
      <c r="D179" s="351" t="s">
        <v>1193</v>
      </c>
      <c r="E179" s="351" t="s">
        <v>1194</v>
      </c>
      <c r="F179" s="351" t="s">
        <v>1195</v>
      </c>
      <c r="G179" s="349" t="s">
        <v>1179</v>
      </c>
      <c r="H179" s="350" t="s">
        <v>1196</v>
      </c>
      <c r="I179" s="403" t="s">
        <v>1197</v>
      </c>
      <c r="J179" s="350" t="s">
        <v>1198</v>
      </c>
      <c r="K179" s="349" t="s">
        <v>1199</v>
      </c>
      <c r="L179" s="348" t="s">
        <v>1200</v>
      </c>
      <c r="M179" s="348"/>
      <c r="N179" s="359"/>
      <c r="O179" s="359"/>
      <c r="P179" s="352" t="s">
        <v>2595</v>
      </c>
      <c r="Q179" s="352"/>
      <c r="R179" s="352"/>
      <c r="S179" s="352">
        <v>10</v>
      </c>
      <c r="T179" s="352">
        <f>$S179*DE_Cost!$B$1*8</f>
        <v>96</v>
      </c>
      <c r="U179" s="355">
        <f>$S179*DE_Cost!$B$1</f>
        <v>12</v>
      </c>
      <c r="V179" s="355"/>
      <c r="W179" s="355"/>
      <c r="X179" s="355">
        <f t="shared" si="10"/>
        <v>7</v>
      </c>
      <c r="Y179" s="355">
        <f t="shared" si="11"/>
        <v>70</v>
      </c>
      <c r="Z179" s="352" t="s">
        <v>150</v>
      </c>
      <c r="AA179" s="352" t="s">
        <v>282</v>
      </c>
      <c r="AB179" s="353"/>
      <c r="AC179" s="353"/>
      <c r="AD179" s="482"/>
      <c r="AE179" s="487">
        <f t="shared" si="12"/>
        <v>25592.310093652446</v>
      </c>
    </row>
    <row r="180" spans="1:31" ht="90">
      <c r="A180" s="368" t="s">
        <v>140</v>
      </c>
      <c r="B180" s="367" t="s">
        <v>1120</v>
      </c>
      <c r="C180" s="351" t="s">
        <v>1121</v>
      </c>
      <c r="D180" s="351" t="s">
        <v>1201</v>
      </c>
      <c r="E180" s="351" t="s">
        <v>1202</v>
      </c>
      <c r="F180" s="351" t="s">
        <v>1203</v>
      </c>
      <c r="G180" s="387"/>
      <c r="H180" s="350" t="s">
        <v>1204</v>
      </c>
      <c r="I180" s="403" t="s">
        <v>1205</v>
      </c>
      <c r="J180" s="350"/>
      <c r="K180" s="349"/>
      <c r="L180" s="348"/>
      <c r="M180" s="348"/>
      <c r="N180" s="359" t="s">
        <v>1206</v>
      </c>
      <c r="O180" s="359" t="s">
        <v>1207</v>
      </c>
      <c r="P180" s="352" t="s">
        <v>2593</v>
      </c>
      <c r="Q180" s="352"/>
      <c r="R180" s="352"/>
      <c r="S180" s="352">
        <v>10</v>
      </c>
      <c r="T180" s="352">
        <f>$S180*DE_Cost!$B$1*8</f>
        <v>96</v>
      </c>
      <c r="U180" s="355">
        <f>$S180*DE_Cost!$B$1</f>
        <v>12</v>
      </c>
      <c r="V180" s="355"/>
      <c r="W180" s="355"/>
      <c r="X180" s="355">
        <f t="shared" si="10"/>
        <v>6</v>
      </c>
      <c r="Y180" s="355">
        <f t="shared" si="11"/>
        <v>60</v>
      </c>
      <c r="Z180" s="352" t="s">
        <v>150</v>
      </c>
      <c r="AA180" s="352" t="s">
        <v>282</v>
      </c>
      <c r="AB180" s="353"/>
      <c r="AC180" s="353"/>
      <c r="AD180" s="482"/>
      <c r="AE180" s="487">
        <f t="shared" si="12"/>
        <v>21936.265794559236</v>
      </c>
    </row>
    <row r="181" spans="1:31" ht="394">
      <c r="A181" s="368" t="s">
        <v>140</v>
      </c>
      <c r="B181" s="367" t="s">
        <v>1120</v>
      </c>
      <c r="C181" s="351" t="s">
        <v>1121</v>
      </c>
      <c r="D181" s="357" t="s">
        <v>1208</v>
      </c>
      <c r="E181" s="357" t="s">
        <v>1209</v>
      </c>
      <c r="F181" s="357" t="s">
        <v>1210</v>
      </c>
      <c r="G181" s="349" t="s">
        <v>1179</v>
      </c>
      <c r="H181" s="350" t="s">
        <v>1211</v>
      </c>
      <c r="I181" s="402" t="s">
        <v>1212</v>
      </c>
      <c r="J181" s="350" t="s">
        <v>1213</v>
      </c>
      <c r="K181" s="349"/>
      <c r="L181" s="348"/>
      <c r="M181" s="348"/>
      <c r="N181" s="359" t="s">
        <v>1214</v>
      </c>
      <c r="O181" s="359" t="s">
        <v>1215</v>
      </c>
      <c r="P181" s="352" t="s">
        <v>2593</v>
      </c>
      <c r="Q181" s="352"/>
      <c r="R181" s="352"/>
      <c r="S181" s="352">
        <v>8</v>
      </c>
      <c r="T181" s="352">
        <f>$S181*DE_Cost!$B$1*8</f>
        <v>76.8</v>
      </c>
      <c r="U181" s="355">
        <f>$S181*DE_Cost!$B$1</f>
        <v>9.6</v>
      </c>
      <c r="V181" s="355"/>
      <c r="W181" s="355"/>
      <c r="X181" s="355">
        <f t="shared" si="10"/>
        <v>6</v>
      </c>
      <c r="Y181" s="355">
        <f t="shared" si="11"/>
        <v>48</v>
      </c>
      <c r="Z181" s="352" t="s">
        <v>150</v>
      </c>
      <c r="AA181" s="352" t="s">
        <v>282</v>
      </c>
      <c r="AB181" s="353"/>
      <c r="AC181" s="353"/>
      <c r="AD181" s="482"/>
      <c r="AE181" s="487">
        <f t="shared" si="12"/>
        <v>17549.012635647388</v>
      </c>
    </row>
    <row r="182" spans="1:31" ht="185" customHeight="1">
      <c r="A182" s="368" t="s">
        <v>140</v>
      </c>
      <c r="B182" s="367" t="s">
        <v>1120</v>
      </c>
      <c r="C182" s="351" t="s">
        <v>1216</v>
      </c>
      <c r="D182" s="351" t="s">
        <v>1217</v>
      </c>
      <c r="E182" s="351" t="s">
        <v>1218</v>
      </c>
      <c r="F182" s="351" t="s">
        <v>1219</v>
      </c>
      <c r="G182" s="349"/>
      <c r="H182" s="350" t="s">
        <v>1220</v>
      </c>
      <c r="I182" s="351" t="s">
        <v>1221</v>
      </c>
      <c r="J182" s="350"/>
      <c r="K182" s="349"/>
      <c r="L182" s="348"/>
      <c r="M182" s="348"/>
      <c r="N182" s="359" t="s">
        <v>1222</v>
      </c>
      <c r="O182" s="359" t="s">
        <v>1223</v>
      </c>
      <c r="P182" s="352" t="s">
        <v>2597</v>
      </c>
      <c r="Q182" s="352"/>
      <c r="R182" s="352"/>
      <c r="S182" s="352">
        <v>15</v>
      </c>
      <c r="T182" s="352">
        <f>$S182*DE_Cost!$B$1*8</f>
        <v>144</v>
      </c>
      <c r="U182" s="355">
        <f>$S182*DE_Cost!$B$1</f>
        <v>18</v>
      </c>
      <c r="V182" s="355"/>
      <c r="W182" s="355"/>
      <c r="X182" s="355">
        <f t="shared" si="10"/>
        <v>6</v>
      </c>
      <c r="Y182" s="355">
        <f t="shared" si="11"/>
        <v>90</v>
      </c>
      <c r="Z182" s="352" t="s">
        <v>42</v>
      </c>
      <c r="AA182" s="352"/>
      <c r="AB182" s="353"/>
      <c r="AC182" s="353"/>
      <c r="AD182" s="482"/>
      <c r="AE182" s="487">
        <f t="shared" si="12"/>
        <v>32904.398691838862</v>
      </c>
    </row>
    <row r="183" spans="1:31" ht="72">
      <c r="A183" s="368" t="s">
        <v>140</v>
      </c>
      <c r="B183" s="367" t="s">
        <v>1120</v>
      </c>
      <c r="C183" s="351" t="s">
        <v>1216</v>
      </c>
      <c r="D183" s="357" t="s">
        <v>1224</v>
      </c>
      <c r="E183" s="357" t="s">
        <v>1225</v>
      </c>
      <c r="F183" s="357" t="s">
        <v>1226</v>
      </c>
      <c r="G183" s="349"/>
      <c r="H183" s="350" t="s">
        <v>1227</v>
      </c>
      <c r="I183" s="357" t="s">
        <v>1228</v>
      </c>
      <c r="J183" s="350"/>
      <c r="K183" s="349"/>
      <c r="L183" s="348"/>
      <c r="M183" s="348"/>
      <c r="N183" s="359" t="s">
        <v>1229</v>
      </c>
      <c r="O183" s="359" t="s">
        <v>1228</v>
      </c>
      <c r="P183" s="352" t="s">
        <v>2595</v>
      </c>
      <c r="Q183" s="352"/>
      <c r="R183" s="352"/>
      <c r="S183" s="352">
        <v>10</v>
      </c>
      <c r="T183" s="352">
        <f>$S183*DE_Cost!$B$1*8</f>
        <v>96</v>
      </c>
      <c r="U183" s="355">
        <f>$S183*DE_Cost!$B$1</f>
        <v>12</v>
      </c>
      <c r="V183" s="355"/>
      <c r="W183" s="355"/>
      <c r="X183" s="355">
        <f t="shared" si="10"/>
        <v>7</v>
      </c>
      <c r="Y183" s="355">
        <f t="shared" si="11"/>
        <v>70</v>
      </c>
      <c r="Z183" s="352" t="s">
        <v>42</v>
      </c>
      <c r="AA183" s="352" t="s">
        <v>1230</v>
      </c>
      <c r="AB183" s="353"/>
      <c r="AC183" s="353"/>
      <c r="AD183" s="482"/>
      <c r="AE183" s="487">
        <f t="shared" si="12"/>
        <v>25592.310093652446</v>
      </c>
    </row>
    <row r="184" spans="1:31" ht="90">
      <c r="A184" s="368" t="s">
        <v>140</v>
      </c>
      <c r="B184" s="367" t="s">
        <v>1120</v>
      </c>
      <c r="C184" s="351" t="s">
        <v>1216</v>
      </c>
      <c r="D184" s="351" t="s">
        <v>1231</v>
      </c>
      <c r="E184" s="351" t="s">
        <v>1232</v>
      </c>
      <c r="F184" s="351" t="s">
        <v>1233</v>
      </c>
      <c r="G184" s="349"/>
      <c r="H184" s="350" t="s">
        <v>1234</v>
      </c>
      <c r="I184" s="351" t="s">
        <v>1235</v>
      </c>
      <c r="J184" s="350"/>
      <c r="K184" s="349"/>
      <c r="L184" s="348"/>
      <c r="M184" s="348"/>
      <c r="N184" s="359" t="s">
        <v>1236</v>
      </c>
      <c r="O184" s="359"/>
      <c r="P184" s="352" t="s">
        <v>2595</v>
      </c>
      <c r="Q184" s="352"/>
      <c r="R184" s="352" t="s">
        <v>1237</v>
      </c>
      <c r="S184" s="352">
        <v>5</v>
      </c>
      <c r="T184" s="352">
        <f>$S184*DE_Cost!$B$1*8</f>
        <v>48</v>
      </c>
      <c r="U184" s="355">
        <f>$S184*DE_Cost!$B$1</f>
        <v>6</v>
      </c>
      <c r="V184" s="355"/>
      <c r="W184" s="355"/>
      <c r="X184" s="355">
        <f t="shared" si="10"/>
        <v>7</v>
      </c>
      <c r="Y184" s="355">
        <f t="shared" si="11"/>
        <v>35</v>
      </c>
      <c r="Z184" s="352" t="s">
        <v>150</v>
      </c>
      <c r="AA184" s="352" t="s">
        <v>1238</v>
      </c>
      <c r="AB184" s="353"/>
      <c r="AC184" s="353"/>
      <c r="AD184" s="482"/>
      <c r="AE184" s="487">
        <f t="shared" si="12"/>
        <v>12796.155046826223</v>
      </c>
    </row>
    <row r="185" spans="1:31" ht="144">
      <c r="A185" s="368" t="s">
        <v>140</v>
      </c>
      <c r="B185" s="367" t="s">
        <v>1120</v>
      </c>
      <c r="C185" s="351" t="s">
        <v>1216</v>
      </c>
      <c r="D185" s="351" t="s">
        <v>1239</v>
      </c>
      <c r="E185" s="351" t="s">
        <v>1240</v>
      </c>
      <c r="F185" s="351" t="s">
        <v>1241</v>
      </c>
      <c r="G185" s="349"/>
      <c r="H185" s="350" t="s">
        <v>1242</v>
      </c>
      <c r="I185" s="351" t="s">
        <v>1243</v>
      </c>
      <c r="J185" s="350"/>
      <c r="K185" s="349"/>
      <c r="L185" s="348"/>
      <c r="M185" s="348"/>
      <c r="N185" s="359" t="s">
        <v>1244</v>
      </c>
      <c r="O185" s="359" t="s">
        <v>1245</v>
      </c>
      <c r="P185" s="352" t="s">
        <v>2595</v>
      </c>
      <c r="Q185" s="352"/>
      <c r="R185" s="352"/>
      <c r="S185" s="352">
        <v>10</v>
      </c>
      <c r="T185" s="352">
        <f>$S185*DE_Cost!$B$1*8</f>
        <v>96</v>
      </c>
      <c r="U185" s="355">
        <f>$S185*DE_Cost!$B$1</f>
        <v>12</v>
      </c>
      <c r="V185" s="355"/>
      <c r="W185" s="355"/>
      <c r="X185" s="355">
        <f t="shared" si="10"/>
        <v>7</v>
      </c>
      <c r="Y185" s="355">
        <f t="shared" si="11"/>
        <v>70</v>
      </c>
      <c r="Z185" s="352" t="s">
        <v>42</v>
      </c>
      <c r="AA185" s="352"/>
      <c r="AB185" s="353"/>
      <c r="AC185" s="353"/>
      <c r="AD185" s="482"/>
      <c r="AE185" s="487">
        <f t="shared" si="12"/>
        <v>25592.310093652446</v>
      </c>
    </row>
    <row r="186" spans="1:31" ht="145" customHeight="1">
      <c r="A186" s="368" t="s">
        <v>140</v>
      </c>
      <c r="B186" s="367" t="s">
        <v>1120</v>
      </c>
      <c r="C186" s="357" t="s">
        <v>1246</v>
      </c>
      <c r="D186" s="351" t="s">
        <v>1247</v>
      </c>
      <c r="E186" s="351" t="s">
        <v>1248</v>
      </c>
      <c r="F186" s="401" t="s">
        <v>1249</v>
      </c>
      <c r="G186" s="349" t="s">
        <v>1250</v>
      </c>
      <c r="H186" s="350" t="s">
        <v>1251</v>
      </c>
      <c r="I186" s="385" t="s">
        <v>1252</v>
      </c>
      <c r="J186" s="350" t="s">
        <v>1253</v>
      </c>
      <c r="K186" s="349" t="s">
        <v>1250</v>
      </c>
      <c r="L186" s="348" t="s">
        <v>1254</v>
      </c>
      <c r="M186" s="348"/>
      <c r="N186" s="359" t="s">
        <v>1255</v>
      </c>
      <c r="O186" s="359" t="s">
        <v>1256</v>
      </c>
      <c r="P186" s="352" t="s">
        <v>2595</v>
      </c>
      <c r="Q186" s="352"/>
      <c r="R186" s="352" t="s">
        <v>259</v>
      </c>
      <c r="S186" s="352">
        <v>25</v>
      </c>
      <c r="T186" s="352">
        <f>$S186*DE_Cost!$B$1*8</f>
        <v>240</v>
      </c>
      <c r="U186" s="355">
        <f>$S186*DE_Cost!$B$1</f>
        <v>30</v>
      </c>
      <c r="V186" s="355"/>
      <c r="W186" s="355"/>
      <c r="X186" s="355">
        <f t="shared" si="10"/>
        <v>7</v>
      </c>
      <c r="Y186" s="355">
        <f t="shared" si="11"/>
        <v>175</v>
      </c>
      <c r="Z186" s="352" t="s">
        <v>150</v>
      </c>
      <c r="AA186" s="352" t="s">
        <v>1257</v>
      </c>
      <c r="AB186" s="353"/>
      <c r="AC186" s="353"/>
      <c r="AD186" s="482"/>
      <c r="AE186" s="487">
        <f t="shared" si="12"/>
        <v>63980.775234131113</v>
      </c>
    </row>
    <row r="187" spans="1:31" ht="409.6">
      <c r="A187" s="368" t="s">
        <v>140</v>
      </c>
      <c r="B187" s="367" t="s">
        <v>1120</v>
      </c>
      <c r="C187" s="357" t="s">
        <v>1246</v>
      </c>
      <c r="D187" s="357" t="s">
        <v>1258</v>
      </c>
      <c r="E187" s="357" t="s">
        <v>1259</v>
      </c>
      <c r="F187" s="357" t="s">
        <v>1260</v>
      </c>
      <c r="G187" s="399" t="s">
        <v>1261</v>
      </c>
      <c r="H187" s="372" t="s">
        <v>1262</v>
      </c>
      <c r="I187" s="357" t="s">
        <v>1263</v>
      </c>
      <c r="J187" s="350" t="s">
        <v>1264</v>
      </c>
      <c r="K187" s="349" t="s">
        <v>1261</v>
      </c>
      <c r="L187" s="348" t="s">
        <v>1265</v>
      </c>
      <c r="M187" s="400"/>
      <c r="N187" s="359" t="s">
        <v>1266</v>
      </c>
      <c r="O187" s="359" t="s">
        <v>1267</v>
      </c>
      <c r="P187" s="352" t="s">
        <v>2595</v>
      </c>
      <c r="Q187" s="352"/>
      <c r="R187" s="352"/>
      <c r="S187" s="352">
        <v>25</v>
      </c>
      <c r="T187" s="352">
        <f>$S187*DE_Cost!$B$1*8</f>
        <v>240</v>
      </c>
      <c r="U187" s="355">
        <f>$S187*DE_Cost!$B$1</f>
        <v>30</v>
      </c>
      <c r="V187" s="355"/>
      <c r="W187" s="355"/>
      <c r="X187" s="355">
        <f t="shared" si="10"/>
        <v>7</v>
      </c>
      <c r="Y187" s="355">
        <f t="shared" si="11"/>
        <v>175</v>
      </c>
      <c r="Z187" s="352" t="s">
        <v>42</v>
      </c>
      <c r="AA187" s="352"/>
      <c r="AB187" s="353"/>
      <c r="AC187" s="353"/>
      <c r="AD187" s="482"/>
      <c r="AE187" s="487">
        <f t="shared" si="12"/>
        <v>63980.775234131113</v>
      </c>
    </row>
    <row r="188" spans="1:31" ht="324">
      <c r="A188" s="368" t="s">
        <v>140</v>
      </c>
      <c r="B188" s="367" t="s">
        <v>1120</v>
      </c>
      <c r="C188" s="351" t="s">
        <v>1246</v>
      </c>
      <c r="D188" s="357" t="s">
        <v>1268</v>
      </c>
      <c r="E188" s="357" t="s">
        <v>1269</v>
      </c>
      <c r="F188" s="393" t="s">
        <v>1270</v>
      </c>
      <c r="G188" s="399" t="s">
        <v>1271</v>
      </c>
      <c r="H188" s="372" t="s">
        <v>1272</v>
      </c>
      <c r="I188" s="393" t="s">
        <v>1273</v>
      </c>
      <c r="J188" s="350" t="s">
        <v>1274</v>
      </c>
      <c r="K188" s="349" t="s">
        <v>1275</v>
      </c>
      <c r="L188" s="348" t="s">
        <v>1276</v>
      </c>
      <c r="M188" s="348"/>
      <c r="N188" s="359" t="s">
        <v>1277</v>
      </c>
      <c r="O188" s="359" t="s">
        <v>1278</v>
      </c>
      <c r="P188" s="352" t="s">
        <v>2595</v>
      </c>
      <c r="Q188" s="352"/>
      <c r="R188" s="352"/>
      <c r="S188" s="352">
        <v>25</v>
      </c>
      <c r="T188" s="352">
        <f>$S188*DE_Cost!$B$1*8</f>
        <v>240</v>
      </c>
      <c r="U188" s="355">
        <f>$S188*DE_Cost!$B$1</f>
        <v>30</v>
      </c>
      <c r="V188" s="355"/>
      <c r="W188" s="355"/>
      <c r="X188" s="355">
        <f t="shared" si="10"/>
        <v>7</v>
      </c>
      <c r="Y188" s="355">
        <f t="shared" si="11"/>
        <v>175</v>
      </c>
      <c r="Z188" s="352" t="s">
        <v>42</v>
      </c>
      <c r="AA188" s="352"/>
      <c r="AB188" s="353"/>
      <c r="AC188" s="353"/>
      <c r="AD188" s="482"/>
      <c r="AE188" s="487">
        <f t="shared" si="12"/>
        <v>63980.775234131113</v>
      </c>
    </row>
    <row r="189" spans="1:31" ht="409.6">
      <c r="A189" s="368" t="s">
        <v>140</v>
      </c>
      <c r="B189" s="367" t="s">
        <v>1120</v>
      </c>
      <c r="C189" s="351" t="s">
        <v>1246</v>
      </c>
      <c r="D189" s="357" t="s">
        <v>1279</v>
      </c>
      <c r="E189" s="357" t="s">
        <v>1280</v>
      </c>
      <c r="F189" s="357" t="s">
        <v>1281</v>
      </c>
      <c r="G189" s="399" t="s">
        <v>1282</v>
      </c>
      <c r="H189" s="372" t="s">
        <v>1283</v>
      </c>
      <c r="I189" s="357" t="s">
        <v>1284</v>
      </c>
      <c r="J189" s="350" t="s">
        <v>1285</v>
      </c>
      <c r="K189" s="349"/>
      <c r="L189" s="348"/>
      <c r="M189" s="348"/>
      <c r="N189" s="359" t="s">
        <v>1286</v>
      </c>
      <c r="O189" s="359" t="s">
        <v>1287</v>
      </c>
      <c r="P189" s="352" t="s">
        <v>2595</v>
      </c>
      <c r="Q189" s="352"/>
      <c r="R189" s="352"/>
      <c r="S189" s="352">
        <v>10</v>
      </c>
      <c r="T189" s="352">
        <f>$S189*DE_Cost!$B$1*8</f>
        <v>96</v>
      </c>
      <c r="U189" s="355">
        <f>$S189*DE_Cost!$B$1</f>
        <v>12</v>
      </c>
      <c r="V189" s="355"/>
      <c r="W189" s="355"/>
      <c r="X189" s="355">
        <f t="shared" si="10"/>
        <v>7</v>
      </c>
      <c r="Y189" s="355">
        <f t="shared" si="11"/>
        <v>70</v>
      </c>
      <c r="Z189" s="352" t="s">
        <v>150</v>
      </c>
      <c r="AA189" s="352" t="s">
        <v>1288</v>
      </c>
      <c r="AB189" s="353"/>
      <c r="AC189" s="353"/>
      <c r="AD189" s="482"/>
      <c r="AE189" s="487">
        <f t="shared" si="12"/>
        <v>25592.310093652446</v>
      </c>
    </row>
    <row r="190" spans="1:31" ht="409.6">
      <c r="A190" s="368" t="s">
        <v>140</v>
      </c>
      <c r="B190" s="367" t="s">
        <v>1120</v>
      </c>
      <c r="C190" s="357" t="s">
        <v>1246</v>
      </c>
      <c r="D190" s="357" t="s">
        <v>1289</v>
      </c>
      <c r="E190" s="357" t="s">
        <v>1290</v>
      </c>
      <c r="F190" s="357" t="s">
        <v>1291</v>
      </c>
      <c r="G190" s="399" t="s">
        <v>1292</v>
      </c>
      <c r="H190" s="372" t="s">
        <v>1293</v>
      </c>
      <c r="I190" s="357" t="s">
        <v>1294</v>
      </c>
      <c r="J190" s="350" t="s">
        <v>1295</v>
      </c>
      <c r="K190" s="349"/>
      <c r="L190" s="348" t="s">
        <v>1296</v>
      </c>
      <c r="M190" s="348"/>
      <c r="N190" s="359" t="s">
        <v>1297</v>
      </c>
      <c r="O190" s="359" t="s">
        <v>1298</v>
      </c>
      <c r="P190" s="352" t="s">
        <v>2595</v>
      </c>
      <c r="Q190" s="352"/>
      <c r="R190" s="352"/>
      <c r="S190" s="352">
        <v>25</v>
      </c>
      <c r="T190" s="352">
        <f>$S190*DE_Cost!$B$1*8</f>
        <v>240</v>
      </c>
      <c r="U190" s="355">
        <f>$S190*DE_Cost!$B$1</f>
        <v>30</v>
      </c>
      <c r="V190" s="355"/>
      <c r="W190" s="355"/>
      <c r="X190" s="355">
        <f t="shared" si="10"/>
        <v>7</v>
      </c>
      <c r="Y190" s="355">
        <f t="shared" si="11"/>
        <v>175</v>
      </c>
      <c r="Z190" s="352" t="s">
        <v>42</v>
      </c>
      <c r="AA190" s="352"/>
      <c r="AB190" s="353"/>
      <c r="AC190" s="353"/>
      <c r="AD190" s="482"/>
      <c r="AE190" s="487">
        <f t="shared" si="12"/>
        <v>63980.775234131113</v>
      </c>
    </row>
    <row r="191" spans="1:31" ht="394">
      <c r="A191" s="368" t="s">
        <v>140</v>
      </c>
      <c r="B191" s="367" t="s">
        <v>1120</v>
      </c>
      <c r="C191" s="351" t="s">
        <v>1246</v>
      </c>
      <c r="D191" s="351" t="s">
        <v>1299</v>
      </c>
      <c r="E191" s="351" t="s">
        <v>1300</v>
      </c>
      <c r="F191" s="351" t="s">
        <v>1301</v>
      </c>
      <c r="G191" s="399" t="s">
        <v>1250</v>
      </c>
      <c r="H191" s="372" t="s">
        <v>1302</v>
      </c>
      <c r="I191" s="351" t="s">
        <v>1303</v>
      </c>
      <c r="J191" s="350" t="s">
        <v>1304</v>
      </c>
      <c r="K191" s="349" t="s">
        <v>1250</v>
      </c>
      <c r="L191" s="348" t="s">
        <v>1305</v>
      </c>
      <c r="M191" s="348"/>
      <c r="N191" s="359" t="s">
        <v>1306</v>
      </c>
      <c r="O191" s="359" t="s">
        <v>1307</v>
      </c>
      <c r="P191" s="352" t="s">
        <v>2595</v>
      </c>
      <c r="Q191" s="352"/>
      <c r="R191" s="352"/>
      <c r="S191" s="352">
        <v>25</v>
      </c>
      <c r="T191" s="352">
        <f>$S191*DE_Cost!$B$1*8</f>
        <v>240</v>
      </c>
      <c r="U191" s="355">
        <f>$S191*DE_Cost!$B$1</f>
        <v>30</v>
      </c>
      <c r="V191" s="355"/>
      <c r="W191" s="355"/>
      <c r="X191" s="355">
        <f t="shared" si="10"/>
        <v>7</v>
      </c>
      <c r="Y191" s="355">
        <f t="shared" si="11"/>
        <v>175</v>
      </c>
      <c r="Z191" s="352" t="s">
        <v>42</v>
      </c>
      <c r="AA191" s="352"/>
      <c r="AB191" s="353"/>
      <c r="AC191" s="353"/>
      <c r="AD191" s="482"/>
      <c r="AE191" s="487">
        <f t="shared" si="12"/>
        <v>63980.775234131113</v>
      </c>
    </row>
    <row r="192" spans="1:31" ht="409.6">
      <c r="A192" s="368" t="s">
        <v>140</v>
      </c>
      <c r="B192" s="367" t="s">
        <v>1120</v>
      </c>
      <c r="C192" s="351" t="s">
        <v>1308</v>
      </c>
      <c r="D192" s="351" t="s">
        <v>1309</v>
      </c>
      <c r="E192" s="351" t="s">
        <v>1310</v>
      </c>
      <c r="F192" s="351" t="s">
        <v>1311</v>
      </c>
      <c r="G192" s="349" t="s">
        <v>394</v>
      </c>
      <c r="H192" s="350" t="s">
        <v>1312</v>
      </c>
      <c r="I192" s="351" t="s">
        <v>1313</v>
      </c>
      <c r="J192" s="350" t="s">
        <v>1314</v>
      </c>
      <c r="K192" s="349"/>
      <c r="L192" s="348"/>
      <c r="M192" s="348"/>
      <c r="N192" s="359" t="s">
        <v>1315</v>
      </c>
      <c r="O192" s="359" t="s">
        <v>1316</v>
      </c>
      <c r="P192" s="352" t="s">
        <v>2597</v>
      </c>
      <c r="Q192" s="352"/>
      <c r="R192" s="352"/>
      <c r="S192" s="352">
        <v>40</v>
      </c>
      <c r="T192" s="352">
        <f>$S192*DE_Cost!$B$1*8</f>
        <v>384</v>
      </c>
      <c r="U192" s="355">
        <f>$S192*DE_Cost!$B$1</f>
        <v>48</v>
      </c>
      <c r="V192" s="355"/>
      <c r="W192" s="355"/>
      <c r="X192" s="355">
        <f t="shared" si="10"/>
        <v>6</v>
      </c>
      <c r="Y192" s="355">
        <f t="shared" si="11"/>
        <v>240</v>
      </c>
      <c r="Z192" s="352" t="s">
        <v>42</v>
      </c>
      <c r="AA192" s="352"/>
      <c r="AB192" s="353"/>
      <c r="AC192" s="353"/>
      <c r="AD192" s="482"/>
      <c r="AE192" s="487">
        <f t="shared" si="12"/>
        <v>87745.063178236946</v>
      </c>
    </row>
    <row r="193" spans="1:31" ht="409.6">
      <c r="A193" s="368" t="s">
        <v>140</v>
      </c>
      <c r="B193" s="367" t="s">
        <v>1120</v>
      </c>
      <c r="C193" s="351" t="s">
        <v>1308</v>
      </c>
      <c r="D193" s="351" t="s">
        <v>1317</v>
      </c>
      <c r="E193" s="351" t="s">
        <v>1318</v>
      </c>
      <c r="F193" s="351" t="s">
        <v>1319</v>
      </c>
      <c r="G193" s="349" t="s">
        <v>1320</v>
      </c>
      <c r="H193" s="350" t="s">
        <v>1321</v>
      </c>
      <c r="I193" s="351" t="s">
        <v>1322</v>
      </c>
      <c r="J193" s="350" t="s">
        <v>1323</v>
      </c>
      <c r="K193" s="349" t="s">
        <v>1320</v>
      </c>
      <c r="L193" s="348" t="s">
        <v>1324</v>
      </c>
      <c r="M193" s="348"/>
      <c r="N193" s="359" t="s">
        <v>1325</v>
      </c>
      <c r="O193" s="359" t="s">
        <v>1326</v>
      </c>
      <c r="P193" s="352" t="s">
        <v>2595</v>
      </c>
      <c r="Q193" s="352"/>
      <c r="R193" s="352"/>
      <c r="S193" s="352">
        <v>20</v>
      </c>
      <c r="T193" s="352">
        <f>$S193*DE_Cost!$B$1*8</f>
        <v>192</v>
      </c>
      <c r="U193" s="355">
        <f>$S193*DE_Cost!$B$1</f>
        <v>24</v>
      </c>
      <c r="V193" s="355"/>
      <c r="W193" s="355"/>
      <c r="X193" s="355">
        <f t="shared" si="10"/>
        <v>7</v>
      </c>
      <c r="Y193" s="355">
        <f t="shared" si="11"/>
        <v>140</v>
      </c>
      <c r="Z193" s="352" t="s">
        <v>42</v>
      </c>
      <c r="AA193" s="352"/>
      <c r="AB193" s="353"/>
      <c r="AC193" s="353"/>
      <c r="AD193" s="482"/>
      <c r="AE193" s="487">
        <f t="shared" si="12"/>
        <v>51184.620187304892</v>
      </c>
    </row>
    <row r="194" spans="1:31" ht="270">
      <c r="A194" s="368" t="s">
        <v>140</v>
      </c>
      <c r="B194" s="367" t="s">
        <v>1120</v>
      </c>
      <c r="C194" s="351" t="s">
        <v>1308</v>
      </c>
      <c r="D194" s="351" t="s">
        <v>1327</v>
      </c>
      <c r="E194" s="351" t="s">
        <v>1328</v>
      </c>
      <c r="F194" s="351" t="s">
        <v>1329</v>
      </c>
      <c r="G194" s="349" t="s">
        <v>1320</v>
      </c>
      <c r="H194" s="350" t="s">
        <v>1330</v>
      </c>
      <c r="I194" s="351" t="s">
        <v>1331</v>
      </c>
      <c r="J194" s="350" t="s">
        <v>1332</v>
      </c>
      <c r="K194" s="349"/>
      <c r="L194" s="348"/>
      <c r="M194" s="348"/>
      <c r="N194" s="359" t="s">
        <v>1333</v>
      </c>
      <c r="O194" s="398" t="s">
        <v>1334</v>
      </c>
      <c r="P194" s="352" t="s">
        <v>2595</v>
      </c>
      <c r="Q194" s="352"/>
      <c r="R194" s="352"/>
      <c r="S194" s="352">
        <v>30</v>
      </c>
      <c r="T194" s="352">
        <f>$S194*DE_Cost!$B$1*8</f>
        <v>288</v>
      </c>
      <c r="U194" s="355">
        <f>$S194*DE_Cost!$B$1</f>
        <v>36</v>
      </c>
      <c r="V194" s="355"/>
      <c r="W194" s="355"/>
      <c r="X194" s="355">
        <f t="shared" si="10"/>
        <v>7</v>
      </c>
      <c r="Y194" s="355">
        <f t="shared" si="11"/>
        <v>210</v>
      </c>
      <c r="Z194" s="352" t="s">
        <v>42</v>
      </c>
      <c r="AA194" s="352"/>
      <c r="AB194" s="353"/>
      <c r="AC194" s="353"/>
      <c r="AD194" s="482"/>
      <c r="AE194" s="487">
        <f t="shared" si="12"/>
        <v>76776.930280957342</v>
      </c>
    </row>
    <row r="195" spans="1:31" ht="72">
      <c r="A195" s="397" t="s">
        <v>140</v>
      </c>
      <c r="B195" s="396" t="s">
        <v>1120</v>
      </c>
      <c r="C195" s="385" t="s">
        <v>1308</v>
      </c>
      <c r="D195" s="393" t="s">
        <v>1335</v>
      </c>
      <c r="E195" s="393" t="s">
        <v>1336</v>
      </c>
      <c r="F195" s="393" t="s">
        <v>1337</v>
      </c>
      <c r="G195" s="395"/>
      <c r="H195" s="394" t="s">
        <v>1338</v>
      </c>
      <c r="I195" s="393" t="s">
        <v>1339</v>
      </c>
      <c r="J195" s="392"/>
      <c r="K195" s="391"/>
      <c r="L195" s="348"/>
      <c r="M195" s="348"/>
      <c r="N195" s="390" t="s">
        <v>1340</v>
      </c>
      <c r="O195" s="390" t="s">
        <v>1341</v>
      </c>
      <c r="P195" s="352" t="s">
        <v>2597</v>
      </c>
      <c r="Q195" s="352"/>
      <c r="R195" s="388"/>
      <c r="S195" s="388">
        <v>5</v>
      </c>
      <c r="T195" s="388">
        <f>$S195*DE_Cost!$B$1*8</f>
        <v>48</v>
      </c>
      <c r="U195" s="389">
        <f>$S195*DE_Cost!$B$1</f>
        <v>6</v>
      </c>
      <c r="V195" s="355"/>
      <c r="W195" s="355"/>
      <c r="X195" s="355">
        <f t="shared" si="10"/>
        <v>6</v>
      </c>
      <c r="Y195" s="355">
        <f t="shared" si="11"/>
        <v>30</v>
      </c>
      <c r="Z195" s="388" t="s">
        <v>42</v>
      </c>
      <c r="AA195" s="352"/>
      <c r="AB195" s="353"/>
      <c r="AC195" s="353"/>
      <c r="AD195" s="482"/>
      <c r="AE195" s="487">
        <f t="shared" si="12"/>
        <v>10968.132897279618</v>
      </c>
    </row>
    <row r="196" spans="1:31" ht="90">
      <c r="A196" s="368" t="s">
        <v>140</v>
      </c>
      <c r="B196" s="367" t="s">
        <v>1120</v>
      </c>
      <c r="C196" s="351" t="s">
        <v>1308</v>
      </c>
      <c r="D196" s="351" t="s">
        <v>1342</v>
      </c>
      <c r="E196" s="351" t="s">
        <v>1343</v>
      </c>
      <c r="F196" s="351" t="s">
        <v>1344</v>
      </c>
      <c r="G196" s="387"/>
      <c r="H196" s="350" t="s">
        <v>1345</v>
      </c>
      <c r="I196" s="351" t="s">
        <v>1346</v>
      </c>
      <c r="J196" s="350"/>
      <c r="K196" s="349"/>
      <c r="L196" s="348"/>
      <c r="M196" s="348"/>
      <c r="N196" s="359"/>
      <c r="O196" s="359" t="s">
        <v>1347</v>
      </c>
      <c r="P196" s="352" t="s">
        <v>2595</v>
      </c>
      <c r="Q196" s="352"/>
      <c r="R196" s="352"/>
      <c r="S196" s="352">
        <v>8</v>
      </c>
      <c r="T196" s="352">
        <f>$S196*DE_Cost!$B$1*8</f>
        <v>76.8</v>
      </c>
      <c r="U196" s="355">
        <f>$S196*DE_Cost!$B$1</f>
        <v>9.6</v>
      </c>
      <c r="V196" s="355"/>
      <c r="W196" s="355"/>
      <c r="X196" s="355">
        <f t="shared" si="10"/>
        <v>7</v>
      </c>
      <c r="Y196" s="355">
        <f t="shared" si="11"/>
        <v>56</v>
      </c>
      <c r="Z196" s="352" t="s">
        <v>42</v>
      </c>
      <c r="AA196" s="352"/>
      <c r="AB196" s="353"/>
      <c r="AC196" s="353"/>
      <c r="AD196" s="482"/>
      <c r="AE196" s="487">
        <f t="shared" si="12"/>
        <v>20473.848074921956</v>
      </c>
    </row>
    <row r="197" spans="1:31" ht="90">
      <c r="A197" s="368" t="s">
        <v>140</v>
      </c>
      <c r="B197" s="367" t="s">
        <v>1120</v>
      </c>
      <c r="C197" s="351" t="s">
        <v>1308</v>
      </c>
      <c r="D197" s="351" t="s">
        <v>1348</v>
      </c>
      <c r="E197" s="351" t="s">
        <v>1349</v>
      </c>
      <c r="F197" s="351" t="s">
        <v>1350</v>
      </c>
      <c r="G197" s="387"/>
      <c r="H197" s="350" t="s">
        <v>1351</v>
      </c>
      <c r="I197" s="351" t="s">
        <v>1352</v>
      </c>
      <c r="J197" s="350"/>
      <c r="K197" s="349"/>
      <c r="L197" s="348"/>
      <c r="M197" s="348"/>
      <c r="N197" s="359"/>
      <c r="O197" s="359" t="s">
        <v>1353</v>
      </c>
      <c r="P197" s="352" t="s">
        <v>2597</v>
      </c>
      <c r="Q197" s="352"/>
      <c r="R197" s="352"/>
      <c r="S197" s="352">
        <v>8</v>
      </c>
      <c r="T197" s="352">
        <f>$S197*DE_Cost!$B$1*8</f>
        <v>76.8</v>
      </c>
      <c r="U197" s="355">
        <f>$S197*DE_Cost!$B$1</f>
        <v>9.6</v>
      </c>
      <c r="V197" s="355"/>
      <c r="W197" s="355"/>
      <c r="X197" s="355">
        <f t="shared" si="10"/>
        <v>6</v>
      </c>
      <c r="Y197" s="355">
        <f t="shared" si="11"/>
        <v>48</v>
      </c>
      <c r="Z197" s="352" t="s">
        <v>42</v>
      </c>
      <c r="AA197" s="352"/>
      <c r="AB197" s="353"/>
      <c r="AC197" s="353"/>
      <c r="AD197" s="482"/>
      <c r="AE197" s="487">
        <f t="shared" si="12"/>
        <v>17549.012635647388</v>
      </c>
    </row>
    <row r="198" spans="1:31" ht="90">
      <c r="A198" s="368" t="s">
        <v>140</v>
      </c>
      <c r="B198" s="367" t="s">
        <v>1120</v>
      </c>
      <c r="C198" s="351" t="s">
        <v>1308</v>
      </c>
      <c r="D198" s="351" t="s">
        <v>1354</v>
      </c>
      <c r="E198" s="351" t="s">
        <v>1355</v>
      </c>
      <c r="F198" s="351" t="s">
        <v>1356</v>
      </c>
      <c r="G198" s="387"/>
      <c r="H198" s="350" t="s">
        <v>1357</v>
      </c>
      <c r="I198" s="351" t="s">
        <v>1358</v>
      </c>
      <c r="J198" s="350"/>
      <c r="K198" s="349"/>
      <c r="L198" s="348"/>
      <c r="M198" s="348"/>
      <c r="N198" s="359"/>
      <c r="O198" s="359" t="s">
        <v>1358</v>
      </c>
      <c r="P198" s="352" t="s">
        <v>2597</v>
      </c>
      <c r="Q198" s="352"/>
      <c r="R198" s="352"/>
      <c r="S198" s="352">
        <v>10</v>
      </c>
      <c r="T198" s="352">
        <f>$S198*DE_Cost!$B$1*8</f>
        <v>96</v>
      </c>
      <c r="U198" s="355">
        <f>$S198*DE_Cost!$B$1</f>
        <v>12</v>
      </c>
      <c r="V198" s="355"/>
      <c r="W198" s="355"/>
      <c r="X198" s="355">
        <f t="shared" si="10"/>
        <v>6</v>
      </c>
      <c r="Y198" s="355">
        <f t="shared" si="11"/>
        <v>60</v>
      </c>
      <c r="Z198" s="352" t="s">
        <v>42</v>
      </c>
      <c r="AA198" s="352"/>
      <c r="AB198" s="353"/>
      <c r="AC198" s="353"/>
      <c r="AD198" s="482"/>
      <c r="AE198" s="487">
        <f t="shared" si="12"/>
        <v>21936.265794559236</v>
      </c>
    </row>
    <row r="199" spans="1:31" ht="409.6">
      <c r="A199" s="368" t="s">
        <v>140</v>
      </c>
      <c r="B199" s="367" t="s">
        <v>1120</v>
      </c>
      <c r="C199" s="351" t="s">
        <v>1308</v>
      </c>
      <c r="D199" s="357" t="s">
        <v>1359</v>
      </c>
      <c r="E199" s="357" t="s">
        <v>1360</v>
      </c>
      <c r="F199" s="357" t="s">
        <v>1361</v>
      </c>
      <c r="G199" s="349" t="s">
        <v>1282</v>
      </c>
      <c r="H199" s="350" t="s">
        <v>1362</v>
      </c>
      <c r="I199" s="357" t="s">
        <v>1363</v>
      </c>
      <c r="J199" s="350" t="s">
        <v>1364</v>
      </c>
      <c r="K199" s="349"/>
      <c r="L199" s="348"/>
      <c r="M199" s="348"/>
      <c r="N199" s="359"/>
      <c r="O199" s="359" t="s">
        <v>1365</v>
      </c>
      <c r="P199" s="352" t="s">
        <v>2595</v>
      </c>
      <c r="Q199" s="352"/>
      <c r="R199" s="352"/>
      <c r="S199" s="352">
        <v>20</v>
      </c>
      <c r="T199" s="352">
        <f>$S199*DE_Cost!$B$1*8</f>
        <v>192</v>
      </c>
      <c r="U199" s="355">
        <f>$S199*DE_Cost!$B$1</f>
        <v>24</v>
      </c>
      <c r="V199" s="355"/>
      <c r="W199" s="355"/>
      <c r="X199" s="355">
        <f t="shared" si="10"/>
        <v>7</v>
      </c>
      <c r="Y199" s="355">
        <f t="shared" si="11"/>
        <v>140</v>
      </c>
      <c r="Z199" s="352" t="s">
        <v>42</v>
      </c>
      <c r="AA199" s="352"/>
      <c r="AB199" s="353"/>
      <c r="AC199" s="353"/>
      <c r="AD199" s="482"/>
      <c r="AE199" s="487">
        <f t="shared" si="12"/>
        <v>51184.620187304892</v>
      </c>
    </row>
    <row r="200" spans="1:31" ht="108">
      <c r="A200" s="368" t="s">
        <v>140</v>
      </c>
      <c r="B200" s="367" t="s">
        <v>1120</v>
      </c>
      <c r="C200" s="351" t="s">
        <v>1308</v>
      </c>
      <c r="D200" s="351" t="s">
        <v>1366</v>
      </c>
      <c r="E200" s="351" t="s">
        <v>1367</v>
      </c>
      <c r="F200" s="351" t="s">
        <v>1368</v>
      </c>
      <c r="G200" s="349" t="s">
        <v>1292</v>
      </c>
      <c r="H200" s="350" t="s">
        <v>1369</v>
      </c>
      <c r="I200" s="351" t="s">
        <v>1370</v>
      </c>
      <c r="J200" s="350"/>
      <c r="K200" s="349"/>
      <c r="L200" s="348"/>
      <c r="M200" s="348"/>
      <c r="N200" s="359"/>
      <c r="O200" s="359" t="s">
        <v>1371</v>
      </c>
      <c r="P200" s="352" t="s">
        <v>2597</v>
      </c>
      <c r="Q200" s="352"/>
      <c r="R200" s="352"/>
      <c r="S200" s="352">
        <v>10</v>
      </c>
      <c r="T200" s="352">
        <f>$S200*DE_Cost!$B$1*8</f>
        <v>96</v>
      </c>
      <c r="U200" s="355">
        <f>$S200*DE_Cost!$B$1</f>
        <v>12</v>
      </c>
      <c r="V200" s="355"/>
      <c r="W200" s="355"/>
      <c r="X200" s="355">
        <f t="shared" si="10"/>
        <v>6</v>
      </c>
      <c r="Y200" s="355">
        <f t="shared" si="11"/>
        <v>60</v>
      </c>
      <c r="Z200" s="352" t="s">
        <v>150</v>
      </c>
      <c r="AA200" s="352" t="s">
        <v>1372</v>
      </c>
      <c r="AB200" s="353"/>
      <c r="AC200" s="353"/>
      <c r="AD200" s="482"/>
      <c r="AE200" s="487">
        <f t="shared" si="12"/>
        <v>21936.265794559236</v>
      </c>
    </row>
    <row r="201" spans="1:31" ht="108">
      <c r="A201" s="368" t="s">
        <v>140</v>
      </c>
      <c r="B201" s="367" t="s">
        <v>1120</v>
      </c>
      <c r="C201" s="351" t="s">
        <v>1308</v>
      </c>
      <c r="D201" s="351" t="s">
        <v>1373</v>
      </c>
      <c r="E201" s="351" t="s">
        <v>1374</v>
      </c>
      <c r="F201" s="351" t="s">
        <v>1375</v>
      </c>
      <c r="G201" s="349"/>
      <c r="H201" s="350" t="s">
        <v>1376</v>
      </c>
      <c r="I201" s="351" t="s">
        <v>1377</v>
      </c>
      <c r="J201" s="350"/>
      <c r="K201" s="349" t="s">
        <v>398</v>
      </c>
      <c r="L201" s="348"/>
      <c r="M201" s="348"/>
      <c r="N201" s="359" t="s">
        <v>1378</v>
      </c>
      <c r="O201" s="359" t="s">
        <v>1379</v>
      </c>
      <c r="P201" s="352" t="s">
        <v>2595</v>
      </c>
      <c r="Q201" s="352"/>
      <c r="R201" s="352"/>
      <c r="S201" s="352">
        <v>30</v>
      </c>
      <c r="T201" s="352">
        <f>$S201*DE_Cost!$B$1*8</f>
        <v>288</v>
      </c>
      <c r="U201" s="355">
        <f>$S201*DE_Cost!$B$1</f>
        <v>36</v>
      </c>
      <c r="V201" s="355"/>
      <c r="W201" s="355"/>
      <c r="X201" s="355">
        <f t="shared" si="10"/>
        <v>7</v>
      </c>
      <c r="Y201" s="355">
        <f t="shared" si="11"/>
        <v>210</v>
      </c>
      <c r="Z201" s="352" t="s">
        <v>42</v>
      </c>
      <c r="AA201" s="352"/>
      <c r="AB201" s="353"/>
      <c r="AC201" s="353"/>
      <c r="AD201" s="482"/>
      <c r="AE201" s="487">
        <f t="shared" si="12"/>
        <v>76776.930280957342</v>
      </c>
    </row>
    <row r="202" spans="1:31" ht="157" customHeight="1">
      <c r="A202" s="368" t="s">
        <v>140</v>
      </c>
      <c r="B202" s="367" t="s">
        <v>1120</v>
      </c>
      <c r="C202" s="351" t="s">
        <v>1380</v>
      </c>
      <c r="D202" s="357" t="s">
        <v>1381</v>
      </c>
      <c r="E202" s="357" t="s">
        <v>1382</v>
      </c>
      <c r="F202" s="357" t="s">
        <v>1383</v>
      </c>
      <c r="G202" s="349" t="s">
        <v>394</v>
      </c>
      <c r="H202" s="350" t="s">
        <v>1384</v>
      </c>
      <c r="I202" s="350" t="s">
        <v>1385</v>
      </c>
      <c r="J202" s="350" t="s">
        <v>1386</v>
      </c>
      <c r="K202" s="349" t="s">
        <v>1387</v>
      </c>
      <c r="L202" s="348"/>
      <c r="M202" s="348" t="s">
        <v>1388</v>
      </c>
      <c r="N202" s="359" t="s">
        <v>1389</v>
      </c>
      <c r="O202" s="359" t="s">
        <v>1390</v>
      </c>
      <c r="P202" s="352" t="s">
        <v>2597</v>
      </c>
      <c r="Q202" s="352"/>
      <c r="R202" s="352"/>
      <c r="S202" s="352">
        <v>25</v>
      </c>
      <c r="T202" s="352">
        <f>$S202*DE_Cost!$B$1*8</f>
        <v>240</v>
      </c>
      <c r="U202" s="355">
        <f>$S202*DE_Cost!$B$1</f>
        <v>30</v>
      </c>
      <c r="V202" s="355"/>
      <c r="W202" s="355"/>
      <c r="X202" s="355">
        <f t="shared" si="10"/>
        <v>6</v>
      </c>
      <c r="Y202" s="355">
        <f t="shared" si="11"/>
        <v>150</v>
      </c>
      <c r="Z202" s="352" t="s">
        <v>42</v>
      </c>
      <c r="AA202" s="352"/>
      <c r="AB202" s="353"/>
      <c r="AC202" s="353"/>
      <c r="AD202" s="482"/>
      <c r="AE202" s="487">
        <f t="shared" si="12"/>
        <v>54840.664486398098</v>
      </c>
    </row>
    <row r="203" spans="1:31" ht="108">
      <c r="A203" s="368" t="s">
        <v>140</v>
      </c>
      <c r="B203" s="367" t="s">
        <v>1120</v>
      </c>
      <c r="C203" s="351" t="s">
        <v>1380</v>
      </c>
      <c r="D203" s="357" t="s">
        <v>1391</v>
      </c>
      <c r="E203" s="357" t="s">
        <v>1392</v>
      </c>
      <c r="F203" s="357" t="s">
        <v>1393</v>
      </c>
      <c r="G203" s="387"/>
      <c r="H203" s="350" t="s">
        <v>1394</v>
      </c>
      <c r="I203" s="357" t="s">
        <v>1395</v>
      </c>
      <c r="J203" s="350"/>
      <c r="K203" s="349"/>
      <c r="L203" s="348"/>
      <c r="M203" s="348"/>
      <c r="N203" s="359" t="s">
        <v>1396</v>
      </c>
      <c r="O203" s="359" t="s">
        <v>1397</v>
      </c>
      <c r="P203" s="352" t="s">
        <v>2593</v>
      </c>
      <c r="Q203" s="352"/>
      <c r="R203" s="352"/>
      <c r="S203" s="352">
        <v>10</v>
      </c>
      <c r="T203" s="352">
        <f>$S203*DE_Cost!$B$1*8</f>
        <v>96</v>
      </c>
      <c r="U203" s="355">
        <f>$S203*DE_Cost!$B$1</f>
        <v>12</v>
      </c>
      <c r="V203" s="355"/>
      <c r="W203" s="355"/>
      <c r="X203" s="355">
        <f t="shared" si="10"/>
        <v>6</v>
      </c>
      <c r="Y203" s="355">
        <f t="shared" si="11"/>
        <v>60</v>
      </c>
      <c r="Z203" s="352" t="s">
        <v>42</v>
      </c>
      <c r="AA203" s="352"/>
      <c r="AB203" s="353"/>
      <c r="AC203" s="353"/>
      <c r="AD203" s="482"/>
      <c r="AE203" s="487">
        <f t="shared" si="12"/>
        <v>21936.265794559236</v>
      </c>
    </row>
    <row r="204" spans="1:31" ht="144">
      <c r="A204" s="368" t="s">
        <v>140</v>
      </c>
      <c r="B204" s="367" t="s">
        <v>1120</v>
      </c>
      <c r="C204" s="351" t="s">
        <v>1380</v>
      </c>
      <c r="D204" s="351" t="s">
        <v>1398</v>
      </c>
      <c r="E204" s="351" t="s">
        <v>1399</v>
      </c>
      <c r="F204" s="351" t="s">
        <v>1400</v>
      </c>
      <c r="G204" s="349"/>
      <c r="H204" s="350" t="s">
        <v>1401</v>
      </c>
      <c r="I204" s="351" t="s">
        <v>1402</v>
      </c>
      <c r="J204" s="350"/>
      <c r="K204" s="349"/>
      <c r="L204" s="348"/>
      <c r="M204" s="348"/>
      <c r="N204" s="359" t="s">
        <v>1403</v>
      </c>
      <c r="O204" s="359" t="s">
        <v>1404</v>
      </c>
      <c r="P204" s="352" t="s">
        <v>2595</v>
      </c>
      <c r="Q204" s="352"/>
      <c r="R204" s="352"/>
      <c r="S204" s="352">
        <v>12</v>
      </c>
      <c r="T204" s="352">
        <f>$S204*DE_Cost!$B$1*8</f>
        <v>115.19999999999999</v>
      </c>
      <c r="U204" s="355">
        <f>$S204*DE_Cost!$B$1</f>
        <v>14.399999999999999</v>
      </c>
      <c r="V204" s="355"/>
      <c r="W204" s="355"/>
      <c r="X204" s="355">
        <f t="shared" si="10"/>
        <v>7</v>
      </c>
      <c r="Y204" s="355">
        <f t="shared" si="11"/>
        <v>84</v>
      </c>
      <c r="Z204" s="352" t="s">
        <v>42</v>
      </c>
      <c r="AA204" s="352"/>
      <c r="AB204" s="353"/>
      <c r="AC204" s="353"/>
      <c r="AD204" s="482"/>
      <c r="AE204" s="487">
        <f t="shared" si="12"/>
        <v>30710.772112382936</v>
      </c>
    </row>
    <row r="205" spans="1:31" ht="146">
      <c r="A205" s="368" t="s">
        <v>140</v>
      </c>
      <c r="B205" s="367" t="s">
        <v>1120</v>
      </c>
      <c r="C205" s="351" t="s">
        <v>1405</v>
      </c>
      <c r="D205" s="357" t="s">
        <v>1406</v>
      </c>
      <c r="E205" s="357" t="s">
        <v>1407</v>
      </c>
      <c r="F205" s="357" t="s">
        <v>1408</v>
      </c>
      <c r="G205" s="349" t="s">
        <v>394</v>
      </c>
      <c r="H205" s="350" t="s">
        <v>1409</v>
      </c>
      <c r="I205" s="386" t="s">
        <v>1410</v>
      </c>
      <c r="J205" s="350" t="s">
        <v>1411</v>
      </c>
      <c r="K205" s="349" t="s">
        <v>1387</v>
      </c>
      <c r="L205" s="348" t="s">
        <v>1412</v>
      </c>
      <c r="M205" s="348"/>
      <c r="N205" s="359" t="s">
        <v>1413</v>
      </c>
      <c r="O205" s="359" t="s">
        <v>1414</v>
      </c>
      <c r="P205" s="352" t="s">
        <v>2597</v>
      </c>
      <c r="Q205" s="352"/>
      <c r="R205" s="352"/>
      <c r="S205" s="352">
        <v>20</v>
      </c>
      <c r="T205" s="352">
        <f>$S205*DE_Cost!$B$1*8</f>
        <v>192</v>
      </c>
      <c r="U205" s="355">
        <f>$S205*DE_Cost!$B$1</f>
        <v>24</v>
      </c>
      <c r="V205" s="355"/>
      <c r="W205" s="355"/>
      <c r="X205" s="355">
        <f t="shared" si="10"/>
        <v>6</v>
      </c>
      <c r="Y205" s="355">
        <f t="shared" si="11"/>
        <v>120</v>
      </c>
      <c r="Z205" s="352" t="s">
        <v>150</v>
      </c>
      <c r="AA205" s="352" t="s">
        <v>1416</v>
      </c>
      <c r="AB205" s="353"/>
      <c r="AC205" s="353"/>
      <c r="AD205" s="482"/>
      <c r="AE205" s="487">
        <f t="shared" si="12"/>
        <v>43872.531589118473</v>
      </c>
    </row>
    <row r="206" spans="1:31" ht="74">
      <c r="A206" s="368" t="s">
        <v>140</v>
      </c>
      <c r="B206" s="367" t="s">
        <v>1120</v>
      </c>
      <c r="C206" s="351" t="s">
        <v>1405</v>
      </c>
      <c r="D206" s="351" t="s">
        <v>1417</v>
      </c>
      <c r="E206" s="351" t="s">
        <v>1418</v>
      </c>
      <c r="F206" s="385" t="s">
        <v>1419</v>
      </c>
      <c r="G206" s="349" t="s">
        <v>394</v>
      </c>
      <c r="H206" s="350" t="s">
        <v>1420</v>
      </c>
      <c r="I206" s="385" t="s">
        <v>1421</v>
      </c>
      <c r="J206" s="350"/>
      <c r="K206" s="349"/>
      <c r="L206" s="348"/>
      <c r="M206" s="348"/>
      <c r="N206" s="359" t="s">
        <v>1422</v>
      </c>
      <c r="O206" s="359" t="s">
        <v>1421</v>
      </c>
      <c r="P206" s="352" t="s">
        <v>2597</v>
      </c>
      <c r="Q206" s="352"/>
      <c r="R206" s="352"/>
      <c r="S206" s="352">
        <v>20</v>
      </c>
      <c r="T206" s="352">
        <f>$S206*DE_Cost!$B$1*8</f>
        <v>192</v>
      </c>
      <c r="U206" s="355">
        <f>$S206*DE_Cost!$B$1</f>
        <v>24</v>
      </c>
      <c r="V206" s="355"/>
      <c r="W206" s="355"/>
      <c r="X206" s="355">
        <f t="shared" si="10"/>
        <v>6</v>
      </c>
      <c r="Y206" s="355">
        <f t="shared" si="11"/>
        <v>120</v>
      </c>
      <c r="Z206" s="352" t="s">
        <v>150</v>
      </c>
      <c r="AA206" s="352" t="s">
        <v>1416</v>
      </c>
      <c r="AB206" s="353"/>
      <c r="AC206" s="353"/>
      <c r="AD206" s="482"/>
      <c r="AE206" s="487">
        <f t="shared" si="12"/>
        <v>43872.531589118473</v>
      </c>
    </row>
    <row r="207" spans="1:31" ht="409.6">
      <c r="A207" s="368" t="s">
        <v>140</v>
      </c>
      <c r="B207" s="367" t="s">
        <v>1120</v>
      </c>
      <c r="C207" s="351" t="s">
        <v>1405</v>
      </c>
      <c r="D207" s="351" t="s">
        <v>1423</v>
      </c>
      <c r="E207" s="351" t="s">
        <v>1424</v>
      </c>
      <c r="F207" s="351" t="s">
        <v>1425</v>
      </c>
      <c r="G207" s="349" t="s">
        <v>394</v>
      </c>
      <c r="H207" s="350" t="s">
        <v>1426</v>
      </c>
      <c r="I207" s="384" t="s">
        <v>1427</v>
      </c>
      <c r="J207" s="350" t="s">
        <v>1428</v>
      </c>
      <c r="K207" s="349"/>
      <c r="L207" s="348"/>
      <c r="M207" s="348"/>
      <c r="N207" s="359" t="s">
        <v>1429</v>
      </c>
      <c r="O207" s="359" t="s">
        <v>1430</v>
      </c>
      <c r="P207" s="352" t="s">
        <v>2597</v>
      </c>
      <c r="Q207" s="352"/>
      <c r="R207" s="352"/>
      <c r="S207" s="352">
        <v>15</v>
      </c>
      <c r="T207" s="352">
        <f>$S207*DE_Cost!$B$1*8</f>
        <v>144</v>
      </c>
      <c r="U207" s="355">
        <f>$S207*DE_Cost!$B$1</f>
        <v>18</v>
      </c>
      <c r="V207" s="355"/>
      <c r="W207" s="355"/>
      <c r="X207" s="355">
        <f t="shared" si="10"/>
        <v>6</v>
      </c>
      <c r="Y207" s="355">
        <f t="shared" si="11"/>
        <v>90</v>
      </c>
      <c r="Z207" s="352" t="s">
        <v>150</v>
      </c>
      <c r="AA207" s="352" t="s">
        <v>1416</v>
      </c>
      <c r="AB207" s="353"/>
      <c r="AC207" s="353"/>
      <c r="AD207" s="482"/>
      <c r="AE207" s="487">
        <f t="shared" si="12"/>
        <v>32904.398691838862</v>
      </c>
    </row>
    <row r="208" spans="1:31" ht="409.6">
      <c r="A208" s="368" t="s">
        <v>140</v>
      </c>
      <c r="B208" s="367" t="s">
        <v>1120</v>
      </c>
      <c r="C208" s="351" t="s">
        <v>1405</v>
      </c>
      <c r="D208" s="357" t="s">
        <v>1431</v>
      </c>
      <c r="E208" s="351" t="s">
        <v>1432</v>
      </c>
      <c r="F208" s="357" t="s">
        <v>1433</v>
      </c>
      <c r="G208" s="349" t="s">
        <v>394</v>
      </c>
      <c r="H208" s="350" t="s">
        <v>1434</v>
      </c>
      <c r="I208" s="357" t="s">
        <v>1435</v>
      </c>
      <c r="J208" s="350" t="s">
        <v>1436</v>
      </c>
      <c r="K208" s="349" t="s">
        <v>1387</v>
      </c>
      <c r="L208" s="348"/>
      <c r="M208" s="348"/>
      <c r="N208" s="359" t="s">
        <v>1437</v>
      </c>
      <c r="O208" s="359" t="s">
        <v>1438</v>
      </c>
      <c r="P208" s="352" t="s">
        <v>2597</v>
      </c>
      <c r="Q208" s="352"/>
      <c r="R208" s="352"/>
      <c r="S208" s="352">
        <v>15</v>
      </c>
      <c r="T208" s="352">
        <f>$S208*DE_Cost!$B$1*8</f>
        <v>144</v>
      </c>
      <c r="U208" s="355">
        <f>$S208*DE_Cost!$B$1</f>
        <v>18</v>
      </c>
      <c r="V208" s="355"/>
      <c r="W208" s="355"/>
      <c r="X208" s="355">
        <f t="shared" si="10"/>
        <v>6</v>
      </c>
      <c r="Y208" s="355">
        <f t="shared" si="11"/>
        <v>90</v>
      </c>
      <c r="Z208" s="352" t="s">
        <v>42</v>
      </c>
      <c r="AA208" s="352"/>
      <c r="AB208" s="353"/>
      <c r="AC208" s="353"/>
      <c r="AD208" s="482"/>
      <c r="AE208" s="487">
        <f t="shared" si="12"/>
        <v>32904.398691838862</v>
      </c>
    </row>
    <row r="209" spans="1:31" ht="216">
      <c r="A209" s="368" t="s">
        <v>140</v>
      </c>
      <c r="B209" s="367" t="s">
        <v>1120</v>
      </c>
      <c r="C209" s="351" t="s">
        <v>1405</v>
      </c>
      <c r="D209" s="351" t="s">
        <v>1439</v>
      </c>
      <c r="E209" s="351" t="s">
        <v>1440</v>
      </c>
      <c r="F209" s="351" t="s">
        <v>1441</v>
      </c>
      <c r="G209" s="349" t="s">
        <v>1442</v>
      </c>
      <c r="H209" s="350" t="s">
        <v>1443</v>
      </c>
      <c r="I209" s="351" t="s">
        <v>1444</v>
      </c>
      <c r="J209" s="350" t="s">
        <v>1445</v>
      </c>
      <c r="K209" s="349"/>
      <c r="L209" s="348"/>
      <c r="M209" s="348"/>
      <c r="N209" s="359" t="s">
        <v>1446</v>
      </c>
      <c r="O209" s="359" t="s">
        <v>1447</v>
      </c>
      <c r="P209" s="352" t="s">
        <v>2597</v>
      </c>
      <c r="Q209" s="352"/>
      <c r="R209" s="352"/>
      <c r="S209" s="352">
        <v>20</v>
      </c>
      <c r="T209" s="352">
        <f>$S209*DE_Cost!$B$1*8</f>
        <v>192</v>
      </c>
      <c r="U209" s="355">
        <f>$S209*DE_Cost!$B$1</f>
        <v>24</v>
      </c>
      <c r="V209" s="355"/>
      <c r="W209" s="355"/>
      <c r="X209" s="355">
        <f t="shared" si="10"/>
        <v>6</v>
      </c>
      <c r="Y209" s="355">
        <f t="shared" si="11"/>
        <v>120</v>
      </c>
      <c r="Z209" s="352" t="s">
        <v>42</v>
      </c>
      <c r="AA209" s="352"/>
      <c r="AB209" s="353"/>
      <c r="AC209" s="353"/>
      <c r="AD209" s="482"/>
      <c r="AE209" s="487">
        <f t="shared" si="12"/>
        <v>43872.531589118473</v>
      </c>
    </row>
    <row r="210" spans="1:31" ht="252">
      <c r="A210" s="368" t="s">
        <v>140</v>
      </c>
      <c r="B210" s="367" t="s">
        <v>1120</v>
      </c>
      <c r="C210" s="351" t="s">
        <v>1405</v>
      </c>
      <c r="D210" s="351" t="s">
        <v>1448</v>
      </c>
      <c r="E210" s="351" t="s">
        <v>1449</v>
      </c>
      <c r="F210" s="351" t="s">
        <v>1450</v>
      </c>
      <c r="G210" s="349" t="s">
        <v>1451</v>
      </c>
      <c r="H210" s="350" t="s">
        <v>1452</v>
      </c>
      <c r="I210" s="351" t="s">
        <v>1453</v>
      </c>
      <c r="J210" s="350" t="s">
        <v>1454</v>
      </c>
      <c r="K210" s="349"/>
      <c r="L210" s="348"/>
      <c r="M210" s="348"/>
      <c r="N210" s="359" t="s">
        <v>1455</v>
      </c>
      <c r="O210" s="359"/>
      <c r="P210" s="352" t="s">
        <v>2597</v>
      </c>
      <c r="Q210" s="352"/>
      <c r="R210" s="352"/>
      <c r="S210" s="352">
        <v>10</v>
      </c>
      <c r="T210" s="352">
        <f>$S210*DE_Cost!$B$1*8</f>
        <v>96</v>
      </c>
      <c r="U210" s="355">
        <f>$S210*DE_Cost!$B$1</f>
        <v>12</v>
      </c>
      <c r="V210" s="355"/>
      <c r="W210" s="355"/>
      <c r="X210" s="355">
        <f t="shared" si="10"/>
        <v>6</v>
      </c>
      <c r="Y210" s="355">
        <f t="shared" si="11"/>
        <v>60</v>
      </c>
      <c r="Z210" s="352" t="s">
        <v>150</v>
      </c>
      <c r="AA210" s="352" t="s">
        <v>1456</v>
      </c>
      <c r="AB210" s="353"/>
      <c r="AC210" s="353"/>
      <c r="AD210" s="482"/>
      <c r="AE210" s="487">
        <f t="shared" si="12"/>
        <v>21936.265794559236</v>
      </c>
    </row>
    <row r="211" spans="1:31" ht="180">
      <c r="A211" s="368" t="s">
        <v>140</v>
      </c>
      <c r="B211" s="367" t="s">
        <v>1120</v>
      </c>
      <c r="C211" s="351" t="s">
        <v>1405</v>
      </c>
      <c r="D211" s="351" t="s">
        <v>1457</v>
      </c>
      <c r="E211" s="351" t="s">
        <v>1458</v>
      </c>
      <c r="F211" s="351" t="s">
        <v>1459</v>
      </c>
      <c r="G211" s="349" t="s">
        <v>1451</v>
      </c>
      <c r="H211" s="350" t="s">
        <v>1460</v>
      </c>
      <c r="I211" s="351" t="s">
        <v>1461</v>
      </c>
      <c r="J211" s="350" t="s">
        <v>1462</v>
      </c>
      <c r="K211" s="349"/>
      <c r="L211" s="348"/>
      <c r="M211" s="348"/>
      <c r="N211" s="359" t="s">
        <v>1463</v>
      </c>
      <c r="O211" s="359" t="s">
        <v>1464</v>
      </c>
      <c r="P211" s="352" t="s">
        <v>2597</v>
      </c>
      <c r="Q211" s="352"/>
      <c r="R211" s="352"/>
      <c r="S211" s="352">
        <v>20</v>
      </c>
      <c r="T211" s="352">
        <f>$S211*DE_Cost!$B$1*8</f>
        <v>192</v>
      </c>
      <c r="U211" s="355">
        <f>$S211*DE_Cost!$B$1</f>
        <v>24</v>
      </c>
      <c r="V211" s="355"/>
      <c r="W211" s="355"/>
      <c r="X211" s="355">
        <f t="shared" si="10"/>
        <v>6</v>
      </c>
      <c r="Y211" s="355">
        <f t="shared" si="11"/>
        <v>120</v>
      </c>
      <c r="Z211" s="352" t="s">
        <v>150</v>
      </c>
      <c r="AA211" s="352" t="s">
        <v>1465</v>
      </c>
      <c r="AB211" s="353"/>
      <c r="AC211" s="353"/>
      <c r="AD211" s="482"/>
      <c r="AE211" s="487">
        <f t="shared" si="12"/>
        <v>43872.531589118473</v>
      </c>
    </row>
    <row r="212" spans="1:31" ht="162">
      <c r="A212" s="376" t="s">
        <v>140</v>
      </c>
      <c r="B212" s="367" t="s">
        <v>1120</v>
      </c>
      <c r="C212" s="357" t="s">
        <v>1405</v>
      </c>
      <c r="D212" s="357" t="s">
        <v>1466</v>
      </c>
      <c r="E212" s="357" t="s">
        <v>1467</v>
      </c>
      <c r="F212" s="357" t="s">
        <v>1468</v>
      </c>
      <c r="G212" s="349"/>
      <c r="H212" s="350" t="s">
        <v>1469</v>
      </c>
      <c r="I212" s="357" t="s">
        <v>1470</v>
      </c>
      <c r="J212" s="350"/>
      <c r="K212" s="349"/>
      <c r="L212" s="348"/>
      <c r="M212" s="348"/>
      <c r="N212" s="359" t="s">
        <v>1471</v>
      </c>
      <c r="O212" s="359" t="s">
        <v>1447</v>
      </c>
      <c r="P212" s="352" t="s">
        <v>2597</v>
      </c>
      <c r="Q212" s="352"/>
      <c r="R212" s="352"/>
      <c r="S212" s="352">
        <v>20</v>
      </c>
      <c r="T212" s="352">
        <f>$S212*DE_Cost!$B$1*8</f>
        <v>192</v>
      </c>
      <c r="U212" s="355">
        <f>$S212*DE_Cost!$B$1</f>
        <v>24</v>
      </c>
      <c r="V212" s="355"/>
      <c r="W212" s="355"/>
      <c r="X212" s="355">
        <f t="shared" si="10"/>
        <v>6</v>
      </c>
      <c r="Y212" s="355">
        <f t="shared" si="11"/>
        <v>120</v>
      </c>
      <c r="Z212" s="352" t="s">
        <v>150</v>
      </c>
      <c r="AA212" s="352" t="s">
        <v>1472</v>
      </c>
      <c r="AB212" s="353"/>
      <c r="AC212" s="353"/>
      <c r="AD212" s="482"/>
      <c r="AE212" s="487">
        <f t="shared" si="12"/>
        <v>43872.531589118473</v>
      </c>
    </row>
    <row r="213" spans="1:31" ht="72">
      <c r="A213" s="368" t="s">
        <v>140</v>
      </c>
      <c r="B213" s="367" t="s">
        <v>1120</v>
      </c>
      <c r="C213" s="351" t="s">
        <v>1405</v>
      </c>
      <c r="D213" s="357" t="s">
        <v>1473</v>
      </c>
      <c r="E213" s="357" t="s">
        <v>1474</v>
      </c>
      <c r="F213" s="357" t="s">
        <v>1475</v>
      </c>
      <c r="G213" s="349"/>
      <c r="H213" s="350" t="s">
        <v>1476</v>
      </c>
      <c r="I213" s="357" t="s">
        <v>1477</v>
      </c>
      <c r="J213" s="350"/>
      <c r="K213" s="349"/>
      <c r="L213" s="348"/>
      <c r="M213" s="348"/>
      <c r="N213" s="359" t="s">
        <v>1478</v>
      </c>
      <c r="O213" s="359"/>
      <c r="P213" s="352" t="s">
        <v>2597</v>
      </c>
      <c r="Q213" s="352"/>
      <c r="R213" s="352"/>
      <c r="S213" s="352">
        <v>15</v>
      </c>
      <c r="T213" s="352">
        <f>$S213*DE_Cost!$B$1*8</f>
        <v>144</v>
      </c>
      <c r="U213" s="355">
        <f>$S213*DE_Cost!$B$1</f>
        <v>18</v>
      </c>
      <c r="V213" s="355"/>
      <c r="W213" s="355"/>
      <c r="X213" s="355">
        <f t="shared" si="10"/>
        <v>6</v>
      </c>
      <c r="Y213" s="355">
        <f t="shared" si="11"/>
        <v>90</v>
      </c>
      <c r="Z213" s="352" t="s">
        <v>150</v>
      </c>
      <c r="AA213" s="352" t="s">
        <v>1472</v>
      </c>
      <c r="AB213" s="353"/>
      <c r="AC213" s="353"/>
      <c r="AD213" s="482"/>
      <c r="AE213" s="487">
        <f t="shared" si="12"/>
        <v>32904.398691838862</v>
      </c>
    </row>
    <row r="214" spans="1:31" ht="89" customHeight="1">
      <c r="A214" s="368" t="s">
        <v>140</v>
      </c>
      <c r="B214" s="367" t="s">
        <v>1120</v>
      </c>
      <c r="C214" s="357" t="s">
        <v>1405</v>
      </c>
      <c r="D214" s="357" t="s">
        <v>1479</v>
      </c>
      <c r="E214" s="357" t="s">
        <v>1480</v>
      </c>
      <c r="F214" s="357" t="s">
        <v>1481</v>
      </c>
      <c r="G214" s="349" t="s">
        <v>1482</v>
      </c>
      <c r="H214" s="350" t="s">
        <v>1483</v>
      </c>
      <c r="I214" s="357" t="s">
        <v>1484</v>
      </c>
      <c r="J214" s="350" t="s">
        <v>1485</v>
      </c>
      <c r="K214" s="349" t="s">
        <v>398</v>
      </c>
      <c r="L214" s="348"/>
      <c r="M214" s="348"/>
      <c r="N214" s="359" t="s">
        <v>1486</v>
      </c>
      <c r="O214" s="359" t="s">
        <v>1487</v>
      </c>
      <c r="P214" s="352" t="s">
        <v>2596</v>
      </c>
      <c r="Q214" s="352"/>
      <c r="R214" s="352"/>
      <c r="S214" s="352">
        <v>20</v>
      </c>
      <c r="T214" s="352">
        <f>$S214*DE_Cost!$B$1*8</f>
        <v>192</v>
      </c>
      <c r="U214" s="355">
        <f>$S214*DE_Cost!$B$1</f>
        <v>24</v>
      </c>
      <c r="V214" s="355"/>
      <c r="W214" s="355"/>
      <c r="X214" s="355">
        <f t="shared" si="10"/>
        <v>4</v>
      </c>
      <c r="Y214" s="355">
        <f t="shared" si="11"/>
        <v>80</v>
      </c>
      <c r="Z214" s="352" t="s">
        <v>42</v>
      </c>
      <c r="AA214" s="352"/>
      <c r="AB214" s="353"/>
      <c r="AC214" s="353"/>
      <c r="AD214" s="482"/>
      <c r="AE214" s="487">
        <f t="shared" si="12"/>
        <v>29248.354392745652</v>
      </c>
    </row>
    <row r="215" spans="1:31" ht="108">
      <c r="A215" s="376" t="s">
        <v>140</v>
      </c>
      <c r="B215" s="375" t="s">
        <v>1120</v>
      </c>
      <c r="C215" s="351" t="s">
        <v>1405</v>
      </c>
      <c r="D215" s="351" t="s">
        <v>1488</v>
      </c>
      <c r="E215" s="351" t="s">
        <v>1489</v>
      </c>
      <c r="F215" s="351" t="s">
        <v>1490</v>
      </c>
      <c r="G215" s="349" t="s">
        <v>1482</v>
      </c>
      <c r="H215" s="350" t="s">
        <v>1491</v>
      </c>
      <c r="I215" s="351" t="s">
        <v>1492</v>
      </c>
      <c r="J215" s="350"/>
      <c r="K215" s="349" t="s">
        <v>398</v>
      </c>
      <c r="L215" s="348"/>
      <c r="M215" s="348"/>
      <c r="N215" s="359" t="s">
        <v>1493</v>
      </c>
      <c r="O215" s="359" t="s">
        <v>1494</v>
      </c>
      <c r="P215" s="352" t="s">
        <v>2596</v>
      </c>
      <c r="Q215" s="352"/>
      <c r="R215" s="352"/>
      <c r="S215" s="352">
        <v>20</v>
      </c>
      <c r="T215" s="352">
        <f>$S215*DE_Cost!$B$1*8</f>
        <v>192</v>
      </c>
      <c r="U215" s="355">
        <f>$S215*DE_Cost!$B$1</f>
        <v>24</v>
      </c>
      <c r="V215" s="355"/>
      <c r="W215" s="355"/>
      <c r="X215" s="355">
        <f t="shared" si="10"/>
        <v>4</v>
      </c>
      <c r="Y215" s="355">
        <f t="shared" si="11"/>
        <v>80</v>
      </c>
      <c r="Z215" s="352" t="s">
        <v>42</v>
      </c>
      <c r="AA215" s="352"/>
      <c r="AB215" s="353"/>
      <c r="AC215" s="353"/>
      <c r="AD215" s="482"/>
      <c r="AE215" s="487">
        <f t="shared" si="12"/>
        <v>29248.354392745652</v>
      </c>
    </row>
    <row r="216" spans="1:31" ht="108">
      <c r="A216" s="376" t="s">
        <v>140</v>
      </c>
      <c r="B216" s="375" t="s">
        <v>1120</v>
      </c>
      <c r="C216" s="351" t="s">
        <v>1405</v>
      </c>
      <c r="D216" s="351" t="s">
        <v>1495</v>
      </c>
      <c r="E216" s="351" t="s">
        <v>1496</v>
      </c>
      <c r="F216" s="351" t="s">
        <v>1497</v>
      </c>
      <c r="G216" s="349"/>
      <c r="H216" s="350" t="s">
        <v>1498</v>
      </c>
      <c r="I216" s="351" t="s">
        <v>1499</v>
      </c>
      <c r="J216" s="350"/>
      <c r="K216" s="349"/>
      <c r="L216" s="348"/>
      <c r="M216" s="348"/>
      <c r="N216" s="359" t="s">
        <v>1500</v>
      </c>
      <c r="O216" s="359" t="s">
        <v>1499</v>
      </c>
      <c r="P216" s="352" t="s">
        <v>2596</v>
      </c>
      <c r="Q216" s="352"/>
      <c r="R216" s="352"/>
      <c r="S216" s="352">
        <v>30</v>
      </c>
      <c r="T216" s="352">
        <f>$S216*DE_Cost!$B$1*8</f>
        <v>288</v>
      </c>
      <c r="U216" s="355">
        <f>$S216*DE_Cost!$B$1</f>
        <v>36</v>
      </c>
      <c r="V216" s="355"/>
      <c r="W216" s="355"/>
      <c r="X216" s="355">
        <f t="shared" si="10"/>
        <v>4</v>
      </c>
      <c r="Y216" s="355">
        <f t="shared" si="11"/>
        <v>120</v>
      </c>
      <c r="Z216" s="352" t="s">
        <v>150</v>
      </c>
      <c r="AA216" s="352" t="s">
        <v>1501</v>
      </c>
      <c r="AB216" s="353"/>
      <c r="AC216" s="353"/>
      <c r="AD216" s="482"/>
      <c r="AE216" s="487">
        <f t="shared" si="12"/>
        <v>43872.531589118473</v>
      </c>
    </row>
    <row r="217" spans="1:31" ht="60" customHeight="1">
      <c r="A217" s="376" t="s">
        <v>140</v>
      </c>
      <c r="B217" s="375" t="s">
        <v>1120</v>
      </c>
      <c r="C217" s="351" t="s">
        <v>1405</v>
      </c>
      <c r="D217" s="351" t="s">
        <v>1502</v>
      </c>
      <c r="E217" s="351" t="s">
        <v>1503</v>
      </c>
      <c r="F217" s="351" t="s">
        <v>1504</v>
      </c>
      <c r="G217" s="349" t="s">
        <v>1505</v>
      </c>
      <c r="H217" s="350" t="s">
        <v>1506</v>
      </c>
      <c r="I217" s="351" t="s">
        <v>1507</v>
      </c>
      <c r="J217" s="350"/>
      <c r="K217" s="349" t="s">
        <v>398</v>
      </c>
      <c r="L217" s="348"/>
      <c r="M217" s="348"/>
      <c r="N217" s="359"/>
      <c r="O217" s="359"/>
      <c r="P217" s="352" t="s">
        <v>2596</v>
      </c>
      <c r="Q217" s="352"/>
      <c r="R217" s="352"/>
      <c r="S217" s="352">
        <v>20</v>
      </c>
      <c r="T217" s="352">
        <f>$S217*DE_Cost!$B$1*8</f>
        <v>192</v>
      </c>
      <c r="U217" s="355">
        <f>$S217*DE_Cost!$B$1</f>
        <v>24</v>
      </c>
      <c r="V217" s="355"/>
      <c r="W217" s="355"/>
      <c r="X217" s="355">
        <f t="shared" si="10"/>
        <v>4</v>
      </c>
      <c r="Y217" s="355">
        <f t="shared" si="11"/>
        <v>80</v>
      </c>
      <c r="Z217" s="352" t="s">
        <v>42</v>
      </c>
      <c r="AA217" s="352"/>
      <c r="AB217" s="353"/>
      <c r="AC217" s="353"/>
      <c r="AD217" s="482"/>
      <c r="AE217" s="487">
        <f t="shared" si="12"/>
        <v>29248.354392745652</v>
      </c>
    </row>
    <row r="218" spans="1:31" ht="324">
      <c r="A218" s="376" t="s">
        <v>140</v>
      </c>
      <c r="B218" s="375" t="s">
        <v>1120</v>
      </c>
      <c r="C218" s="351" t="s">
        <v>1405</v>
      </c>
      <c r="D218" s="357" t="s">
        <v>1508</v>
      </c>
      <c r="E218" s="357" t="s">
        <v>1509</v>
      </c>
      <c r="F218" s="357" t="s">
        <v>1510</v>
      </c>
      <c r="G218" s="349" t="s">
        <v>137</v>
      </c>
      <c r="H218" s="350" t="s">
        <v>1511</v>
      </c>
      <c r="I218" s="357" t="s">
        <v>1512</v>
      </c>
      <c r="J218" s="350" t="s">
        <v>1513</v>
      </c>
      <c r="K218" s="349" t="s">
        <v>139</v>
      </c>
      <c r="L218" s="348" t="s">
        <v>1514</v>
      </c>
      <c r="M218" s="348"/>
      <c r="N218" s="359" t="s">
        <v>1515</v>
      </c>
      <c r="O218" s="359" t="s">
        <v>1512</v>
      </c>
      <c r="P218" s="352" t="s">
        <v>2596</v>
      </c>
      <c r="Q218" s="352"/>
      <c r="R218" s="352"/>
      <c r="S218" s="352">
        <v>60</v>
      </c>
      <c r="T218" s="352">
        <f>$S218*DE_Cost!$B$1*8</f>
        <v>576</v>
      </c>
      <c r="U218" s="355">
        <f>$S218*DE_Cost!$B$1</f>
        <v>72</v>
      </c>
      <c r="V218" s="355"/>
      <c r="W218" s="355"/>
      <c r="X218" s="355">
        <f t="shared" si="10"/>
        <v>4</v>
      </c>
      <c r="Y218" s="355">
        <f t="shared" si="11"/>
        <v>240</v>
      </c>
      <c r="Z218" s="352" t="s">
        <v>150</v>
      </c>
      <c r="AA218" s="352" t="s">
        <v>1516</v>
      </c>
      <c r="AB218" s="353"/>
      <c r="AC218" s="353"/>
      <c r="AD218" s="482"/>
      <c r="AE218" s="487">
        <f t="shared" si="12"/>
        <v>87745.063178236946</v>
      </c>
    </row>
    <row r="219" spans="1:31" ht="216">
      <c r="A219" s="376" t="s">
        <v>140</v>
      </c>
      <c r="B219" s="375" t="s">
        <v>1120</v>
      </c>
      <c r="C219" s="351" t="s">
        <v>1405</v>
      </c>
      <c r="D219" s="357" t="s">
        <v>1517</v>
      </c>
      <c r="E219" s="357" t="s">
        <v>1518</v>
      </c>
      <c r="F219" s="357" t="s">
        <v>1519</v>
      </c>
      <c r="G219" s="349" t="s">
        <v>137</v>
      </c>
      <c r="H219" s="350" t="s">
        <v>1520</v>
      </c>
      <c r="I219" s="357" t="s">
        <v>1521</v>
      </c>
      <c r="J219" s="350"/>
      <c r="K219" s="349" t="s">
        <v>139</v>
      </c>
      <c r="L219" s="348"/>
      <c r="M219" s="348"/>
      <c r="N219" s="359" t="s">
        <v>1522</v>
      </c>
      <c r="O219" s="359" t="s">
        <v>1523</v>
      </c>
      <c r="P219" s="352" t="s">
        <v>2595</v>
      </c>
      <c r="Q219" s="352"/>
      <c r="R219" s="352"/>
      <c r="S219" s="352">
        <v>60</v>
      </c>
      <c r="T219" s="352">
        <f>$S219*DE_Cost!$B$1*8</f>
        <v>576</v>
      </c>
      <c r="U219" s="355">
        <f>$S219*DE_Cost!$B$1</f>
        <v>72</v>
      </c>
      <c r="V219" s="355"/>
      <c r="W219" s="355"/>
      <c r="X219" s="355">
        <f t="shared" si="10"/>
        <v>7</v>
      </c>
      <c r="Y219" s="355">
        <f t="shared" si="11"/>
        <v>420</v>
      </c>
      <c r="Z219" s="352" t="s">
        <v>150</v>
      </c>
      <c r="AA219" s="352" t="s">
        <v>1516</v>
      </c>
      <c r="AB219" s="353"/>
      <c r="AC219" s="353"/>
      <c r="AD219" s="482"/>
      <c r="AE219" s="487">
        <f t="shared" si="12"/>
        <v>153553.86056191468</v>
      </c>
    </row>
    <row r="220" spans="1:31" ht="126">
      <c r="A220" s="376" t="s">
        <v>140</v>
      </c>
      <c r="B220" s="375" t="s">
        <v>1120</v>
      </c>
      <c r="C220" s="357" t="s">
        <v>1405</v>
      </c>
      <c r="D220" s="357" t="s">
        <v>1524</v>
      </c>
      <c r="E220" s="357" t="s">
        <v>1525</v>
      </c>
      <c r="F220" s="357" t="s">
        <v>1526</v>
      </c>
      <c r="G220" s="349" t="s">
        <v>1320</v>
      </c>
      <c r="H220" s="350" t="s">
        <v>1527</v>
      </c>
      <c r="I220" s="357" t="s">
        <v>1528</v>
      </c>
      <c r="J220" s="350"/>
      <c r="K220" s="349"/>
      <c r="L220" s="348"/>
      <c r="M220" s="348"/>
      <c r="N220" s="359" t="s">
        <v>1529</v>
      </c>
      <c r="O220" s="359" t="s">
        <v>1528</v>
      </c>
      <c r="P220" s="352" t="s">
        <v>2597</v>
      </c>
      <c r="Q220" s="352"/>
      <c r="R220" s="352"/>
      <c r="S220" s="352">
        <v>60</v>
      </c>
      <c r="T220" s="352">
        <f>$S220*DE_Cost!$B$1*8</f>
        <v>576</v>
      </c>
      <c r="U220" s="355">
        <f>$S220*DE_Cost!$B$1</f>
        <v>72</v>
      </c>
      <c r="V220" s="355"/>
      <c r="W220" s="355"/>
      <c r="X220" s="355">
        <f t="shared" si="10"/>
        <v>6</v>
      </c>
      <c r="Y220" s="355">
        <f t="shared" si="11"/>
        <v>360</v>
      </c>
      <c r="Z220" s="352" t="s">
        <v>150</v>
      </c>
      <c r="AA220" s="352" t="s">
        <v>1530</v>
      </c>
      <c r="AB220" s="353"/>
      <c r="AC220" s="353"/>
      <c r="AD220" s="482"/>
      <c r="AE220" s="487">
        <f t="shared" si="12"/>
        <v>131617.59476735545</v>
      </c>
    </row>
    <row r="221" spans="1:31" ht="72">
      <c r="A221" s="368" t="s">
        <v>140</v>
      </c>
      <c r="B221" s="367" t="s">
        <v>1120</v>
      </c>
      <c r="C221" s="357" t="s">
        <v>1405</v>
      </c>
      <c r="D221" s="357" t="s">
        <v>1531</v>
      </c>
      <c r="E221" s="357" t="s">
        <v>1532</v>
      </c>
      <c r="F221" s="357" t="s">
        <v>1533</v>
      </c>
      <c r="G221" s="349" t="s">
        <v>1179</v>
      </c>
      <c r="H221" s="350" t="s">
        <v>1534</v>
      </c>
      <c r="I221" s="357" t="s">
        <v>1535</v>
      </c>
      <c r="J221" s="350"/>
      <c r="K221" s="349"/>
      <c r="L221" s="348"/>
      <c r="M221" s="348"/>
      <c r="N221" s="359" t="s">
        <v>1536</v>
      </c>
      <c r="O221" s="359" t="s">
        <v>1535</v>
      </c>
      <c r="P221" s="352" t="s">
        <v>2596</v>
      </c>
      <c r="Q221" s="352"/>
      <c r="R221" s="352"/>
      <c r="S221" s="352">
        <v>20</v>
      </c>
      <c r="T221" s="352">
        <f>$S221*DE_Cost!$B$1*8</f>
        <v>192</v>
      </c>
      <c r="U221" s="355">
        <f>$S221*DE_Cost!$B$1</f>
        <v>24</v>
      </c>
      <c r="V221" s="355"/>
      <c r="W221" s="355"/>
      <c r="X221" s="355">
        <f t="shared" si="10"/>
        <v>4</v>
      </c>
      <c r="Y221" s="355">
        <f t="shared" si="11"/>
        <v>80</v>
      </c>
      <c r="Z221" s="352" t="s">
        <v>42</v>
      </c>
      <c r="AA221" s="352"/>
      <c r="AB221" s="353"/>
      <c r="AC221" s="353"/>
      <c r="AD221" s="482"/>
      <c r="AE221" s="487">
        <f t="shared" si="12"/>
        <v>29248.354392745652</v>
      </c>
    </row>
    <row r="222" spans="1:31" ht="409.6">
      <c r="A222" s="368" t="s">
        <v>140</v>
      </c>
      <c r="B222" s="367" t="s">
        <v>1120</v>
      </c>
      <c r="C222" s="357" t="s">
        <v>1405</v>
      </c>
      <c r="D222" s="351" t="s">
        <v>1537</v>
      </c>
      <c r="E222" s="351" t="s">
        <v>1538</v>
      </c>
      <c r="F222" s="351" t="s">
        <v>1539</v>
      </c>
      <c r="G222" s="349" t="s">
        <v>239</v>
      </c>
      <c r="H222" s="350" t="s">
        <v>1540</v>
      </c>
      <c r="I222" s="351" t="s">
        <v>1541</v>
      </c>
      <c r="J222" s="350" t="s">
        <v>1542</v>
      </c>
      <c r="K222" s="349" t="s">
        <v>318</v>
      </c>
      <c r="L222" s="348" t="s">
        <v>1543</v>
      </c>
      <c r="M222" s="348"/>
      <c r="N222" s="359" t="s">
        <v>1544</v>
      </c>
      <c r="O222" s="359" t="s">
        <v>1541</v>
      </c>
      <c r="P222" s="352" t="s">
        <v>2596</v>
      </c>
      <c r="Q222" s="352"/>
      <c r="R222" s="352"/>
      <c r="S222" s="352">
        <v>30</v>
      </c>
      <c r="T222" s="352">
        <f>$S222*DE_Cost!$B$1*8</f>
        <v>288</v>
      </c>
      <c r="U222" s="355">
        <f>$S222*DE_Cost!$B$1</f>
        <v>36</v>
      </c>
      <c r="V222" s="355"/>
      <c r="W222" s="355"/>
      <c r="X222" s="355">
        <f t="shared" si="10"/>
        <v>4</v>
      </c>
      <c r="Y222" s="355">
        <f t="shared" si="11"/>
        <v>120</v>
      </c>
      <c r="Z222" s="352" t="s">
        <v>42</v>
      </c>
      <c r="AA222" s="352"/>
      <c r="AB222" s="353"/>
      <c r="AC222" s="353"/>
      <c r="AD222" s="482"/>
      <c r="AE222" s="487">
        <f t="shared" si="12"/>
        <v>43872.531589118473</v>
      </c>
    </row>
    <row r="223" spans="1:31" ht="377" hidden="1">
      <c r="A223" s="368" t="s">
        <v>140</v>
      </c>
      <c r="B223" s="367" t="s">
        <v>1120</v>
      </c>
      <c r="C223" s="357" t="s">
        <v>1405</v>
      </c>
      <c r="D223" s="351" t="s">
        <v>1545</v>
      </c>
      <c r="E223" s="351" t="s">
        <v>1546</v>
      </c>
      <c r="F223" s="351" t="s">
        <v>1547</v>
      </c>
      <c r="G223" s="349" t="s">
        <v>1548</v>
      </c>
      <c r="H223" s="350" t="s">
        <v>1549</v>
      </c>
      <c r="I223" s="351" t="s">
        <v>1550</v>
      </c>
      <c r="J223" s="350" t="s">
        <v>1551</v>
      </c>
      <c r="K223" s="349"/>
      <c r="L223" s="348"/>
      <c r="M223" s="348"/>
      <c r="N223" s="359"/>
      <c r="O223" s="359"/>
      <c r="P223" s="352"/>
      <c r="Q223" s="352"/>
      <c r="R223" s="352"/>
      <c r="S223" s="352"/>
      <c r="T223" s="352"/>
      <c r="U223" s="355"/>
      <c r="V223" s="355"/>
      <c r="W223" s="355"/>
      <c r="X223" s="355">
        <f t="shared" si="10"/>
        <v>0</v>
      </c>
      <c r="Y223" s="355">
        <f t="shared" si="11"/>
        <v>0</v>
      </c>
      <c r="Z223" s="352" t="s">
        <v>42</v>
      </c>
      <c r="AA223" s="352"/>
      <c r="AB223" s="353"/>
      <c r="AC223" s="353"/>
      <c r="AD223" s="482"/>
      <c r="AE223" s="487">
        <f t="shared" si="12"/>
        <v>0</v>
      </c>
    </row>
    <row r="224" spans="1:31" ht="72">
      <c r="A224" s="368" t="s">
        <v>140</v>
      </c>
      <c r="B224" s="367" t="s">
        <v>1120</v>
      </c>
      <c r="C224" s="357" t="s">
        <v>1405</v>
      </c>
      <c r="D224" s="357" t="s">
        <v>1552</v>
      </c>
      <c r="E224" s="357" t="s">
        <v>1553</v>
      </c>
      <c r="F224" s="357" t="s">
        <v>1554</v>
      </c>
      <c r="G224" s="349" t="s">
        <v>137</v>
      </c>
      <c r="H224" s="350" t="s">
        <v>1555</v>
      </c>
      <c r="I224" s="357" t="s">
        <v>1556</v>
      </c>
      <c r="J224" s="350"/>
      <c r="K224" s="349" t="s">
        <v>139</v>
      </c>
      <c r="L224" s="348"/>
      <c r="M224" s="348"/>
      <c r="N224" s="359" t="s">
        <v>1557</v>
      </c>
      <c r="O224" s="359" t="s">
        <v>1558</v>
      </c>
      <c r="P224" s="352" t="s">
        <v>2596</v>
      </c>
      <c r="Q224" s="352"/>
      <c r="R224" s="352"/>
      <c r="S224" s="352">
        <v>20</v>
      </c>
      <c r="T224" s="352">
        <f>$S224*DE_Cost!$B$1*8</f>
        <v>192</v>
      </c>
      <c r="U224" s="355">
        <f>$S224*DE_Cost!$B$1</f>
        <v>24</v>
      </c>
      <c r="V224" s="355"/>
      <c r="W224" s="355"/>
      <c r="X224" s="355">
        <f t="shared" si="10"/>
        <v>4</v>
      </c>
      <c r="Y224" s="355">
        <f t="shared" si="11"/>
        <v>80</v>
      </c>
      <c r="Z224" s="352" t="s">
        <v>42</v>
      </c>
      <c r="AA224" s="352"/>
      <c r="AB224" s="353"/>
      <c r="AC224" s="353"/>
      <c r="AD224" s="482"/>
      <c r="AE224" s="487">
        <f t="shared" si="12"/>
        <v>29248.354392745652</v>
      </c>
    </row>
    <row r="225" spans="1:31" ht="216">
      <c r="A225" s="368" t="s">
        <v>140</v>
      </c>
      <c r="B225" s="367" t="s">
        <v>1120</v>
      </c>
      <c r="C225" s="357" t="s">
        <v>1405</v>
      </c>
      <c r="D225" s="357" t="s">
        <v>1559</v>
      </c>
      <c r="E225" s="357" t="s">
        <v>1560</v>
      </c>
      <c r="F225" s="357" t="s">
        <v>1561</v>
      </c>
      <c r="G225" s="349" t="s">
        <v>1562</v>
      </c>
      <c r="H225" s="350" t="s">
        <v>1563</v>
      </c>
      <c r="I225" s="357" t="s">
        <v>1564</v>
      </c>
      <c r="J225" s="350" t="s">
        <v>1565</v>
      </c>
      <c r="K225" s="349" t="s">
        <v>1566</v>
      </c>
      <c r="L225" s="348"/>
      <c r="M225" s="348"/>
      <c r="N225" s="359" t="s">
        <v>1567</v>
      </c>
      <c r="O225" s="359" t="s">
        <v>1564</v>
      </c>
      <c r="P225" s="352" t="s">
        <v>2596</v>
      </c>
      <c r="Q225" s="352"/>
      <c r="R225" s="352"/>
      <c r="S225" s="352">
        <v>20</v>
      </c>
      <c r="T225" s="352">
        <f>$S225*DE_Cost!$B$1*8</f>
        <v>192</v>
      </c>
      <c r="U225" s="355">
        <f>$S225*DE_Cost!$B$1</f>
        <v>24</v>
      </c>
      <c r="V225" s="355"/>
      <c r="W225" s="355"/>
      <c r="X225" s="355">
        <f t="shared" si="10"/>
        <v>4</v>
      </c>
      <c r="Y225" s="355">
        <f t="shared" si="11"/>
        <v>80</v>
      </c>
      <c r="Z225" s="352" t="s">
        <v>42</v>
      </c>
      <c r="AA225" s="352"/>
      <c r="AB225" s="353"/>
      <c r="AC225" s="353"/>
      <c r="AD225" s="482"/>
      <c r="AE225" s="487">
        <f t="shared" si="12"/>
        <v>29248.354392745652</v>
      </c>
    </row>
    <row r="226" spans="1:31" ht="409.6">
      <c r="A226" s="368" t="s">
        <v>140</v>
      </c>
      <c r="B226" s="367" t="s">
        <v>1120</v>
      </c>
      <c r="C226" s="357" t="s">
        <v>1405</v>
      </c>
      <c r="D226" s="357" t="s">
        <v>1568</v>
      </c>
      <c r="E226" s="357" t="s">
        <v>1569</v>
      </c>
      <c r="F226" s="357" t="s">
        <v>1570</v>
      </c>
      <c r="G226" s="349" t="s">
        <v>1571</v>
      </c>
      <c r="H226" s="372" t="s">
        <v>1572</v>
      </c>
      <c r="I226" s="357" t="s">
        <v>1573</v>
      </c>
      <c r="J226" s="350" t="s">
        <v>1574</v>
      </c>
      <c r="K226" s="349" t="s">
        <v>1571</v>
      </c>
      <c r="L226" s="348"/>
      <c r="M226" s="348"/>
      <c r="N226" s="359" t="s">
        <v>1575</v>
      </c>
      <c r="O226" s="359" t="s">
        <v>1573</v>
      </c>
      <c r="P226" s="352" t="s">
        <v>2596</v>
      </c>
      <c r="Q226" s="352"/>
      <c r="R226" s="352"/>
      <c r="S226" s="352">
        <v>20</v>
      </c>
      <c r="T226" s="352">
        <f>$S226*DE_Cost!$B$1*8</f>
        <v>192</v>
      </c>
      <c r="U226" s="355">
        <f>$S226*DE_Cost!$B$1</f>
        <v>24</v>
      </c>
      <c r="V226" s="355"/>
      <c r="W226" s="355"/>
      <c r="X226" s="355">
        <f t="shared" si="10"/>
        <v>4</v>
      </c>
      <c r="Y226" s="355">
        <f t="shared" si="11"/>
        <v>80</v>
      </c>
      <c r="Z226" s="352" t="s">
        <v>42</v>
      </c>
      <c r="AA226" s="352"/>
      <c r="AB226" s="353"/>
      <c r="AC226" s="353"/>
      <c r="AD226" s="482"/>
      <c r="AE226" s="487">
        <f t="shared" si="12"/>
        <v>29248.354392745652</v>
      </c>
    </row>
    <row r="227" spans="1:31" ht="126">
      <c r="A227" s="368" t="s">
        <v>140</v>
      </c>
      <c r="B227" s="367" t="s">
        <v>1120</v>
      </c>
      <c r="C227" s="351" t="s">
        <v>1405</v>
      </c>
      <c r="D227" s="357" t="s">
        <v>1576</v>
      </c>
      <c r="E227" s="357" t="s">
        <v>1577</v>
      </c>
      <c r="F227" s="357" t="s">
        <v>1578</v>
      </c>
      <c r="G227" s="349" t="s">
        <v>1579</v>
      </c>
      <c r="H227" s="350" t="s">
        <v>1580</v>
      </c>
      <c r="I227" s="357" t="s">
        <v>1581</v>
      </c>
      <c r="J227" s="350"/>
      <c r="K227" s="349"/>
      <c r="L227" s="348"/>
      <c r="M227" s="348"/>
      <c r="N227" s="359" t="s">
        <v>1582</v>
      </c>
      <c r="O227" s="359" t="s">
        <v>1581</v>
      </c>
      <c r="P227" s="352" t="s">
        <v>2597</v>
      </c>
      <c r="Q227" s="352"/>
      <c r="R227" s="352"/>
      <c r="S227" s="352">
        <v>20</v>
      </c>
      <c r="T227" s="352">
        <f>$S227*DE_Cost!$B$1*8</f>
        <v>192</v>
      </c>
      <c r="U227" s="355">
        <f>$S227*DE_Cost!$B$1</f>
        <v>24</v>
      </c>
      <c r="V227" s="355"/>
      <c r="W227" s="355"/>
      <c r="X227" s="355">
        <f t="shared" si="10"/>
        <v>6</v>
      </c>
      <c r="Y227" s="355">
        <f t="shared" si="11"/>
        <v>120</v>
      </c>
      <c r="Z227" s="352" t="s">
        <v>150</v>
      </c>
      <c r="AA227" s="352" t="s">
        <v>1583</v>
      </c>
      <c r="AB227" s="353"/>
      <c r="AC227" s="353"/>
      <c r="AD227" s="482"/>
      <c r="AE227" s="487">
        <f t="shared" si="12"/>
        <v>43872.531589118473</v>
      </c>
    </row>
    <row r="228" spans="1:31" ht="126">
      <c r="A228" s="368" t="s">
        <v>140</v>
      </c>
      <c r="B228" s="367" t="s">
        <v>1584</v>
      </c>
      <c r="C228" s="351" t="s">
        <v>1585</v>
      </c>
      <c r="D228" s="351" t="s">
        <v>1586</v>
      </c>
      <c r="E228" s="351" t="s">
        <v>1587</v>
      </c>
      <c r="F228" s="351" t="s">
        <v>1588</v>
      </c>
      <c r="G228" s="349" t="s">
        <v>174</v>
      </c>
      <c r="H228" s="350" t="s">
        <v>1589</v>
      </c>
      <c r="I228" s="351" t="s">
        <v>1590</v>
      </c>
      <c r="J228" s="350"/>
      <c r="K228" s="349" t="s">
        <v>283</v>
      </c>
      <c r="L228" s="348"/>
      <c r="M228" s="348"/>
      <c r="N228" s="359" t="s">
        <v>1591</v>
      </c>
      <c r="O228" s="359" t="s">
        <v>1592</v>
      </c>
      <c r="P228" s="352" t="s">
        <v>2597</v>
      </c>
      <c r="Q228" s="352"/>
      <c r="R228" s="352"/>
      <c r="S228" s="352">
        <v>10</v>
      </c>
      <c r="T228" s="352">
        <f>$S228*DE_Cost!$B$1*8</f>
        <v>96</v>
      </c>
      <c r="U228" s="355">
        <f>$S228*DE_Cost!$B$1</f>
        <v>12</v>
      </c>
      <c r="V228" s="355"/>
      <c r="W228" s="355"/>
      <c r="X228" s="355">
        <f t="shared" si="10"/>
        <v>6</v>
      </c>
      <c r="Y228" s="355">
        <f t="shared" si="11"/>
        <v>60</v>
      </c>
      <c r="Z228" s="352" t="s">
        <v>150</v>
      </c>
      <c r="AA228" s="352" t="s">
        <v>1593</v>
      </c>
      <c r="AB228" s="353"/>
      <c r="AC228" s="353"/>
      <c r="AD228" s="482"/>
      <c r="AE228" s="487">
        <f t="shared" si="12"/>
        <v>21936.265794559236</v>
      </c>
    </row>
    <row r="229" spans="1:31" ht="126">
      <c r="A229" s="368" t="s">
        <v>140</v>
      </c>
      <c r="B229" s="367" t="s">
        <v>1584</v>
      </c>
      <c r="C229" s="357" t="s">
        <v>1594</v>
      </c>
      <c r="D229" s="357" t="s">
        <v>1595</v>
      </c>
      <c r="E229" s="357" t="s">
        <v>1596</v>
      </c>
      <c r="F229" s="357" t="s">
        <v>1597</v>
      </c>
      <c r="G229" s="349" t="s">
        <v>174</v>
      </c>
      <c r="H229" s="350" t="s">
        <v>1598</v>
      </c>
      <c r="I229" s="357" t="s">
        <v>1597</v>
      </c>
      <c r="J229" s="350"/>
      <c r="K229" s="349" t="s">
        <v>283</v>
      </c>
      <c r="L229" s="348"/>
      <c r="M229" s="348"/>
      <c r="N229" s="359" t="s">
        <v>1599</v>
      </c>
      <c r="O229" s="359" t="s">
        <v>1600</v>
      </c>
      <c r="P229" s="352" t="s">
        <v>2597</v>
      </c>
      <c r="Q229" s="352"/>
      <c r="R229" s="352"/>
      <c r="S229" s="352">
        <v>15</v>
      </c>
      <c r="T229" s="352">
        <f>$S229*DE_Cost!$B$1*8</f>
        <v>144</v>
      </c>
      <c r="U229" s="355">
        <f>$S229*DE_Cost!$B$1</f>
        <v>18</v>
      </c>
      <c r="V229" s="355"/>
      <c r="W229" s="355"/>
      <c r="X229" s="355">
        <f t="shared" ref="X229:X292" si="13">IF(TRIM(P229)="", 0, LEN(P229) - LEN(SUBSTITUTE(P229, "&amp;", "")) + 1)</f>
        <v>6</v>
      </c>
      <c r="Y229" s="355">
        <f t="shared" si="11"/>
        <v>90</v>
      </c>
      <c r="Z229" s="352" t="s">
        <v>150</v>
      </c>
      <c r="AA229" s="352" t="s">
        <v>1192</v>
      </c>
      <c r="AB229" s="353"/>
      <c r="AC229" s="353"/>
      <c r="AD229" s="482"/>
      <c r="AE229" s="487">
        <f t="shared" si="12"/>
        <v>32904.398691838862</v>
      </c>
    </row>
    <row r="230" spans="1:31" ht="54">
      <c r="A230" s="376" t="s">
        <v>140</v>
      </c>
      <c r="B230" s="367" t="s">
        <v>1584</v>
      </c>
      <c r="C230" s="357" t="s">
        <v>1594</v>
      </c>
      <c r="D230" s="357" t="s">
        <v>1601</v>
      </c>
      <c r="E230" s="357" t="s">
        <v>1602</v>
      </c>
      <c r="F230" s="357"/>
      <c r="G230" s="362" t="s">
        <v>174</v>
      </c>
      <c r="H230" s="361" t="s">
        <v>1603</v>
      </c>
      <c r="I230" s="357"/>
      <c r="J230" s="350"/>
      <c r="K230" s="360" t="s">
        <v>283</v>
      </c>
      <c r="L230" s="348"/>
      <c r="M230" s="348"/>
      <c r="N230" s="359" t="s">
        <v>1604</v>
      </c>
      <c r="O230" s="359"/>
      <c r="P230" s="352" t="s">
        <v>2596</v>
      </c>
      <c r="Q230" s="352"/>
      <c r="R230" s="352"/>
      <c r="S230" s="352">
        <v>5</v>
      </c>
      <c r="T230" s="352">
        <f>$S230*DE_Cost!$B$1*8</f>
        <v>48</v>
      </c>
      <c r="U230" s="355">
        <f>$S230*DE_Cost!$B$1</f>
        <v>6</v>
      </c>
      <c r="V230" s="355"/>
      <c r="W230" s="355"/>
      <c r="X230" s="355">
        <f t="shared" si="13"/>
        <v>4</v>
      </c>
      <c r="Y230" s="355">
        <f t="shared" ref="Y230:Y293" si="14">S230 * X230</f>
        <v>20</v>
      </c>
      <c r="Z230" s="352" t="s">
        <v>42</v>
      </c>
      <c r="AA230" s="352"/>
      <c r="AB230" s="353"/>
      <c r="AC230" s="353"/>
      <c r="AD230" s="482"/>
      <c r="AE230" s="487">
        <f t="shared" ref="AE230:AE293" si="15">(Y230 / $AE$2) * $AC$2</f>
        <v>7312.088598186413</v>
      </c>
    </row>
    <row r="231" spans="1:31" ht="108">
      <c r="A231" s="376" t="s">
        <v>140</v>
      </c>
      <c r="B231" s="367" t="s">
        <v>1584</v>
      </c>
      <c r="C231" s="357" t="s">
        <v>1594</v>
      </c>
      <c r="D231" s="356" t="s">
        <v>1605</v>
      </c>
      <c r="E231" s="357" t="s">
        <v>1606</v>
      </c>
      <c r="F231" s="383"/>
      <c r="G231" s="362" t="s">
        <v>1607</v>
      </c>
      <c r="H231" s="361" t="s">
        <v>1608</v>
      </c>
      <c r="I231" s="383"/>
      <c r="J231" s="350"/>
      <c r="K231" s="360" t="s">
        <v>283</v>
      </c>
      <c r="L231" s="348"/>
      <c r="M231" s="348"/>
      <c r="N231" s="359" t="s">
        <v>1609</v>
      </c>
      <c r="O231" s="359" t="s">
        <v>1610</v>
      </c>
      <c r="P231" s="352" t="s">
        <v>2596</v>
      </c>
      <c r="Q231" s="352"/>
      <c r="R231" s="352"/>
      <c r="S231" s="352">
        <v>8</v>
      </c>
      <c r="T231" s="352">
        <f>$S231*DE_Cost!$B$1*8</f>
        <v>76.8</v>
      </c>
      <c r="U231" s="355">
        <f>$S231*DE_Cost!$B$1</f>
        <v>9.6</v>
      </c>
      <c r="V231" s="355"/>
      <c r="W231" s="355"/>
      <c r="X231" s="355">
        <f t="shared" si="13"/>
        <v>4</v>
      </c>
      <c r="Y231" s="355">
        <f t="shared" si="14"/>
        <v>32</v>
      </c>
      <c r="Z231" s="352" t="s">
        <v>42</v>
      </c>
      <c r="AA231" s="352"/>
      <c r="AB231" s="353"/>
      <c r="AC231" s="353"/>
      <c r="AD231" s="482"/>
      <c r="AE231" s="487">
        <f t="shared" si="15"/>
        <v>11699.341757098262</v>
      </c>
    </row>
    <row r="232" spans="1:31" ht="180">
      <c r="A232" s="368" t="s">
        <v>140</v>
      </c>
      <c r="B232" s="367" t="s">
        <v>1584</v>
      </c>
      <c r="C232" s="357" t="s">
        <v>1594</v>
      </c>
      <c r="D232" s="351" t="s">
        <v>1611</v>
      </c>
      <c r="E232" s="351" t="s">
        <v>1612</v>
      </c>
      <c r="F232" s="351" t="s">
        <v>1613</v>
      </c>
      <c r="G232" s="349" t="s">
        <v>174</v>
      </c>
      <c r="H232" s="350" t="s">
        <v>1614</v>
      </c>
      <c r="I232" s="351" t="s">
        <v>1615</v>
      </c>
      <c r="J232" s="350" t="s">
        <v>1616</v>
      </c>
      <c r="K232" s="349" t="s">
        <v>283</v>
      </c>
      <c r="L232" s="348"/>
      <c r="M232" s="348"/>
      <c r="N232" s="359" t="s">
        <v>1617</v>
      </c>
      <c r="O232" s="359" t="s">
        <v>1618</v>
      </c>
      <c r="P232" s="352" t="s">
        <v>2596</v>
      </c>
      <c r="Q232" s="352"/>
      <c r="R232" s="352"/>
      <c r="S232" s="352">
        <v>10</v>
      </c>
      <c r="T232" s="352">
        <f>$S232*DE_Cost!$B$1*8</f>
        <v>96</v>
      </c>
      <c r="U232" s="355">
        <f>$S232*DE_Cost!$B$1</f>
        <v>12</v>
      </c>
      <c r="V232" s="355"/>
      <c r="W232" s="355"/>
      <c r="X232" s="355">
        <f t="shared" si="13"/>
        <v>4</v>
      </c>
      <c r="Y232" s="355">
        <f t="shared" si="14"/>
        <v>40</v>
      </c>
      <c r="Z232" s="352" t="s">
        <v>150</v>
      </c>
      <c r="AA232" s="352" t="s">
        <v>1619</v>
      </c>
      <c r="AB232" s="353"/>
      <c r="AC232" s="353"/>
      <c r="AD232" s="482"/>
      <c r="AE232" s="487">
        <f t="shared" si="15"/>
        <v>14624.177196372826</v>
      </c>
    </row>
    <row r="233" spans="1:31" ht="216">
      <c r="A233" s="376" t="s">
        <v>140</v>
      </c>
      <c r="B233" s="367" t="s">
        <v>1584</v>
      </c>
      <c r="C233" s="357" t="s">
        <v>1594</v>
      </c>
      <c r="D233" s="357" t="s">
        <v>1620</v>
      </c>
      <c r="E233" s="357" t="s">
        <v>1621</v>
      </c>
      <c r="F233" s="357" t="s">
        <v>1613</v>
      </c>
      <c r="G233" s="349" t="s">
        <v>174</v>
      </c>
      <c r="H233" s="361" t="s">
        <v>1622</v>
      </c>
      <c r="I233" s="357" t="s">
        <v>1615</v>
      </c>
      <c r="J233" s="350" t="s">
        <v>1623</v>
      </c>
      <c r="K233" s="349" t="s">
        <v>283</v>
      </c>
      <c r="L233" s="348"/>
      <c r="M233" s="348"/>
      <c r="N233" s="359" t="s">
        <v>1624</v>
      </c>
      <c r="O233" s="359" t="s">
        <v>1618</v>
      </c>
      <c r="P233" s="352" t="s">
        <v>2596</v>
      </c>
      <c r="Q233" s="352"/>
      <c r="R233" s="352"/>
      <c r="S233" s="352">
        <v>5</v>
      </c>
      <c r="T233" s="352">
        <f>$S233*DE_Cost!$B$1*8</f>
        <v>48</v>
      </c>
      <c r="U233" s="355">
        <f>$S233*DE_Cost!$B$1</f>
        <v>6</v>
      </c>
      <c r="V233" s="355"/>
      <c r="W233" s="355"/>
      <c r="X233" s="355">
        <f t="shared" si="13"/>
        <v>4</v>
      </c>
      <c r="Y233" s="355">
        <f t="shared" si="14"/>
        <v>20</v>
      </c>
      <c r="Z233" s="352" t="s">
        <v>42</v>
      </c>
      <c r="AA233" s="352"/>
      <c r="AB233" s="353"/>
      <c r="AC233" s="353"/>
      <c r="AD233" s="482"/>
      <c r="AE233" s="487">
        <f t="shared" si="15"/>
        <v>7312.088598186413</v>
      </c>
    </row>
    <row r="234" spans="1:31" ht="126">
      <c r="A234" s="376" t="s">
        <v>140</v>
      </c>
      <c r="B234" s="367" t="s">
        <v>1584</v>
      </c>
      <c r="C234" s="357" t="s">
        <v>1594</v>
      </c>
      <c r="D234" s="356" t="s">
        <v>1625</v>
      </c>
      <c r="E234" s="357" t="s">
        <v>1626</v>
      </c>
      <c r="F234" s="383" t="s">
        <v>1613</v>
      </c>
      <c r="G234" s="349" t="s">
        <v>174</v>
      </c>
      <c r="H234" s="361" t="s">
        <v>1627</v>
      </c>
      <c r="I234" s="357" t="s">
        <v>1628</v>
      </c>
      <c r="J234" s="350"/>
      <c r="K234" s="360" t="s">
        <v>318</v>
      </c>
      <c r="L234" s="348"/>
      <c r="M234" s="348"/>
      <c r="N234" s="359" t="s">
        <v>1629</v>
      </c>
      <c r="O234" s="359" t="s">
        <v>1630</v>
      </c>
      <c r="P234" s="352" t="s">
        <v>2596</v>
      </c>
      <c r="Q234" s="352"/>
      <c r="R234" s="352"/>
      <c r="S234" s="352">
        <v>10</v>
      </c>
      <c r="T234" s="352">
        <f>$S234*DE_Cost!$B$1*8</f>
        <v>96</v>
      </c>
      <c r="U234" s="355">
        <f>$S234*DE_Cost!$B$1</f>
        <v>12</v>
      </c>
      <c r="V234" s="355"/>
      <c r="W234" s="355"/>
      <c r="X234" s="355">
        <f t="shared" si="13"/>
        <v>4</v>
      </c>
      <c r="Y234" s="355">
        <f t="shared" si="14"/>
        <v>40</v>
      </c>
      <c r="Z234" s="352" t="s">
        <v>42</v>
      </c>
      <c r="AA234" s="352"/>
      <c r="AB234" s="353"/>
      <c r="AC234" s="353"/>
      <c r="AD234" s="482"/>
      <c r="AE234" s="487">
        <f t="shared" si="15"/>
        <v>14624.177196372826</v>
      </c>
    </row>
    <row r="235" spans="1:31" ht="324">
      <c r="A235" s="382" t="s">
        <v>140</v>
      </c>
      <c r="B235" s="381" t="s">
        <v>1584</v>
      </c>
      <c r="C235" s="380" t="s">
        <v>1594</v>
      </c>
      <c r="D235" s="380" t="s">
        <v>1631</v>
      </c>
      <c r="E235" s="380" t="s">
        <v>1632</v>
      </c>
      <c r="F235" s="380" t="s">
        <v>1633</v>
      </c>
      <c r="G235" s="378" t="s">
        <v>174</v>
      </c>
      <c r="H235" s="365" t="s">
        <v>1634</v>
      </c>
      <c r="I235" s="380" t="s">
        <v>1633</v>
      </c>
      <c r="J235" s="379" t="s">
        <v>1635</v>
      </c>
      <c r="K235" s="378" t="s">
        <v>283</v>
      </c>
      <c r="L235" s="377"/>
      <c r="M235" s="377"/>
      <c r="N235" s="359" t="s">
        <v>1636</v>
      </c>
      <c r="O235" s="359" t="s">
        <v>1637</v>
      </c>
      <c r="P235" s="352" t="s">
        <v>2596</v>
      </c>
      <c r="Q235" s="352"/>
      <c r="R235" s="352"/>
      <c r="S235" s="352">
        <v>5</v>
      </c>
      <c r="T235" s="352">
        <f>$S235*DE_Cost!$B$1*8</f>
        <v>48</v>
      </c>
      <c r="U235" s="355">
        <f>$S235*DE_Cost!$B$1</f>
        <v>6</v>
      </c>
      <c r="V235" s="355"/>
      <c r="W235" s="355"/>
      <c r="X235" s="355">
        <f t="shared" si="13"/>
        <v>4</v>
      </c>
      <c r="Y235" s="355">
        <f t="shared" si="14"/>
        <v>20</v>
      </c>
      <c r="Z235" s="352" t="s">
        <v>42</v>
      </c>
      <c r="AA235" s="352"/>
      <c r="AB235" s="353"/>
      <c r="AC235" s="353"/>
      <c r="AD235" s="482"/>
      <c r="AE235" s="487">
        <f t="shared" si="15"/>
        <v>7312.088598186413</v>
      </c>
    </row>
    <row r="236" spans="1:31" ht="360">
      <c r="A236" s="376" t="s">
        <v>140</v>
      </c>
      <c r="B236" s="375" t="s">
        <v>1584</v>
      </c>
      <c r="C236" s="351" t="s">
        <v>1594</v>
      </c>
      <c r="D236" s="357" t="s">
        <v>1638</v>
      </c>
      <c r="E236" s="357" t="s">
        <v>1639</v>
      </c>
      <c r="F236" s="357"/>
      <c r="G236" s="349" t="s">
        <v>174</v>
      </c>
      <c r="H236" s="372" t="s">
        <v>1640</v>
      </c>
      <c r="I236" s="357"/>
      <c r="J236" s="350" t="s">
        <v>1641</v>
      </c>
      <c r="K236" s="349" t="s">
        <v>283</v>
      </c>
      <c r="L236" s="348"/>
      <c r="M236" s="348"/>
      <c r="N236" s="359" t="s">
        <v>1642</v>
      </c>
      <c r="O236" s="349" t="s">
        <v>1643</v>
      </c>
      <c r="P236" s="352" t="s">
        <v>2596</v>
      </c>
      <c r="Q236" s="352"/>
      <c r="R236" s="352"/>
      <c r="S236" s="352">
        <v>15</v>
      </c>
      <c r="T236" s="352">
        <f>$S236*DE_Cost!$B$1*8</f>
        <v>144</v>
      </c>
      <c r="U236" s="355">
        <f>$S236*DE_Cost!$B$1</f>
        <v>18</v>
      </c>
      <c r="V236" s="355"/>
      <c r="W236" s="355"/>
      <c r="X236" s="355">
        <f t="shared" si="13"/>
        <v>4</v>
      </c>
      <c r="Y236" s="355">
        <f t="shared" si="14"/>
        <v>60</v>
      </c>
      <c r="Z236" s="352" t="s">
        <v>42</v>
      </c>
      <c r="AA236" s="352"/>
      <c r="AB236" s="353"/>
      <c r="AC236" s="353"/>
      <c r="AD236" s="482"/>
      <c r="AE236" s="487">
        <f t="shared" si="15"/>
        <v>21936.265794559236</v>
      </c>
    </row>
    <row r="237" spans="1:31" ht="409.6">
      <c r="A237" s="368" t="s">
        <v>140</v>
      </c>
      <c r="B237" s="367" t="s">
        <v>1584</v>
      </c>
      <c r="C237" s="357" t="s">
        <v>1594</v>
      </c>
      <c r="D237" s="357" t="s">
        <v>1644</v>
      </c>
      <c r="E237" s="357" t="s">
        <v>1645</v>
      </c>
      <c r="F237" s="357" t="s">
        <v>1646</v>
      </c>
      <c r="G237" s="349" t="s">
        <v>174</v>
      </c>
      <c r="H237" s="372" t="s">
        <v>1647</v>
      </c>
      <c r="I237" s="357" t="s">
        <v>1646</v>
      </c>
      <c r="J237" s="350" t="s">
        <v>1648</v>
      </c>
      <c r="K237" s="349" t="s">
        <v>283</v>
      </c>
      <c r="L237" s="348"/>
      <c r="M237" s="348"/>
      <c r="N237" s="359" t="s">
        <v>1649</v>
      </c>
      <c r="O237" s="359" t="s">
        <v>1650</v>
      </c>
      <c r="P237" s="352" t="s">
        <v>2596</v>
      </c>
      <c r="Q237" s="352"/>
      <c r="R237" s="352"/>
      <c r="S237" s="352">
        <v>15</v>
      </c>
      <c r="T237" s="352">
        <f>$S237*DE_Cost!$B$1*8</f>
        <v>144</v>
      </c>
      <c r="U237" s="355">
        <f>$S237*DE_Cost!$B$1</f>
        <v>18</v>
      </c>
      <c r="V237" s="355"/>
      <c r="W237" s="355"/>
      <c r="X237" s="355">
        <f t="shared" si="13"/>
        <v>4</v>
      </c>
      <c r="Y237" s="355">
        <f t="shared" si="14"/>
        <v>60</v>
      </c>
      <c r="Z237" s="352" t="s">
        <v>42</v>
      </c>
      <c r="AA237" s="352"/>
      <c r="AB237" s="353"/>
      <c r="AC237" s="353"/>
      <c r="AD237" s="482"/>
      <c r="AE237" s="487">
        <f t="shared" si="15"/>
        <v>21936.265794559236</v>
      </c>
    </row>
    <row r="238" spans="1:31" ht="108">
      <c r="A238" s="368" t="s">
        <v>140</v>
      </c>
      <c r="B238" s="367" t="s">
        <v>1584</v>
      </c>
      <c r="C238" s="357" t="s">
        <v>1594</v>
      </c>
      <c r="D238" s="357" t="s">
        <v>1651</v>
      </c>
      <c r="E238" s="357" t="s">
        <v>1652</v>
      </c>
      <c r="F238" s="357" t="s">
        <v>1653</v>
      </c>
      <c r="G238" s="349" t="s">
        <v>174</v>
      </c>
      <c r="H238" s="372" t="s">
        <v>1654</v>
      </c>
      <c r="I238" s="357" t="s">
        <v>1655</v>
      </c>
      <c r="J238" s="350"/>
      <c r="K238" s="349" t="s">
        <v>283</v>
      </c>
      <c r="L238" s="348"/>
      <c r="M238" s="348"/>
      <c r="N238" s="359" t="s">
        <v>1656</v>
      </c>
      <c r="O238" s="359"/>
      <c r="P238" s="352" t="s">
        <v>2596</v>
      </c>
      <c r="Q238" s="352"/>
      <c r="R238" s="352"/>
      <c r="S238" s="352">
        <v>10</v>
      </c>
      <c r="T238" s="352">
        <f>$S238*DE_Cost!$B$1*8</f>
        <v>96</v>
      </c>
      <c r="U238" s="355">
        <f>$S238*DE_Cost!$B$1</f>
        <v>12</v>
      </c>
      <c r="V238" s="355"/>
      <c r="W238" s="355"/>
      <c r="X238" s="355">
        <f t="shared" si="13"/>
        <v>4</v>
      </c>
      <c r="Y238" s="355">
        <f t="shared" si="14"/>
        <v>40</v>
      </c>
      <c r="Z238" s="352" t="s">
        <v>42</v>
      </c>
      <c r="AA238" s="352"/>
      <c r="AB238" s="353"/>
      <c r="AC238" s="353"/>
      <c r="AD238" s="482"/>
      <c r="AE238" s="487">
        <f t="shared" si="15"/>
        <v>14624.177196372826</v>
      </c>
    </row>
    <row r="239" spans="1:31" ht="108" hidden="1">
      <c r="A239" s="376" t="s">
        <v>140</v>
      </c>
      <c r="B239" s="367" t="s">
        <v>1584</v>
      </c>
      <c r="C239" s="357" t="s">
        <v>1594</v>
      </c>
      <c r="D239" s="351" t="s">
        <v>1657</v>
      </c>
      <c r="E239" s="351" t="s">
        <v>1658</v>
      </c>
      <c r="F239" s="351" t="s">
        <v>1659</v>
      </c>
      <c r="G239" s="349" t="s">
        <v>174</v>
      </c>
      <c r="H239" s="350" t="s">
        <v>1660</v>
      </c>
      <c r="I239" s="351" t="s">
        <v>1659</v>
      </c>
      <c r="J239" s="350"/>
      <c r="K239" s="349" t="s">
        <v>346</v>
      </c>
      <c r="L239" s="348"/>
      <c r="M239" s="348"/>
      <c r="N239" s="359"/>
      <c r="O239" s="359"/>
      <c r="P239" s="352"/>
      <c r="Q239" s="352"/>
      <c r="R239" s="352"/>
      <c r="S239" s="352"/>
      <c r="T239" s="352"/>
      <c r="U239" s="355"/>
      <c r="V239" s="355"/>
      <c r="W239" s="355"/>
      <c r="X239" s="355">
        <f t="shared" si="13"/>
        <v>0</v>
      </c>
      <c r="Y239" s="355">
        <f t="shared" si="14"/>
        <v>0</v>
      </c>
      <c r="Z239" s="352" t="s">
        <v>42</v>
      </c>
      <c r="AA239" s="352"/>
      <c r="AB239" s="353"/>
      <c r="AC239" s="353"/>
      <c r="AD239" s="482"/>
      <c r="AE239" s="487">
        <f t="shared" si="15"/>
        <v>0</v>
      </c>
    </row>
    <row r="240" spans="1:31" ht="409.6">
      <c r="A240" s="368" t="s">
        <v>140</v>
      </c>
      <c r="B240" s="367" t="s">
        <v>1584</v>
      </c>
      <c r="C240" s="357" t="s">
        <v>1594</v>
      </c>
      <c r="D240" s="357" t="s">
        <v>1661</v>
      </c>
      <c r="E240" s="357" t="s">
        <v>1662</v>
      </c>
      <c r="F240" s="357" t="s">
        <v>1663</v>
      </c>
      <c r="G240" s="349" t="s">
        <v>174</v>
      </c>
      <c r="H240" s="350" t="s">
        <v>1664</v>
      </c>
      <c r="I240" s="357" t="s">
        <v>1665</v>
      </c>
      <c r="J240" s="350" t="s">
        <v>1666</v>
      </c>
      <c r="K240" s="349" t="s">
        <v>283</v>
      </c>
      <c r="L240" s="348"/>
      <c r="M240" s="348"/>
      <c r="N240" s="359" t="s">
        <v>1667</v>
      </c>
      <c r="O240" s="359" t="s">
        <v>1668</v>
      </c>
      <c r="P240" s="352" t="s">
        <v>2596</v>
      </c>
      <c r="Q240" s="352"/>
      <c r="R240" s="352"/>
      <c r="S240" s="352">
        <v>10</v>
      </c>
      <c r="T240" s="352">
        <f>$S240*DE_Cost!$B$1*8</f>
        <v>96</v>
      </c>
      <c r="U240" s="355">
        <f>$S240*DE_Cost!$B$1</f>
        <v>12</v>
      </c>
      <c r="V240" s="355"/>
      <c r="W240" s="355"/>
      <c r="X240" s="355">
        <f t="shared" si="13"/>
        <v>4</v>
      </c>
      <c r="Y240" s="355">
        <f t="shared" si="14"/>
        <v>40</v>
      </c>
      <c r="Z240" s="352" t="s">
        <v>42</v>
      </c>
      <c r="AA240" s="352"/>
      <c r="AB240" s="353"/>
      <c r="AC240" s="353"/>
      <c r="AD240" s="482"/>
      <c r="AE240" s="487">
        <f t="shared" si="15"/>
        <v>14624.177196372826</v>
      </c>
    </row>
    <row r="241" spans="1:31" ht="144">
      <c r="A241" s="368" t="s">
        <v>140</v>
      </c>
      <c r="B241" s="367" t="s">
        <v>1584</v>
      </c>
      <c r="C241" s="357" t="s">
        <v>1594</v>
      </c>
      <c r="D241" s="351" t="s">
        <v>1669</v>
      </c>
      <c r="E241" s="351" t="s">
        <v>1670</v>
      </c>
      <c r="F241" s="351"/>
      <c r="G241" s="349" t="s">
        <v>174</v>
      </c>
      <c r="H241" s="361" t="s">
        <v>1671</v>
      </c>
      <c r="I241" s="351"/>
      <c r="J241" s="350" t="s">
        <v>1672</v>
      </c>
      <c r="K241" s="349" t="s">
        <v>283</v>
      </c>
      <c r="L241" s="348"/>
      <c r="M241" s="348"/>
      <c r="N241" s="359" t="s">
        <v>1673</v>
      </c>
      <c r="O241" s="359" t="s">
        <v>1674</v>
      </c>
      <c r="P241" s="352" t="s">
        <v>2596</v>
      </c>
      <c r="Q241" s="352"/>
      <c r="R241" s="352"/>
      <c r="S241" s="352">
        <v>5</v>
      </c>
      <c r="T241" s="352">
        <f>$S241*DE_Cost!$B$1*8</f>
        <v>48</v>
      </c>
      <c r="U241" s="355">
        <f>$S241*DE_Cost!$B$1</f>
        <v>6</v>
      </c>
      <c r="V241" s="355"/>
      <c r="W241" s="355"/>
      <c r="X241" s="355">
        <f t="shared" si="13"/>
        <v>4</v>
      </c>
      <c r="Y241" s="355">
        <f t="shared" si="14"/>
        <v>20</v>
      </c>
      <c r="Z241" s="352" t="s">
        <v>42</v>
      </c>
      <c r="AA241" s="352"/>
      <c r="AB241" s="353"/>
      <c r="AC241" s="353"/>
      <c r="AD241" s="482"/>
      <c r="AE241" s="487">
        <f t="shared" si="15"/>
        <v>7312.088598186413</v>
      </c>
    </row>
    <row r="242" spans="1:31" ht="108" hidden="1">
      <c r="A242" s="368" t="s">
        <v>140</v>
      </c>
      <c r="B242" s="367" t="s">
        <v>1584</v>
      </c>
      <c r="C242" s="357" t="s">
        <v>1594</v>
      </c>
      <c r="D242" s="351" t="s">
        <v>1675</v>
      </c>
      <c r="E242" s="351" t="s">
        <v>1676</v>
      </c>
      <c r="F242" s="351"/>
      <c r="G242" s="349" t="s">
        <v>174</v>
      </c>
      <c r="H242" s="361" t="s">
        <v>1677</v>
      </c>
      <c r="I242" s="351"/>
      <c r="J242" s="350"/>
      <c r="K242" s="349" t="s">
        <v>346</v>
      </c>
      <c r="L242" s="348"/>
      <c r="M242" s="348"/>
      <c r="N242" s="359"/>
      <c r="O242" s="359"/>
      <c r="P242" s="352"/>
      <c r="Q242" s="352"/>
      <c r="R242" s="352"/>
      <c r="S242" s="352"/>
      <c r="T242" s="352"/>
      <c r="U242" s="355"/>
      <c r="V242" s="355"/>
      <c r="W242" s="355"/>
      <c r="X242" s="355">
        <f t="shared" si="13"/>
        <v>0</v>
      </c>
      <c r="Y242" s="355">
        <f t="shared" si="14"/>
        <v>0</v>
      </c>
      <c r="Z242" s="352" t="s">
        <v>42</v>
      </c>
      <c r="AA242" s="352"/>
      <c r="AB242" s="353"/>
      <c r="AC242" s="353"/>
      <c r="AD242" s="482"/>
      <c r="AE242" s="487">
        <f t="shared" si="15"/>
        <v>0</v>
      </c>
    </row>
    <row r="243" spans="1:31" ht="90" hidden="1">
      <c r="A243" s="368" t="s">
        <v>140</v>
      </c>
      <c r="B243" s="367" t="s">
        <v>1584</v>
      </c>
      <c r="C243" s="357" t="s">
        <v>1594</v>
      </c>
      <c r="D243" s="357" t="s">
        <v>1678</v>
      </c>
      <c r="E243" s="357" t="s">
        <v>1679</v>
      </c>
      <c r="F243" s="357"/>
      <c r="G243" s="349" t="s">
        <v>174</v>
      </c>
      <c r="H243" s="361" t="s">
        <v>1680</v>
      </c>
      <c r="I243" s="357"/>
      <c r="J243" s="350"/>
      <c r="K243" s="349" t="s">
        <v>346</v>
      </c>
      <c r="L243" s="348"/>
      <c r="M243" s="348"/>
      <c r="N243" s="359"/>
      <c r="O243" s="359"/>
      <c r="P243" s="352"/>
      <c r="Q243" s="352"/>
      <c r="R243" s="352"/>
      <c r="S243" s="352"/>
      <c r="T243" s="352"/>
      <c r="U243" s="355"/>
      <c r="V243" s="355"/>
      <c r="W243" s="355"/>
      <c r="X243" s="355">
        <f t="shared" si="13"/>
        <v>0</v>
      </c>
      <c r="Y243" s="355">
        <f t="shared" si="14"/>
        <v>0</v>
      </c>
      <c r="Z243" s="352" t="s">
        <v>42</v>
      </c>
      <c r="AA243" s="352"/>
      <c r="AB243" s="353"/>
      <c r="AC243" s="353"/>
      <c r="AD243" s="482"/>
      <c r="AE243" s="487">
        <f t="shared" si="15"/>
        <v>0</v>
      </c>
    </row>
    <row r="244" spans="1:31" ht="90" hidden="1">
      <c r="A244" s="368" t="s">
        <v>140</v>
      </c>
      <c r="B244" s="367" t="s">
        <v>1584</v>
      </c>
      <c r="C244" s="357" t="s">
        <v>1594</v>
      </c>
      <c r="D244" s="357" t="s">
        <v>1681</v>
      </c>
      <c r="E244" s="357" t="s">
        <v>1682</v>
      </c>
      <c r="F244" s="357"/>
      <c r="G244" s="349" t="s">
        <v>174</v>
      </c>
      <c r="H244" s="361" t="s">
        <v>1683</v>
      </c>
      <c r="I244" s="357"/>
      <c r="J244" s="350"/>
      <c r="K244" s="349" t="s">
        <v>346</v>
      </c>
      <c r="L244" s="348"/>
      <c r="M244" s="348"/>
      <c r="N244" s="359"/>
      <c r="O244" s="359"/>
      <c r="P244" s="352"/>
      <c r="Q244" s="352"/>
      <c r="R244" s="352"/>
      <c r="S244" s="352"/>
      <c r="T244" s="352"/>
      <c r="U244" s="355"/>
      <c r="V244" s="355"/>
      <c r="W244" s="355"/>
      <c r="X244" s="355">
        <f t="shared" si="13"/>
        <v>0</v>
      </c>
      <c r="Y244" s="355">
        <f t="shared" si="14"/>
        <v>0</v>
      </c>
      <c r="Z244" s="352" t="s">
        <v>42</v>
      </c>
      <c r="AA244" s="352"/>
      <c r="AB244" s="353"/>
      <c r="AC244" s="353"/>
      <c r="AD244" s="482"/>
      <c r="AE244" s="487">
        <f t="shared" si="15"/>
        <v>0</v>
      </c>
    </row>
    <row r="245" spans="1:31" ht="108" hidden="1">
      <c r="A245" s="368" t="s">
        <v>140</v>
      </c>
      <c r="B245" s="367" t="s">
        <v>1584</v>
      </c>
      <c r="C245" s="357" t="s">
        <v>1594</v>
      </c>
      <c r="D245" s="357" t="s">
        <v>1684</v>
      </c>
      <c r="E245" s="357" t="s">
        <v>1685</v>
      </c>
      <c r="F245" s="357" t="s">
        <v>1686</v>
      </c>
      <c r="G245" s="349" t="s">
        <v>174</v>
      </c>
      <c r="H245" s="361" t="s">
        <v>1687</v>
      </c>
      <c r="I245" s="357" t="s">
        <v>1686</v>
      </c>
      <c r="J245" s="350"/>
      <c r="K245" s="349" t="s">
        <v>346</v>
      </c>
      <c r="L245" s="348"/>
      <c r="M245" s="348"/>
      <c r="N245" s="359"/>
      <c r="O245" s="359"/>
      <c r="P245" s="352"/>
      <c r="Q245" s="352"/>
      <c r="R245" s="352"/>
      <c r="S245" s="352"/>
      <c r="T245" s="352"/>
      <c r="U245" s="355"/>
      <c r="V245" s="355"/>
      <c r="W245" s="355"/>
      <c r="X245" s="355">
        <f t="shared" si="13"/>
        <v>0</v>
      </c>
      <c r="Y245" s="355">
        <f t="shared" si="14"/>
        <v>0</v>
      </c>
      <c r="Z245" s="352" t="s">
        <v>42</v>
      </c>
      <c r="AA245" s="352"/>
      <c r="AB245" s="353"/>
      <c r="AC245" s="353"/>
      <c r="AD245" s="482"/>
      <c r="AE245" s="487">
        <f t="shared" si="15"/>
        <v>0</v>
      </c>
    </row>
    <row r="246" spans="1:31" ht="72" hidden="1">
      <c r="A246" s="368" t="s">
        <v>140</v>
      </c>
      <c r="B246" s="367" t="s">
        <v>1584</v>
      </c>
      <c r="C246" s="357" t="s">
        <v>1594</v>
      </c>
      <c r="D246" s="357" t="s">
        <v>1688</v>
      </c>
      <c r="E246" s="357" t="s">
        <v>1689</v>
      </c>
      <c r="F246" s="357"/>
      <c r="G246" s="349" t="s">
        <v>174</v>
      </c>
      <c r="H246" s="365" t="s">
        <v>1690</v>
      </c>
      <c r="I246" s="357"/>
      <c r="J246" s="350"/>
      <c r="K246" s="349" t="s">
        <v>346</v>
      </c>
      <c r="L246" s="348"/>
      <c r="M246" s="348"/>
      <c r="N246" s="359"/>
      <c r="O246" s="359"/>
      <c r="P246" s="352"/>
      <c r="Q246" s="352"/>
      <c r="R246" s="352"/>
      <c r="S246" s="352"/>
      <c r="T246" s="352"/>
      <c r="U246" s="355"/>
      <c r="V246" s="355"/>
      <c r="W246" s="355"/>
      <c r="X246" s="355">
        <f t="shared" si="13"/>
        <v>0</v>
      </c>
      <c r="Y246" s="355">
        <f t="shared" si="14"/>
        <v>0</v>
      </c>
      <c r="Z246" s="352" t="s">
        <v>42</v>
      </c>
      <c r="AA246" s="352"/>
      <c r="AB246" s="353"/>
      <c r="AC246" s="353"/>
      <c r="AD246" s="482"/>
      <c r="AE246" s="487">
        <f t="shared" si="15"/>
        <v>0</v>
      </c>
    </row>
    <row r="247" spans="1:31" ht="409.6">
      <c r="A247" s="368" t="s">
        <v>140</v>
      </c>
      <c r="B247" s="367" t="s">
        <v>1584</v>
      </c>
      <c r="C247" s="357" t="s">
        <v>1594</v>
      </c>
      <c r="D247" s="357" t="s">
        <v>1691</v>
      </c>
      <c r="E247" s="357" t="s">
        <v>1692</v>
      </c>
      <c r="F247" s="357"/>
      <c r="G247" s="349" t="s">
        <v>174</v>
      </c>
      <c r="H247" s="372" t="s">
        <v>1693</v>
      </c>
      <c r="I247" s="357"/>
      <c r="J247" s="350" t="s">
        <v>1694</v>
      </c>
      <c r="K247" s="349" t="s">
        <v>283</v>
      </c>
      <c r="L247" s="348"/>
      <c r="M247" s="348"/>
      <c r="N247" s="359" t="s">
        <v>1695</v>
      </c>
      <c r="O247" s="359"/>
      <c r="P247" s="352" t="s">
        <v>2596</v>
      </c>
      <c r="Q247" s="352"/>
      <c r="R247" s="352"/>
      <c r="S247" s="352">
        <v>15</v>
      </c>
      <c r="T247" s="352">
        <f>$S247*DE_Cost!$B$1*8</f>
        <v>144</v>
      </c>
      <c r="U247" s="355">
        <f>$S247*DE_Cost!$B$1</f>
        <v>18</v>
      </c>
      <c r="V247" s="355"/>
      <c r="W247" s="355"/>
      <c r="X247" s="355">
        <f t="shared" si="13"/>
        <v>4</v>
      </c>
      <c r="Y247" s="355">
        <f t="shared" si="14"/>
        <v>60</v>
      </c>
      <c r="Z247" s="352" t="s">
        <v>42</v>
      </c>
      <c r="AA247" s="352"/>
      <c r="AB247" s="353"/>
      <c r="AC247" s="353"/>
      <c r="AD247" s="482"/>
      <c r="AE247" s="487">
        <f t="shared" si="15"/>
        <v>21936.265794559236</v>
      </c>
    </row>
    <row r="248" spans="1:31" ht="126" hidden="1">
      <c r="A248" s="376" t="s">
        <v>140</v>
      </c>
      <c r="B248" s="375" t="s">
        <v>1584</v>
      </c>
      <c r="C248" s="351" t="s">
        <v>1594</v>
      </c>
      <c r="D248" s="357" t="s">
        <v>1696</v>
      </c>
      <c r="E248" s="357" t="s">
        <v>1697</v>
      </c>
      <c r="F248" s="357" t="s">
        <v>1698</v>
      </c>
      <c r="G248" s="349" t="s">
        <v>174</v>
      </c>
      <c r="H248" s="350" t="s">
        <v>1699</v>
      </c>
      <c r="I248" s="357" t="s">
        <v>1700</v>
      </c>
      <c r="J248" s="350"/>
      <c r="K248" s="349" t="s">
        <v>346</v>
      </c>
      <c r="L248" s="348"/>
      <c r="M248" s="348"/>
      <c r="N248" s="359" t="s">
        <v>1701</v>
      </c>
      <c r="O248" s="359"/>
      <c r="P248" s="352"/>
      <c r="Q248" s="352"/>
      <c r="R248" s="352"/>
      <c r="S248" s="352"/>
      <c r="T248" s="352"/>
      <c r="U248" s="355"/>
      <c r="V248" s="355"/>
      <c r="W248" s="355"/>
      <c r="X248" s="355">
        <f t="shared" si="13"/>
        <v>0</v>
      </c>
      <c r="Y248" s="355">
        <f t="shared" si="14"/>
        <v>0</v>
      </c>
      <c r="Z248" s="352" t="s">
        <v>42</v>
      </c>
      <c r="AA248" s="352"/>
      <c r="AB248" s="353"/>
      <c r="AC248" s="353"/>
      <c r="AD248" s="482"/>
      <c r="AE248" s="487">
        <f t="shared" si="15"/>
        <v>0</v>
      </c>
    </row>
    <row r="249" spans="1:31" ht="108" hidden="1">
      <c r="A249" s="376" t="s">
        <v>140</v>
      </c>
      <c r="B249" s="375" t="s">
        <v>1584</v>
      </c>
      <c r="C249" s="351" t="s">
        <v>1594</v>
      </c>
      <c r="D249" s="357" t="s">
        <v>1702</v>
      </c>
      <c r="E249" s="357" t="s">
        <v>1703</v>
      </c>
      <c r="F249" s="357" t="s">
        <v>1704</v>
      </c>
      <c r="G249" s="349" t="s">
        <v>174</v>
      </c>
      <c r="H249" s="350" t="s">
        <v>1705</v>
      </c>
      <c r="I249" s="357" t="s">
        <v>1704</v>
      </c>
      <c r="J249" s="350"/>
      <c r="K249" s="349" t="s">
        <v>346</v>
      </c>
      <c r="L249" s="348"/>
      <c r="M249" s="348"/>
      <c r="N249" s="359" t="s">
        <v>1706</v>
      </c>
      <c r="O249" s="359"/>
      <c r="P249" s="352"/>
      <c r="Q249" s="352"/>
      <c r="R249" s="352"/>
      <c r="S249" s="352"/>
      <c r="T249" s="352"/>
      <c r="U249" s="355"/>
      <c r="V249" s="355"/>
      <c r="W249" s="355"/>
      <c r="X249" s="355">
        <f t="shared" si="13"/>
        <v>0</v>
      </c>
      <c r="Y249" s="355">
        <f t="shared" si="14"/>
        <v>0</v>
      </c>
      <c r="Z249" s="352" t="s">
        <v>42</v>
      </c>
      <c r="AA249" s="352"/>
      <c r="AB249" s="353"/>
      <c r="AC249" s="353"/>
      <c r="AD249" s="482"/>
      <c r="AE249" s="487">
        <f t="shared" si="15"/>
        <v>0</v>
      </c>
    </row>
    <row r="250" spans="1:31" ht="108" hidden="1">
      <c r="A250" s="376" t="s">
        <v>140</v>
      </c>
      <c r="B250" s="375" t="s">
        <v>1584</v>
      </c>
      <c r="C250" s="351" t="s">
        <v>1594</v>
      </c>
      <c r="D250" s="357" t="s">
        <v>1707</v>
      </c>
      <c r="E250" s="357" t="s">
        <v>1708</v>
      </c>
      <c r="F250" s="357" t="s">
        <v>1709</v>
      </c>
      <c r="G250" s="349" t="s">
        <v>174</v>
      </c>
      <c r="H250" s="350" t="s">
        <v>1710</v>
      </c>
      <c r="I250" s="357" t="s">
        <v>1709</v>
      </c>
      <c r="J250" s="350"/>
      <c r="K250" s="349" t="s">
        <v>346</v>
      </c>
      <c r="L250" s="348"/>
      <c r="M250" s="348"/>
      <c r="N250" s="359" t="s">
        <v>1711</v>
      </c>
      <c r="O250" s="359"/>
      <c r="P250" s="352"/>
      <c r="Q250" s="352"/>
      <c r="R250" s="352"/>
      <c r="S250" s="352"/>
      <c r="T250" s="352"/>
      <c r="U250" s="355"/>
      <c r="V250" s="355"/>
      <c r="W250" s="355"/>
      <c r="X250" s="355">
        <f t="shared" si="13"/>
        <v>0</v>
      </c>
      <c r="Y250" s="355">
        <f t="shared" si="14"/>
        <v>0</v>
      </c>
      <c r="Z250" s="352" t="s">
        <v>42</v>
      </c>
      <c r="AA250" s="352"/>
      <c r="AB250" s="353"/>
      <c r="AC250" s="353"/>
      <c r="AD250" s="482"/>
      <c r="AE250" s="487">
        <f t="shared" si="15"/>
        <v>0</v>
      </c>
    </row>
    <row r="251" spans="1:31" ht="108" hidden="1">
      <c r="A251" s="376" t="s">
        <v>140</v>
      </c>
      <c r="B251" s="375" t="s">
        <v>1584</v>
      </c>
      <c r="C251" s="351" t="s">
        <v>1594</v>
      </c>
      <c r="D251" s="357" t="s">
        <v>1712</v>
      </c>
      <c r="E251" s="357" t="s">
        <v>1713</v>
      </c>
      <c r="F251" s="357" t="s">
        <v>1714</v>
      </c>
      <c r="G251" s="349" t="s">
        <v>174</v>
      </c>
      <c r="H251" s="350" t="s">
        <v>1715</v>
      </c>
      <c r="I251" s="357" t="s">
        <v>1714</v>
      </c>
      <c r="J251" s="350"/>
      <c r="K251" s="349" t="s">
        <v>346</v>
      </c>
      <c r="L251" s="348"/>
      <c r="M251" s="348"/>
      <c r="N251" s="359" t="s">
        <v>1716</v>
      </c>
      <c r="O251" s="359"/>
      <c r="P251" s="352"/>
      <c r="Q251" s="352"/>
      <c r="R251" s="352"/>
      <c r="S251" s="352"/>
      <c r="T251" s="352"/>
      <c r="U251" s="355"/>
      <c r="V251" s="355"/>
      <c r="W251" s="355"/>
      <c r="X251" s="355">
        <f t="shared" si="13"/>
        <v>0</v>
      </c>
      <c r="Y251" s="355">
        <f t="shared" si="14"/>
        <v>0</v>
      </c>
      <c r="Z251" s="352" t="s">
        <v>42</v>
      </c>
      <c r="AA251" s="352"/>
      <c r="AB251" s="353"/>
      <c r="AC251" s="353"/>
      <c r="AD251" s="482"/>
      <c r="AE251" s="487">
        <f t="shared" si="15"/>
        <v>0</v>
      </c>
    </row>
    <row r="252" spans="1:31" ht="162" hidden="1">
      <c r="A252" s="376" t="s">
        <v>140</v>
      </c>
      <c r="B252" s="375" t="s">
        <v>1584</v>
      </c>
      <c r="C252" s="351" t="s">
        <v>1594</v>
      </c>
      <c r="D252" s="357" t="s">
        <v>1717</v>
      </c>
      <c r="E252" s="357" t="s">
        <v>1718</v>
      </c>
      <c r="F252" s="357" t="s">
        <v>1719</v>
      </c>
      <c r="G252" s="349" t="s">
        <v>174</v>
      </c>
      <c r="H252" s="350" t="s">
        <v>1720</v>
      </c>
      <c r="I252" s="357" t="s">
        <v>1719</v>
      </c>
      <c r="J252" s="350"/>
      <c r="K252" s="349" t="s">
        <v>346</v>
      </c>
      <c r="L252" s="348"/>
      <c r="M252" s="348"/>
      <c r="N252" s="359" t="s">
        <v>1721</v>
      </c>
      <c r="O252" s="359"/>
      <c r="P252" s="352"/>
      <c r="Q252" s="352"/>
      <c r="R252" s="352"/>
      <c r="S252" s="352"/>
      <c r="T252" s="352"/>
      <c r="U252" s="355"/>
      <c r="V252" s="355"/>
      <c r="W252" s="355"/>
      <c r="X252" s="355">
        <f t="shared" si="13"/>
        <v>0</v>
      </c>
      <c r="Y252" s="355">
        <f t="shared" si="14"/>
        <v>0</v>
      </c>
      <c r="Z252" s="352" t="s">
        <v>42</v>
      </c>
      <c r="AA252" s="352"/>
      <c r="AB252" s="353"/>
      <c r="AC252" s="353"/>
      <c r="AD252" s="482"/>
      <c r="AE252" s="487">
        <f t="shared" si="15"/>
        <v>0</v>
      </c>
    </row>
    <row r="253" spans="1:31" ht="108">
      <c r="A253" s="376" t="s">
        <v>140</v>
      </c>
      <c r="B253" s="375" t="s">
        <v>1584</v>
      </c>
      <c r="C253" s="351" t="s">
        <v>1594</v>
      </c>
      <c r="D253" s="357" t="s">
        <v>1722</v>
      </c>
      <c r="E253" s="357" t="s">
        <v>1723</v>
      </c>
      <c r="F253" s="357" t="s">
        <v>1724</v>
      </c>
      <c r="G253" s="349" t="s">
        <v>174</v>
      </c>
      <c r="H253" s="372" t="s">
        <v>1725</v>
      </c>
      <c r="I253" s="357" t="s">
        <v>1726</v>
      </c>
      <c r="J253" s="350"/>
      <c r="K253" s="349" t="s">
        <v>283</v>
      </c>
      <c r="L253" s="348"/>
      <c r="M253" s="348"/>
      <c r="N253" s="359" t="s">
        <v>1727</v>
      </c>
      <c r="O253" s="359"/>
      <c r="P253" s="352" t="s">
        <v>2596</v>
      </c>
      <c r="Q253" s="352"/>
      <c r="R253" s="352"/>
      <c r="S253" s="352">
        <v>5</v>
      </c>
      <c r="T253" s="352">
        <f>$S253*DE_Cost!$B$1*8</f>
        <v>48</v>
      </c>
      <c r="U253" s="355">
        <f>$S253*DE_Cost!$B$1</f>
        <v>6</v>
      </c>
      <c r="V253" s="355"/>
      <c r="W253" s="355"/>
      <c r="X253" s="355">
        <f t="shared" si="13"/>
        <v>4</v>
      </c>
      <c r="Y253" s="355">
        <f t="shared" si="14"/>
        <v>20</v>
      </c>
      <c r="Z253" s="352" t="s">
        <v>42</v>
      </c>
      <c r="AA253" s="352"/>
      <c r="AB253" s="353"/>
      <c r="AC253" s="353"/>
      <c r="AD253" s="482"/>
      <c r="AE253" s="487">
        <f t="shared" si="15"/>
        <v>7312.088598186413</v>
      </c>
    </row>
    <row r="254" spans="1:31" ht="108">
      <c r="A254" s="376" t="s">
        <v>140</v>
      </c>
      <c r="B254" s="375" t="s">
        <v>1584</v>
      </c>
      <c r="C254" s="351" t="s">
        <v>1594</v>
      </c>
      <c r="D254" s="357" t="s">
        <v>1728</v>
      </c>
      <c r="E254" s="357" t="s">
        <v>1729</v>
      </c>
      <c r="F254" s="357" t="s">
        <v>1724</v>
      </c>
      <c r="G254" s="349" t="s">
        <v>174</v>
      </c>
      <c r="H254" s="372" t="s">
        <v>1730</v>
      </c>
      <c r="I254" s="357" t="s">
        <v>1726</v>
      </c>
      <c r="J254" s="350"/>
      <c r="K254" s="349" t="s">
        <v>283</v>
      </c>
      <c r="L254" s="348"/>
      <c r="M254" s="348"/>
      <c r="N254" s="359" t="s">
        <v>1731</v>
      </c>
      <c r="O254" s="359"/>
      <c r="P254" s="352" t="s">
        <v>2596</v>
      </c>
      <c r="Q254" s="352"/>
      <c r="R254" s="352"/>
      <c r="S254" s="352">
        <v>5</v>
      </c>
      <c r="T254" s="352">
        <f>$S254*DE_Cost!$B$1*8</f>
        <v>48</v>
      </c>
      <c r="U254" s="355">
        <f>$S254*DE_Cost!$B$1</f>
        <v>6</v>
      </c>
      <c r="V254" s="355"/>
      <c r="W254" s="355"/>
      <c r="X254" s="355">
        <f t="shared" si="13"/>
        <v>4</v>
      </c>
      <c r="Y254" s="355">
        <f t="shared" si="14"/>
        <v>20</v>
      </c>
      <c r="Z254" s="352" t="s">
        <v>42</v>
      </c>
      <c r="AA254" s="352"/>
      <c r="AB254" s="353"/>
      <c r="AC254" s="353"/>
      <c r="AD254" s="482"/>
      <c r="AE254" s="487">
        <f t="shared" si="15"/>
        <v>7312.088598186413</v>
      </c>
    </row>
    <row r="255" spans="1:31" ht="90">
      <c r="A255" s="376" t="s">
        <v>140</v>
      </c>
      <c r="B255" s="375" t="s">
        <v>1584</v>
      </c>
      <c r="C255" s="351" t="s">
        <v>1594</v>
      </c>
      <c r="D255" s="357" t="s">
        <v>1732</v>
      </c>
      <c r="E255" s="357" t="s">
        <v>1733</v>
      </c>
      <c r="F255" s="357" t="s">
        <v>1734</v>
      </c>
      <c r="G255" s="349" t="s">
        <v>174</v>
      </c>
      <c r="H255" s="365" t="s">
        <v>1735</v>
      </c>
      <c r="I255" s="357" t="s">
        <v>1736</v>
      </c>
      <c r="J255" s="350"/>
      <c r="K255" s="349" t="s">
        <v>283</v>
      </c>
      <c r="L255" s="348"/>
      <c r="M255" s="348"/>
      <c r="N255" s="359" t="s">
        <v>1737</v>
      </c>
      <c r="O255" s="359"/>
      <c r="P255" s="352" t="s">
        <v>2596</v>
      </c>
      <c r="Q255" s="352"/>
      <c r="R255" s="352"/>
      <c r="S255" s="352">
        <v>5</v>
      </c>
      <c r="T255" s="352">
        <f>$S255*DE_Cost!$B$1*8</f>
        <v>48</v>
      </c>
      <c r="U255" s="355">
        <f>$S255*DE_Cost!$B$1</f>
        <v>6</v>
      </c>
      <c r="V255" s="355"/>
      <c r="W255" s="355"/>
      <c r="X255" s="355">
        <f t="shared" si="13"/>
        <v>4</v>
      </c>
      <c r="Y255" s="355">
        <f t="shared" si="14"/>
        <v>20</v>
      </c>
      <c r="Z255" s="352" t="s">
        <v>42</v>
      </c>
      <c r="AA255" s="352"/>
      <c r="AB255" s="353"/>
      <c r="AC255" s="353"/>
      <c r="AD255" s="482"/>
      <c r="AE255" s="487">
        <f t="shared" si="15"/>
        <v>7312.088598186413</v>
      </c>
    </row>
    <row r="256" spans="1:31" ht="108">
      <c r="A256" s="376" t="s">
        <v>140</v>
      </c>
      <c r="B256" s="375" t="s">
        <v>1584</v>
      </c>
      <c r="C256" s="351" t="s">
        <v>1594</v>
      </c>
      <c r="D256" s="357" t="s">
        <v>1738</v>
      </c>
      <c r="E256" s="357" t="s">
        <v>1739</v>
      </c>
      <c r="F256" s="357" t="s">
        <v>1734</v>
      </c>
      <c r="G256" s="349" t="s">
        <v>174</v>
      </c>
      <c r="H256" s="361" t="s">
        <v>1740</v>
      </c>
      <c r="I256" s="357" t="s">
        <v>1736</v>
      </c>
      <c r="J256" s="350"/>
      <c r="K256" s="349" t="s">
        <v>283</v>
      </c>
      <c r="L256" s="348"/>
      <c r="M256" s="348"/>
      <c r="N256" s="359" t="s">
        <v>1741</v>
      </c>
      <c r="O256" s="359"/>
      <c r="P256" s="352" t="s">
        <v>2596</v>
      </c>
      <c r="Q256" s="352"/>
      <c r="R256" s="352"/>
      <c r="S256" s="352">
        <v>5</v>
      </c>
      <c r="T256" s="352">
        <f>$S256*DE_Cost!$B$1*8</f>
        <v>48</v>
      </c>
      <c r="U256" s="355">
        <f>$S256*DE_Cost!$B$1</f>
        <v>6</v>
      </c>
      <c r="V256" s="355"/>
      <c r="W256" s="355"/>
      <c r="X256" s="355">
        <f t="shared" si="13"/>
        <v>4</v>
      </c>
      <c r="Y256" s="355">
        <f t="shared" si="14"/>
        <v>20</v>
      </c>
      <c r="Z256" s="352" t="s">
        <v>42</v>
      </c>
      <c r="AA256" s="352"/>
      <c r="AB256" s="353"/>
      <c r="AC256" s="353"/>
      <c r="AD256" s="482"/>
      <c r="AE256" s="487">
        <f t="shared" si="15"/>
        <v>7312.088598186413</v>
      </c>
    </row>
    <row r="257" spans="1:31" ht="108" hidden="1">
      <c r="A257" s="376" t="s">
        <v>140</v>
      </c>
      <c r="B257" s="375" t="s">
        <v>1584</v>
      </c>
      <c r="C257" s="351" t="s">
        <v>1594</v>
      </c>
      <c r="D257" s="357" t="s">
        <v>1742</v>
      </c>
      <c r="E257" s="357" t="s">
        <v>1743</v>
      </c>
      <c r="F257" s="357" t="s">
        <v>1734</v>
      </c>
      <c r="G257" s="349" t="s">
        <v>174</v>
      </c>
      <c r="H257" s="361" t="s">
        <v>1744</v>
      </c>
      <c r="I257" s="357" t="s">
        <v>1736</v>
      </c>
      <c r="J257" s="350"/>
      <c r="K257" s="349" t="s">
        <v>346</v>
      </c>
      <c r="L257" s="348"/>
      <c r="M257" s="348"/>
      <c r="N257" s="359"/>
      <c r="O257" s="359"/>
      <c r="P257" s="352"/>
      <c r="Q257" s="352"/>
      <c r="R257" s="352"/>
      <c r="S257" s="352"/>
      <c r="T257" s="352"/>
      <c r="U257" s="355"/>
      <c r="V257" s="355"/>
      <c r="W257" s="355"/>
      <c r="X257" s="355">
        <f t="shared" si="13"/>
        <v>0</v>
      </c>
      <c r="Y257" s="355">
        <f t="shared" si="14"/>
        <v>0</v>
      </c>
      <c r="Z257" s="352" t="s">
        <v>42</v>
      </c>
      <c r="AA257" s="352"/>
      <c r="AB257" s="353"/>
      <c r="AC257" s="353"/>
      <c r="AD257" s="482"/>
      <c r="AE257" s="487">
        <f t="shared" si="15"/>
        <v>0</v>
      </c>
    </row>
    <row r="258" spans="1:31" ht="90" hidden="1">
      <c r="A258" s="376" t="s">
        <v>140</v>
      </c>
      <c r="B258" s="375" t="s">
        <v>1584</v>
      </c>
      <c r="C258" s="351" t="s">
        <v>1594</v>
      </c>
      <c r="D258" s="357" t="s">
        <v>1745</v>
      </c>
      <c r="E258" s="357" t="s">
        <v>1746</v>
      </c>
      <c r="F258" s="357" t="s">
        <v>1747</v>
      </c>
      <c r="G258" s="349" t="s">
        <v>174</v>
      </c>
      <c r="H258" s="361" t="s">
        <v>1748</v>
      </c>
      <c r="I258" s="357" t="s">
        <v>1749</v>
      </c>
      <c r="J258" s="350"/>
      <c r="K258" s="349" t="s">
        <v>346</v>
      </c>
      <c r="L258" s="348"/>
      <c r="M258" s="348"/>
      <c r="N258" s="359"/>
      <c r="O258" s="359"/>
      <c r="P258" s="352"/>
      <c r="Q258" s="352"/>
      <c r="R258" s="352"/>
      <c r="S258" s="352"/>
      <c r="T258" s="352"/>
      <c r="U258" s="355"/>
      <c r="V258" s="355"/>
      <c r="W258" s="355"/>
      <c r="X258" s="355">
        <f t="shared" si="13"/>
        <v>0</v>
      </c>
      <c r="Y258" s="355">
        <f t="shared" si="14"/>
        <v>0</v>
      </c>
      <c r="Z258" s="352" t="s">
        <v>42</v>
      </c>
      <c r="AA258" s="352"/>
      <c r="AB258" s="353"/>
      <c r="AC258" s="353"/>
      <c r="AD258" s="482"/>
      <c r="AE258" s="487">
        <f t="shared" si="15"/>
        <v>0</v>
      </c>
    </row>
    <row r="259" spans="1:31" ht="54">
      <c r="A259" s="376" t="s">
        <v>140</v>
      </c>
      <c r="B259" s="375" t="s">
        <v>1584</v>
      </c>
      <c r="C259" s="351" t="s">
        <v>1594</v>
      </c>
      <c r="D259" s="357" t="s">
        <v>1750</v>
      </c>
      <c r="E259" s="357" t="s">
        <v>1751</v>
      </c>
      <c r="F259" s="357" t="s">
        <v>1752</v>
      </c>
      <c r="G259" s="349" t="s">
        <v>174</v>
      </c>
      <c r="H259" s="365" t="s">
        <v>1753</v>
      </c>
      <c r="I259" s="357" t="s">
        <v>1754</v>
      </c>
      <c r="J259" s="350"/>
      <c r="K259" s="349" t="s">
        <v>1755</v>
      </c>
      <c r="L259" s="348"/>
      <c r="M259" s="348"/>
      <c r="N259" s="359" t="s">
        <v>1756</v>
      </c>
      <c r="O259" s="359"/>
      <c r="P259" s="352" t="s">
        <v>2596</v>
      </c>
      <c r="Q259" s="352"/>
      <c r="R259" s="352"/>
      <c r="S259" s="352">
        <v>10</v>
      </c>
      <c r="T259" s="352">
        <f>$S259*DE_Cost!$B$1*8</f>
        <v>96</v>
      </c>
      <c r="U259" s="355">
        <f>$S259*DE_Cost!$B$1</f>
        <v>12</v>
      </c>
      <c r="V259" s="355"/>
      <c r="W259" s="355"/>
      <c r="X259" s="355">
        <f t="shared" si="13"/>
        <v>4</v>
      </c>
      <c r="Y259" s="355">
        <f t="shared" si="14"/>
        <v>40</v>
      </c>
      <c r="Z259" s="352" t="s">
        <v>42</v>
      </c>
      <c r="AA259" s="352"/>
      <c r="AB259" s="353"/>
      <c r="AC259" s="353"/>
      <c r="AD259" s="482"/>
      <c r="AE259" s="487">
        <f t="shared" si="15"/>
        <v>14624.177196372826</v>
      </c>
    </row>
    <row r="260" spans="1:31" ht="126" hidden="1">
      <c r="A260" s="376" t="s">
        <v>140</v>
      </c>
      <c r="B260" s="375" t="s">
        <v>1584</v>
      </c>
      <c r="C260" s="351" t="s">
        <v>1594</v>
      </c>
      <c r="D260" s="357" t="s">
        <v>1757</v>
      </c>
      <c r="E260" s="357" t="s">
        <v>1758</v>
      </c>
      <c r="F260" s="357" t="s">
        <v>1759</v>
      </c>
      <c r="G260" s="349" t="s">
        <v>174</v>
      </c>
      <c r="H260" s="361" t="s">
        <v>1760</v>
      </c>
      <c r="I260" s="357" t="s">
        <v>1759</v>
      </c>
      <c r="J260" s="350"/>
      <c r="K260" s="349" t="s">
        <v>346</v>
      </c>
      <c r="L260" s="348"/>
      <c r="M260" s="348"/>
      <c r="N260" s="359" t="s">
        <v>1761</v>
      </c>
      <c r="O260" s="359"/>
      <c r="P260" s="352"/>
      <c r="Q260" s="352"/>
      <c r="R260" s="352"/>
      <c r="S260" s="352"/>
      <c r="T260" s="352"/>
      <c r="U260" s="355"/>
      <c r="V260" s="355"/>
      <c r="W260" s="355"/>
      <c r="X260" s="355">
        <f t="shared" si="13"/>
        <v>0</v>
      </c>
      <c r="Y260" s="355">
        <f t="shared" si="14"/>
        <v>0</v>
      </c>
      <c r="Z260" s="352" t="s">
        <v>42</v>
      </c>
      <c r="AA260" s="352"/>
      <c r="AB260" s="353"/>
      <c r="AC260" s="353"/>
      <c r="AD260" s="482"/>
      <c r="AE260" s="487">
        <f t="shared" si="15"/>
        <v>0</v>
      </c>
    </row>
    <row r="261" spans="1:31" ht="108">
      <c r="A261" s="368" t="s">
        <v>140</v>
      </c>
      <c r="B261" s="367" t="s">
        <v>1584</v>
      </c>
      <c r="C261" s="357" t="s">
        <v>1594</v>
      </c>
      <c r="D261" s="357" t="s">
        <v>1762</v>
      </c>
      <c r="E261" s="374" t="s">
        <v>1763</v>
      </c>
      <c r="F261" s="351"/>
      <c r="G261" s="349" t="s">
        <v>174</v>
      </c>
      <c r="H261" s="373" t="s">
        <v>1764</v>
      </c>
      <c r="I261" s="351"/>
      <c r="J261" s="350"/>
      <c r="K261" s="349" t="s">
        <v>318</v>
      </c>
      <c r="L261" s="348" t="s">
        <v>1765</v>
      </c>
      <c r="M261" s="348"/>
      <c r="N261" s="359" t="s">
        <v>1766</v>
      </c>
      <c r="O261" s="359"/>
      <c r="P261" s="352" t="s">
        <v>2596</v>
      </c>
      <c r="Q261" s="352"/>
      <c r="R261" s="352"/>
      <c r="S261" s="352">
        <v>10</v>
      </c>
      <c r="T261" s="352">
        <f>$S261*DE_Cost!$B$1*8</f>
        <v>96</v>
      </c>
      <c r="U261" s="355">
        <f>$S261*DE_Cost!$B$1</f>
        <v>12</v>
      </c>
      <c r="V261" s="355"/>
      <c r="W261" s="355"/>
      <c r="X261" s="355">
        <f t="shared" si="13"/>
        <v>4</v>
      </c>
      <c r="Y261" s="355">
        <f t="shared" si="14"/>
        <v>40</v>
      </c>
      <c r="Z261" s="352" t="s">
        <v>150</v>
      </c>
      <c r="AA261" s="352" t="s">
        <v>1767</v>
      </c>
      <c r="AB261" s="353">
        <v>1103</v>
      </c>
      <c r="AC261" s="353"/>
      <c r="AD261" s="482"/>
      <c r="AE261" s="487">
        <f t="shared" si="15"/>
        <v>14624.177196372826</v>
      </c>
    </row>
    <row r="262" spans="1:31" ht="72">
      <c r="A262" s="368" t="s">
        <v>1768</v>
      </c>
      <c r="B262" s="367" t="s">
        <v>1584</v>
      </c>
      <c r="C262" s="357" t="s">
        <v>1594</v>
      </c>
      <c r="D262" s="357" t="s">
        <v>1769</v>
      </c>
      <c r="E262" s="374" t="s">
        <v>1770</v>
      </c>
      <c r="F262" s="351"/>
      <c r="G262" s="349" t="s">
        <v>174</v>
      </c>
      <c r="H262" s="373" t="s">
        <v>1771</v>
      </c>
      <c r="I262" s="351"/>
      <c r="J262" s="350"/>
      <c r="K262" s="349" t="s">
        <v>318</v>
      </c>
      <c r="L262" s="348" t="s">
        <v>1765</v>
      </c>
      <c r="M262" s="348"/>
      <c r="N262" s="359" t="s">
        <v>1772</v>
      </c>
      <c r="O262" s="359"/>
      <c r="P262" s="352" t="s">
        <v>2596</v>
      </c>
      <c r="Q262" s="352"/>
      <c r="R262" s="352"/>
      <c r="S262" s="352">
        <v>10</v>
      </c>
      <c r="T262" s="352">
        <f>$S262*DE_Cost!$B$1*8</f>
        <v>96</v>
      </c>
      <c r="U262" s="355">
        <f>$S262*DE_Cost!$B$1</f>
        <v>12</v>
      </c>
      <c r="V262" s="355"/>
      <c r="W262" s="355"/>
      <c r="X262" s="355">
        <f t="shared" si="13"/>
        <v>4</v>
      </c>
      <c r="Y262" s="355">
        <f t="shared" si="14"/>
        <v>40</v>
      </c>
      <c r="Z262" s="352" t="s">
        <v>150</v>
      </c>
      <c r="AA262" s="352" t="s">
        <v>1767</v>
      </c>
      <c r="AB262" s="353">
        <v>1103</v>
      </c>
      <c r="AC262" s="353"/>
      <c r="AD262" s="482"/>
      <c r="AE262" s="487">
        <f t="shared" si="15"/>
        <v>14624.177196372826</v>
      </c>
    </row>
    <row r="263" spans="1:31" ht="126" hidden="1">
      <c r="A263" s="368" t="s">
        <v>140</v>
      </c>
      <c r="B263" s="367" t="s">
        <v>1584</v>
      </c>
      <c r="C263" s="357" t="s">
        <v>1594</v>
      </c>
      <c r="D263" s="357" t="s">
        <v>1773</v>
      </c>
      <c r="E263" s="357" t="s">
        <v>1774</v>
      </c>
      <c r="F263" s="351" t="s">
        <v>1659</v>
      </c>
      <c r="G263" s="349" t="s">
        <v>174</v>
      </c>
      <c r="H263" s="372" t="s">
        <v>1775</v>
      </c>
      <c r="I263" s="351" t="s">
        <v>1659</v>
      </c>
      <c r="J263" s="350"/>
      <c r="K263" s="349" t="s">
        <v>346</v>
      </c>
      <c r="L263" s="348"/>
      <c r="M263" s="348"/>
      <c r="N263" s="359" t="s">
        <v>1776</v>
      </c>
      <c r="O263" s="359"/>
      <c r="P263" s="352"/>
      <c r="Q263" s="352"/>
      <c r="R263" s="352"/>
      <c r="S263" s="352"/>
      <c r="T263" s="352"/>
      <c r="U263" s="355"/>
      <c r="V263" s="355"/>
      <c r="W263" s="355"/>
      <c r="X263" s="355">
        <f t="shared" si="13"/>
        <v>0</v>
      </c>
      <c r="Y263" s="355">
        <f t="shared" si="14"/>
        <v>0</v>
      </c>
      <c r="Z263" s="352" t="s">
        <v>42</v>
      </c>
      <c r="AA263" s="352"/>
      <c r="AB263" s="353"/>
      <c r="AC263" s="353"/>
      <c r="AD263" s="482"/>
      <c r="AE263" s="487">
        <f t="shared" si="15"/>
        <v>0</v>
      </c>
    </row>
    <row r="264" spans="1:31" ht="126">
      <c r="A264" s="368" t="s">
        <v>140</v>
      </c>
      <c r="B264" s="367" t="s">
        <v>1584</v>
      </c>
      <c r="C264" s="357" t="s">
        <v>1594</v>
      </c>
      <c r="D264" s="357" t="s">
        <v>1777</v>
      </c>
      <c r="E264" s="357" t="s">
        <v>1778</v>
      </c>
      <c r="F264" s="351" t="s">
        <v>1779</v>
      </c>
      <c r="G264" s="349" t="s">
        <v>174</v>
      </c>
      <c r="H264" s="350" t="s">
        <v>1780</v>
      </c>
      <c r="I264" s="351" t="s">
        <v>1781</v>
      </c>
      <c r="J264" s="350"/>
      <c r="K264" s="349" t="s">
        <v>283</v>
      </c>
      <c r="L264" s="348"/>
      <c r="M264" s="348"/>
      <c r="N264" s="359" t="s">
        <v>1782</v>
      </c>
      <c r="O264" s="359"/>
      <c r="P264" s="352" t="s">
        <v>2596</v>
      </c>
      <c r="Q264" s="352"/>
      <c r="R264" s="352"/>
      <c r="S264" s="352">
        <v>20</v>
      </c>
      <c r="T264" s="352">
        <f>$S264*DE_Cost!$B$1*8</f>
        <v>192</v>
      </c>
      <c r="U264" s="355">
        <f>$S264*DE_Cost!$B$1</f>
        <v>24</v>
      </c>
      <c r="V264" s="355"/>
      <c r="W264" s="355"/>
      <c r="X264" s="355">
        <f t="shared" si="13"/>
        <v>4</v>
      </c>
      <c r="Y264" s="355">
        <f t="shared" si="14"/>
        <v>80</v>
      </c>
      <c r="Z264" s="352" t="s">
        <v>42</v>
      </c>
      <c r="AA264" s="352"/>
      <c r="AB264" s="353"/>
      <c r="AC264" s="353"/>
      <c r="AD264" s="482"/>
      <c r="AE264" s="487">
        <f t="shared" si="15"/>
        <v>29248.354392745652</v>
      </c>
    </row>
    <row r="265" spans="1:31" ht="126" hidden="1">
      <c r="A265" s="368" t="s">
        <v>140</v>
      </c>
      <c r="B265" s="367" t="s">
        <v>1584</v>
      </c>
      <c r="C265" s="357" t="s">
        <v>1594</v>
      </c>
      <c r="D265" s="357" t="s">
        <v>1783</v>
      </c>
      <c r="E265" s="357" t="s">
        <v>1784</v>
      </c>
      <c r="F265" s="351" t="s">
        <v>1659</v>
      </c>
      <c r="G265" s="349" t="s">
        <v>174</v>
      </c>
      <c r="H265" s="350" t="s">
        <v>1785</v>
      </c>
      <c r="I265" s="351" t="s">
        <v>1659</v>
      </c>
      <c r="J265" s="350"/>
      <c r="K265" s="349" t="s">
        <v>346</v>
      </c>
      <c r="L265" s="348"/>
      <c r="M265" s="348"/>
      <c r="N265" s="359" t="s">
        <v>1786</v>
      </c>
      <c r="O265" s="359"/>
      <c r="P265" s="352"/>
      <c r="Q265" s="352"/>
      <c r="R265" s="352"/>
      <c r="S265" s="352"/>
      <c r="T265" s="352"/>
      <c r="U265" s="355"/>
      <c r="V265" s="355"/>
      <c r="W265" s="355"/>
      <c r="X265" s="355">
        <f t="shared" si="13"/>
        <v>0</v>
      </c>
      <c r="Y265" s="355">
        <f t="shared" si="14"/>
        <v>0</v>
      </c>
      <c r="Z265" s="352" t="s">
        <v>42</v>
      </c>
      <c r="AA265" s="352"/>
      <c r="AB265" s="353"/>
      <c r="AC265" s="353"/>
      <c r="AD265" s="482"/>
      <c r="AE265" s="487">
        <f t="shared" si="15"/>
        <v>0</v>
      </c>
    </row>
    <row r="266" spans="1:31" ht="126" hidden="1">
      <c r="A266" s="368" t="s">
        <v>140</v>
      </c>
      <c r="B266" s="367" t="s">
        <v>1584</v>
      </c>
      <c r="C266" s="357" t="s">
        <v>1594</v>
      </c>
      <c r="D266" s="357" t="s">
        <v>1787</v>
      </c>
      <c r="E266" s="357" t="s">
        <v>1788</v>
      </c>
      <c r="F266" s="351" t="s">
        <v>1659</v>
      </c>
      <c r="G266" s="349" t="s">
        <v>174</v>
      </c>
      <c r="H266" s="350" t="s">
        <v>1789</v>
      </c>
      <c r="I266" s="351" t="s">
        <v>1659</v>
      </c>
      <c r="J266" s="350"/>
      <c r="K266" s="349" t="s">
        <v>346</v>
      </c>
      <c r="L266" s="348"/>
      <c r="M266" s="348"/>
      <c r="N266" s="359" t="s">
        <v>1790</v>
      </c>
      <c r="O266" s="359"/>
      <c r="P266" s="352"/>
      <c r="Q266" s="352"/>
      <c r="R266" s="352"/>
      <c r="S266" s="352"/>
      <c r="T266" s="352"/>
      <c r="U266" s="355"/>
      <c r="V266" s="355"/>
      <c r="W266" s="355"/>
      <c r="X266" s="355">
        <f t="shared" si="13"/>
        <v>0</v>
      </c>
      <c r="Y266" s="355">
        <f t="shared" si="14"/>
        <v>0</v>
      </c>
      <c r="Z266" s="352" t="s">
        <v>42</v>
      </c>
      <c r="AA266" s="352"/>
      <c r="AB266" s="353"/>
      <c r="AC266" s="353"/>
      <c r="AD266" s="482"/>
      <c r="AE266" s="487">
        <f t="shared" si="15"/>
        <v>0</v>
      </c>
    </row>
    <row r="267" spans="1:31" ht="108" hidden="1">
      <c r="A267" s="368" t="s">
        <v>140</v>
      </c>
      <c r="B267" s="367" t="s">
        <v>1584</v>
      </c>
      <c r="C267" s="357" t="s">
        <v>1594</v>
      </c>
      <c r="D267" s="357" t="s">
        <v>1791</v>
      </c>
      <c r="E267" s="357" t="s">
        <v>1792</v>
      </c>
      <c r="F267" s="351" t="s">
        <v>1659</v>
      </c>
      <c r="G267" s="349" t="s">
        <v>174</v>
      </c>
      <c r="H267" s="361" t="s">
        <v>1793</v>
      </c>
      <c r="I267" s="351" t="s">
        <v>1659</v>
      </c>
      <c r="J267" s="350"/>
      <c r="K267" s="349" t="s">
        <v>346</v>
      </c>
      <c r="L267" s="348"/>
      <c r="M267" s="348"/>
      <c r="N267" s="359" t="s">
        <v>1794</v>
      </c>
      <c r="O267" s="359"/>
      <c r="P267" s="352"/>
      <c r="Q267" s="352"/>
      <c r="R267" s="352"/>
      <c r="S267" s="352"/>
      <c r="T267" s="352"/>
      <c r="U267" s="355"/>
      <c r="V267" s="355"/>
      <c r="W267" s="355"/>
      <c r="X267" s="355">
        <f t="shared" si="13"/>
        <v>0</v>
      </c>
      <c r="Y267" s="355">
        <f t="shared" si="14"/>
        <v>0</v>
      </c>
      <c r="Z267" s="352" t="s">
        <v>42</v>
      </c>
      <c r="AA267" s="352"/>
      <c r="AB267" s="353"/>
      <c r="AC267" s="353"/>
      <c r="AD267" s="482"/>
      <c r="AE267" s="487">
        <f t="shared" si="15"/>
        <v>0</v>
      </c>
    </row>
    <row r="268" spans="1:31" ht="54">
      <c r="A268" s="368" t="s">
        <v>140</v>
      </c>
      <c r="B268" s="367" t="s">
        <v>1584</v>
      </c>
      <c r="C268" s="357" t="s">
        <v>1594</v>
      </c>
      <c r="D268" s="357" t="s">
        <v>1795</v>
      </c>
      <c r="E268" s="357" t="s">
        <v>1796</v>
      </c>
      <c r="F268" s="351"/>
      <c r="G268" s="349" t="s">
        <v>174</v>
      </c>
      <c r="H268" s="361" t="s">
        <v>1797</v>
      </c>
      <c r="I268" s="351"/>
      <c r="J268" s="350"/>
      <c r="K268" s="349" t="s">
        <v>283</v>
      </c>
      <c r="L268" s="348"/>
      <c r="M268" s="348"/>
      <c r="N268" s="359" t="s">
        <v>1798</v>
      </c>
      <c r="O268" s="359" t="s">
        <v>1799</v>
      </c>
      <c r="P268" s="352" t="s">
        <v>2595</v>
      </c>
      <c r="Q268" s="352"/>
      <c r="R268" s="352"/>
      <c r="S268" s="352">
        <v>30</v>
      </c>
      <c r="T268" s="352">
        <f>$S268*DE_Cost!$B$1*8</f>
        <v>288</v>
      </c>
      <c r="U268" s="355">
        <f>$S268*DE_Cost!$B$1</f>
        <v>36</v>
      </c>
      <c r="V268" s="355"/>
      <c r="W268" s="355"/>
      <c r="X268" s="355">
        <f t="shared" si="13"/>
        <v>7</v>
      </c>
      <c r="Y268" s="355">
        <f t="shared" si="14"/>
        <v>210</v>
      </c>
      <c r="Z268" s="352" t="s">
        <v>150</v>
      </c>
      <c r="AA268" s="352" t="s">
        <v>1800</v>
      </c>
      <c r="AB268" s="353"/>
      <c r="AC268" s="353"/>
      <c r="AD268" s="482"/>
      <c r="AE268" s="487">
        <f t="shared" si="15"/>
        <v>76776.930280957342</v>
      </c>
    </row>
    <row r="269" spans="1:31" ht="90" hidden="1">
      <c r="A269" s="368" t="s">
        <v>140</v>
      </c>
      <c r="B269" s="367" t="s">
        <v>1584</v>
      </c>
      <c r="C269" s="357" t="s">
        <v>1594</v>
      </c>
      <c r="D269" s="357" t="s">
        <v>1801</v>
      </c>
      <c r="E269" s="357" t="s">
        <v>1802</v>
      </c>
      <c r="F269" s="351" t="s">
        <v>1803</v>
      </c>
      <c r="G269" s="349" t="s">
        <v>174</v>
      </c>
      <c r="H269" s="361" t="s">
        <v>1804</v>
      </c>
      <c r="I269" s="351" t="s">
        <v>1803</v>
      </c>
      <c r="J269" s="350"/>
      <c r="K269" s="349" t="s">
        <v>346</v>
      </c>
      <c r="L269" s="348"/>
      <c r="M269" s="348"/>
      <c r="N269" s="359" t="s">
        <v>1805</v>
      </c>
      <c r="O269" s="359"/>
      <c r="P269" s="352"/>
      <c r="Q269" s="352"/>
      <c r="R269" s="352"/>
      <c r="S269" s="352"/>
      <c r="T269" s="352"/>
      <c r="U269" s="355"/>
      <c r="V269" s="355"/>
      <c r="W269" s="355"/>
      <c r="X269" s="355">
        <f t="shared" si="13"/>
        <v>0</v>
      </c>
      <c r="Y269" s="355">
        <f t="shared" si="14"/>
        <v>0</v>
      </c>
      <c r="Z269" s="352" t="s">
        <v>42</v>
      </c>
      <c r="AA269" s="352"/>
      <c r="AB269" s="353"/>
      <c r="AC269" s="353"/>
      <c r="AD269" s="482"/>
      <c r="AE269" s="487">
        <f t="shared" si="15"/>
        <v>0</v>
      </c>
    </row>
    <row r="270" spans="1:31" ht="252">
      <c r="A270" s="368" t="s">
        <v>140</v>
      </c>
      <c r="B270" s="367" t="s">
        <v>1584</v>
      </c>
      <c r="C270" s="357" t="s">
        <v>1594</v>
      </c>
      <c r="D270" s="357" t="s">
        <v>1806</v>
      </c>
      <c r="E270" s="357" t="s">
        <v>1807</v>
      </c>
      <c r="F270" s="351"/>
      <c r="G270" s="349" t="s">
        <v>174</v>
      </c>
      <c r="H270" s="361" t="s">
        <v>1808</v>
      </c>
      <c r="I270" s="351"/>
      <c r="J270" s="350" t="s">
        <v>1809</v>
      </c>
      <c r="K270" s="349" t="s">
        <v>283</v>
      </c>
      <c r="L270" s="348"/>
      <c r="M270" s="348"/>
      <c r="N270" s="359" t="s">
        <v>1810</v>
      </c>
      <c r="O270" s="359"/>
      <c r="P270" s="352" t="s">
        <v>2596</v>
      </c>
      <c r="Q270" s="352"/>
      <c r="R270" s="352"/>
      <c r="S270" s="352">
        <v>10</v>
      </c>
      <c r="T270" s="352">
        <f>$S270*DE_Cost!$B$1*8</f>
        <v>96</v>
      </c>
      <c r="U270" s="355">
        <f>$S270*DE_Cost!$B$1</f>
        <v>12</v>
      </c>
      <c r="V270" s="355"/>
      <c r="W270" s="355"/>
      <c r="X270" s="355">
        <f t="shared" si="13"/>
        <v>4</v>
      </c>
      <c r="Y270" s="355">
        <f t="shared" si="14"/>
        <v>40</v>
      </c>
      <c r="Z270" s="352" t="s">
        <v>42</v>
      </c>
      <c r="AA270" s="352"/>
      <c r="AB270" s="353">
        <v>1103</v>
      </c>
      <c r="AC270" s="353"/>
      <c r="AD270" s="482"/>
      <c r="AE270" s="487">
        <f t="shared" si="15"/>
        <v>14624.177196372826</v>
      </c>
    </row>
    <row r="271" spans="1:31" ht="72">
      <c r="A271" s="368" t="s">
        <v>1811</v>
      </c>
      <c r="B271" s="367" t="s">
        <v>1812</v>
      </c>
      <c r="C271" s="357" t="s">
        <v>1813</v>
      </c>
      <c r="D271" s="357" t="s">
        <v>1814</v>
      </c>
      <c r="E271" s="357" t="s">
        <v>1815</v>
      </c>
      <c r="F271" s="351" t="s">
        <v>1816</v>
      </c>
      <c r="G271" s="349"/>
      <c r="H271" s="372" t="s">
        <v>1817</v>
      </c>
      <c r="I271" s="351" t="s">
        <v>1818</v>
      </c>
      <c r="J271" s="350"/>
      <c r="K271" s="349"/>
      <c r="L271" s="348"/>
      <c r="M271" s="348"/>
      <c r="N271" s="359" t="s">
        <v>1819</v>
      </c>
      <c r="O271" s="359" t="s">
        <v>1818</v>
      </c>
      <c r="P271" s="352" t="s">
        <v>2597</v>
      </c>
      <c r="Q271" s="352"/>
      <c r="R271" s="352"/>
      <c r="S271" s="352">
        <v>10</v>
      </c>
      <c r="T271" s="352">
        <f>$S271*DE_Cost!$B$1*8</f>
        <v>96</v>
      </c>
      <c r="U271" s="355">
        <f>$S271*DE_Cost!$B$1</f>
        <v>12</v>
      </c>
      <c r="V271" s="355"/>
      <c r="W271" s="355"/>
      <c r="X271" s="355">
        <f t="shared" si="13"/>
        <v>6</v>
      </c>
      <c r="Y271" s="355">
        <f t="shared" si="14"/>
        <v>60</v>
      </c>
      <c r="Z271" s="352" t="s">
        <v>42</v>
      </c>
      <c r="AA271" s="352"/>
      <c r="AB271" s="353"/>
      <c r="AC271" s="353"/>
      <c r="AD271" s="482"/>
      <c r="AE271" s="487">
        <f t="shared" si="15"/>
        <v>21936.265794559236</v>
      </c>
    </row>
    <row r="272" spans="1:31" ht="144">
      <c r="A272" s="368" t="s">
        <v>1811</v>
      </c>
      <c r="B272" s="367" t="s">
        <v>1812</v>
      </c>
      <c r="C272" s="357" t="s">
        <v>1813</v>
      </c>
      <c r="D272" s="357" t="s">
        <v>1820</v>
      </c>
      <c r="E272" s="357" t="s">
        <v>1821</v>
      </c>
      <c r="F272" s="351" t="s">
        <v>1822</v>
      </c>
      <c r="G272" s="349"/>
      <c r="H272" s="350" t="s">
        <v>1823</v>
      </c>
      <c r="I272" s="351" t="s">
        <v>1824</v>
      </c>
      <c r="J272" s="350"/>
      <c r="K272" s="349"/>
      <c r="L272" s="348"/>
      <c r="M272" s="348"/>
      <c r="N272" s="359" t="s">
        <v>1825</v>
      </c>
      <c r="O272" s="359" t="s">
        <v>1826</v>
      </c>
      <c r="P272" s="352" t="s">
        <v>2595</v>
      </c>
      <c r="Q272" s="352"/>
      <c r="R272" s="352"/>
      <c r="S272" s="352">
        <v>10</v>
      </c>
      <c r="T272" s="352">
        <f>$S272*DE_Cost!$B$1*8</f>
        <v>96</v>
      </c>
      <c r="U272" s="355">
        <f>$S272*DE_Cost!$B$1</f>
        <v>12</v>
      </c>
      <c r="V272" s="355"/>
      <c r="W272" s="355"/>
      <c r="X272" s="355">
        <f t="shared" si="13"/>
        <v>7</v>
      </c>
      <c r="Y272" s="355">
        <f t="shared" si="14"/>
        <v>70</v>
      </c>
      <c r="Z272" s="352" t="s">
        <v>42</v>
      </c>
      <c r="AA272" s="352"/>
      <c r="AB272" s="353"/>
      <c r="AC272" s="353"/>
      <c r="AD272" s="482"/>
      <c r="AE272" s="487">
        <f t="shared" si="15"/>
        <v>25592.310093652446</v>
      </c>
    </row>
    <row r="273" spans="1:31" ht="270">
      <c r="A273" s="368" t="s">
        <v>1811</v>
      </c>
      <c r="B273" s="367" t="s">
        <v>1812</v>
      </c>
      <c r="C273" s="357" t="s">
        <v>1813</v>
      </c>
      <c r="D273" s="357" t="s">
        <v>1827</v>
      </c>
      <c r="E273" s="357" t="s">
        <v>1828</v>
      </c>
      <c r="F273" s="351" t="s">
        <v>1829</v>
      </c>
      <c r="G273" s="349" t="s">
        <v>1320</v>
      </c>
      <c r="H273" s="361" t="s">
        <v>1830</v>
      </c>
      <c r="I273" s="351" t="s">
        <v>1831</v>
      </c>
      <c r="J273" s="350" t="s">
        <v>1832</v>
      </c>
      <c r="K273" s="349" t="s">
        <v>1320</v>
      </c>
      <c r="L273" s="348" t="s">
        <v>1833</v>
      </c>
      <c r="M273" s="348"/>
      <c r="N273" s="370" t="s">
        <v>1834</v>
      </c>
      <c r="O273" s="351" t="s">
        <v>1831</v>
      </c>
      <c r="P273" s="352" t="s">
        <v>2595</v>
      </c>
      <c r="Q273" s="352"/>
      <c r="R273" s="352"/>
      <c r="S273" s="352">
        <v>20</v>
      </c>
      <c r="T273" s="352">
        <f>$S273*DE_Cost!$B$1*8</f>
        <v>192</v>
      </c>
      <c r="U273" s="355">
        <f>$S273*DE_Cost!$B$1</f>
        <v>24</v>
      </c>
      <c r="V273" s="355"/>
      <c r="W273" s="355"/>
      <c r="X273" s="355">
        <f t="shared" si="13"/>
        <v>7</v>
      </c>
      <c r="Y273" s="355">
        <f t="shared" si="14"/>
        <v>140</v>
      </c>
      <c r="Z273" s="352" t="s">
        <v>42</v>
      </c>
      <c r="AA273" s="352"/>
      <c r="AB273" s="353"/>
      <c r="AC273" s="353"/>
      <c r="AD273" s="482"/>
      <c r="AE273" s="487">
        <f t="shared" si="15"/>
        <v>51184.620187304892</v>
      </c>
    </row>
    <row r="274" spans="1:31" ht="90">
      <c r="A274" s="368" t="s">
        <v>1811</v>
      </c>
      <c r="B274" s="367" t="s">
        <v>1812</v>
      </c>
      <c r="C274" s="357" t="s">
        <v>1813</v>
      </c>
      <c r="D274" s="357" t="s">
        <v>1835</v>
      </c>
      <c r="E274" s="357" t="s">
        <v>1836</v>
      </c>
      <c r="F274" s="351" t="s">
        <v>1837</v>
      </c>
      <c r="G274" s="349"/>
      <c r="H274" s="361" t="s">
        <v>1838</v>
      </c>
      <c r="I274" s="351" t="s">
        <v>1839</v>
      </c>
      <c r="J274" s="350"/>
      <c r="K274" s="349"/>
      <c r="L274" s="348"/>
      <c r="M274" s="348"/>
      <c r="N274" s="370" t="s">
        <v>1840</v>
      </c>
      <c r="O274" s="351" t="s">
        <v>1841</v>
      </c>
      <c r="P274" s="352" t="s">
        <v>2595</v>
      </c>
      <c r="Q274" s="352"/>
      <c r="R274" s="352"/>
      <c r="S274" s="352">
        <v>10</v>
      </c>
      <c r="T274" s="352">
        <f>$S274*DE_Cost!$B$1*8</f>
        <v>96</v>
      </c>
      <c r="U274" s="355">
        <f>$S274*DE_Cost!$B$1</f>
        <v>12</v>
      </c>
      <c r="V274" s="355"/>
      <c r="W274" s="355"/>
      <c r="X274" s="355">
        <f t="shared" si="13"/>
        <v>7</v>
      </c>
      <c r="Y274" s="355">
        <f t="shared" si="14"/>
        <v>70</v>
      </c>
      <c r="Z274" s="352" t="s">
        <v>42</v>
      </c>
      <c r="AA274" s="352"/>
      <c r="AB274" s="353"/>
      <c r="AC274" s="353"/>
      <c r="AD274" s="482"/>
      <c r="AE274" s="487">
        <f t="shared" si="15"/>
        <v>25592.310093652446</v>
      </c>
    </row>
    <row r="275" spans="1:31" ht="72">
      <c r="A275" s="368" t="s">
        <v>1811</v>
      </c>
      <c r="B275" s="367" t="s">
        <v>1812</v>
      </c>
      <c r="C275" s="357" t="s">
        <v>1813</v>
      </c>
      <c r="D275" s="357" t="s">
        <v>1842</v>
      </c>
      <c r="E275" s="357" t="s">
        <v>1843</v>
      </c>
      <c r="F275" s="351" t="s">
        <v>1844</v>
      </c>
      <c r="G275" s="349"/>
      <c r="H275" s="365" t="s">
        <v>1845</v>
      </c>
      <c r="I275" s="351" t="s">
        <v>1846</v>
      </c>
      <c r="J275" s="350"/>
      <c r="K275" s="349"/>
      <c r="L275" s="348"/>
      <c r="M275" s="348"/>
      <c r="N275" s="370" t="s">
        <v>1847</v>
      </c>
      <c r="O275" s="351" t="s">
        <v>1846</v>
      </c>
      <c r="P275" s="352" t="s">
        <v>2597</v>
      </c>
      <c r="Q275" s="352"/>
      <c r="R275" s="352"/>
      <c r="S275" s="352">
        <v>10</v>
      </c>
      <c r="T275" s="352">
        <f>$S275*DE_Cost!$B$1*8</f>
        <v>96</v>
      </c>
      <c r="U275" s="355">
        <f>$S275*DE_Cost!$B$1</f>
        <v>12</v>
      </c>
      <c r="V275" s="355"/>
      <c r="W275" s="355"/>
      <c r="X275" s="355">
        <f t="shared" si="13"/>
        <v>6</v>
      </c>
      <c r="Y275" s="355">
        <f t="shared" si="14"/>
        <v>60</v>
      </c>
      <c r="Z275" s="352" t="s">
        <v>150</v>
      </c>
      <c r="AA275" s="352" t="s">
        <v>1848</v>
      </c>
      <c r="AB275" s="353"/>
      <c r="AC275" s="353"/>
      <c r="AD275" s="482"/>
      <c r="AE275" s="487">
        <f t="shared" si="15"/>
        <v>21936.265794559236</v>
      </c>
    </row>
    <row r="276" spans="1:31" ht="342">
      <c r="A276" s="368" t="s">
        <v>1811</v>
      </c>
      <c r="B276" s="367" t="s">
        <v>1812</v>
      </c>
      <c r="C276" s="357" t="s">
        <v>1849</v>
      </c>
      <c r="D276" s="357" t="s">
        <v>1850</v>
      </c>
      <c r="E276" s="357" t="s">
        <v>1851</v>
      </c>
      <c r="F276" s="351" t="s">
        <v>1852</v>
      </c>
      <c r="G276" s="349" t="s">
        <v>174</v>
      </c>
      <c r="H276" s="365" t="s">
        <v>1853</v>
      </c>
      <c r="I276" s="351" t="s">
        <v>1852</v>
      </c>
      <c r="J276" s="350" t="s">
        <v>1854</v>
      </c>
      <c r="K276" s="349" t="s">
        <v>283</v>
      </c>
      <c r="L276" s="348" t="s">
        <v>1855</v>
      </c>
      <c r="M276" s="348"/>
      <c r="N276" s="370" t="s">
        <v>1856</v>
      </c>
      <c r="O276" s="359"/>
      <c r="P276" s="352" t="s">
        <v>2597</v>
      </c>
      <c r="Q276" s="352" t="s">
        <v>1857</v>
      </c>
      <c r="R276" s="352"/>
      <c r="S276" s="352">
        <v>20</v>
      </c>
      <c r="T276" s="352">
        <f>$S276*DE_Cost!$B$1*8</f>
        <v>192</v>
      </c>
      <c r="U276" s="355">
        <f>$S276*DE_Cost!$B$1</f>
        <v>24</v>
      </c>
      <c r="V276" s="355"/>
      <c r="W276" s="355"/>
      <c r="X276" s="355">
        <f t="shared" si="13"/>
        <v>6</v>
      </c>
      <c r="Y276" s="355">
        <f t="shared" si="14"/>
        <v>120</v>
      </c>
      <c r="Z276" s="352" t="s">
        <v>42</v>
      </c>
      <c r="AA276" s="352"/>
      <c r="AB276" s="353"/>
      <c r="AC276" s="353"/>
      <c r="AD276" s="482"/>
      <c r="AE276" s="487">
        <f t="shared" si="15"/>
        <v>43872.531589118473</v>
      </c>
    </row>
    <row r="277" spans="1:31" ht="270">
      <c r="A277" s="368" t="s">
        <v>1858</v>
      </c>
      <c r="B277" s="367" t="s">
        <v>1859</v>
      </c>
      <c r="C277" s="357" t="s">
        <v>1860</v>
      </c>
      <c r="D277" s="357" t="s">
        <v>1861</v>
      </c>
      <c r="E277" s="357" t="s">
        <v>2436</v>
      </c>
      <c r="F277" s="351" t="s">
        <v>1863</v>
      </c>
      <c r="G277" s="349" t="s">
        <v>1864</v>
      </c>
      <c r="H277" s="350" t="s">
        <v>1865</v>
      </c>
      <c r="I277" s="351" t="s">
        <v>1866</v>
      </c>
      <c r="J277" s="350" t="s">
        <v>1867</v>
      </c>
      <c r="K277" s="349" t="s">
        <v>398</v>
      </c>
      <c r="L277" s="371" t="s">
        <v>1868</v>
      </c>
      <c r="M277" s="348"/>
      <c r="N277" s="359" t="s">
        <v>1869</v>
      </c>
      <c r="O277" s="351" t="s">
        <v>1866</v>
      </c>
      <c r="P277" s="352" t="s">
        <v>2593</v>
      </c>
      <c r="Q277" s="352"/>
      <c r="R277" s="352"/>
      <c r="S277" s="352">
        <v>20</v>
      </c>
      <c r="T277" s="352">
        <f>$S277*DE_Cost!$B$1*8</f>
        <v>192</v>
      </c>
      <c r="U277" s="355">
        <f>$S277*DE_Cost!$B$1</f>
        <v>24</v>
      </c>
      <c r="V277" s="355"/>
      <c r="W277" s="355"/>
      <c r="X277" s="355">
        <f t="shared" si="13"/>
        <v>6</v>
      </c>
      <c r="Y277" s="355">
        <f t="shared" si="14"/>
        <v>120</v>
      </c>
      <c r="Z277" s="352" t="s">
        <v>42</v>
      </c>
      <c r="AA277" s="352"/>
      <c r="AB277" s="353"/>
      <c r="AC277" s="353"/>
      <c r="AD277" s="482"/>
      <c r="AE277" s="487">
        <f t="shared" si="15"/>
        <v>43872.531589118473</v>
      </c>
    </row>
    <row r="278" spans="1:31" ht="38.25" customHeight="1">
      <c r="A278" s="368" t="s">
        <v>1858</v>
      </c>
      <c r="B278" s="367" t="s">
        <v>1859</v>
      </c>
      <c r="C278" s="357" t="s">
        <v>1860</v>
      </c>
      <c r="D278" s="357" t="s">
        <v>1870</v>
      </c>
      <c r="E278" s="357" t="s">
        <v>2412</v>
      </c>
      <c r="F278" s="351"/>
      <c r="G278" s="349"/>
      <c r="H278" s="350" t="s">
        <v>1872</v>
      </c>
      <c r="I278" s="351"/>
      <c r="J278" s="350"/>
      <c r="K278" s="349"/>
      <c r="L278" s="348"/>
      <c r="M278" s="348"/>
      <c r="N278" s="359" t="s">
        <v>1873</v>
      </c>
      <c r="O278" s="351"/>
      <c r="P278" s="352" t="s">
        <v>2597</v>
      </c>
      <c r="Q278" s="352"/>
      <c r="R278" s="352"/>
      <c r="S278" s="352">
        <v>5</v>
      </c>
      <c r="T278" s="352">
        <f>$S278*DE_Cost!$B$1*8</f>
        <v>48</v>
      </c>
      <c r="U278" s="355">
        <f>$S278*DE_Cost!$B$1</f>
        <v>6</v>
      </c>
      <c r="V278" s="355"/>
      <c r="W278" s="355"/>
      <c r="X278" s="355">
        <f t="shared" si="13"/>
        <v>6</v>
      </c>
      <c r="Y278" s="355">
        <f t="shared" si="14"/>
        <v>30</v>
      </c>
      <c r="Z278" s="352" t="s">
        <v>42</v>
      </c>
      <c r="AA278" s="352"/>
      <c r="AB278" s="353"/>
      <c r="AC278" s="353"/>
      <c r="AD278" s="482"/>
      <c r="AE278" s="487">
        <f t="shared" si="15"/>
        <v>10968.132897279618</v>
      </c>
    </row>
    <row r="279" spans="1:31" ht="90">
      <c r="A279" s="368" t="s">
        <v>1858</v>
      </c>
      <c r="B279" s="367" t="s">
        <v>1859</v>
      </c>
      <c r="C279" s="357" t="s">
        <v>1860</v>
      </c>
      <c r="D279" s="357" t="s">
        <v>1874</v>
      </c>
      <c r="E279" s="357" t="s">
        <v>1875</v>
      </c>
      <c r="F279" s="351" t="s">
        <v>1876</v>
      </c>
      <c r="G279" s="349" t="s">
        <v>1022</v>
      </c>
      <c r="H279" s="350" t="s">
        <v>1877</v>
      </c>
      <c r="I279" s="351" t="s">
        <v>1878</v>
      </c>
      <c r="J279" s="350"/>
      <c r="K279" s="349"/>
      <c r="L279" s="348"/>
      <c r="M279" s="348"/>
      <c r="N279" s="359" t="s">
        <v>1879</v>
      </c>
      <c r="O279" s="351" t="s">
        <v>1878</v>
      </c>
      <c r="P279" s="352" t="s">
        <v>2596</v>
      </c>
      <c r="Q279" s="352"/>
      <c r="R279" s="352"/>
      <c r="S279" s="352">
        <v>10</v>
      </c>
      <c r="T279" s="352">
        <f>$S279*DE_Cost!$B$1*8</f>
        <v>96</v>
      </c>
      <c r="U279" s="355">
        <f>$S279*DE_Cost!$B$1</f>
        <v>12</v>
      </c>
      <c r="V279" s="355"/>
      <c r="W279" s="355"/>
      <c r="X279" s="355">
        <f t="shared" si="13"/>
        <v>4</v>
      </c>
      <c r="Y279" s="355">
        <f t="shared" si="14"/>
        <v>40</v>
      </c>
      <c r="Z279" s="352" t="s">
        <v>42</v>
      </c>
      <c r="AA279" s="352"/>
      <c r="AB279" s="353"/>
      <c r="AC279" s="353"/>
      <c r="AD279" s="482"/>
      <c r="AE279" s="487">
        <f t="shared" si="15"/>
        <v>14624.177196372826</v>
      </c>
    </row>
    <row r="280" spans="1:31" ht="38.25" customHeight="1">
      <c r="A280" s="368" t="s">
        <v>1858</v>
      </c>
      <c r="B280" s="367" t="s">
        <v>1859</v>
      </c>
      <c r="C280" s="357" t="s">
        <v>1860</v>
      </c>
      <c r="D280" s="357" t="s">
        <v>1880</v>
      </c>
      <c r="E280" s="357" t="s">
        <v>1881</v>
      </c>
      <c r="F280" s="351" t="s">
        <v>1882</v>
      </c>
      <c r="G280" s="349"/>
      <c r="H280" s="350" t="s">
        <v>1883</v>
      </c>
      <c r="I280" s="351" t="s">
        <v>1884</v>
      </c>
      <c r="J280" s="350"/>
      <c r="K280" s="349"/>
      <c r="L280" s="348"/>
      <c r="M280" s="348"/>
      <c r="N280" s="359" t="s">
        <v>1885</v>
      </c>
      <c r="O280" s="351" t="s">
        <v>1886</v>
      </c>
      <c r="P280" s="352" t="s">
        <v>2596</v>
      </c>
      <c r="Q280" s="352"/>
      <c r="R280" s="352"/>
      <c r="S280" s="352">
        <v>8</v>
      </c>
      <c r="T280" s="352">
        <f>$S280*DE_Cost!$B$1*8</f>
        <v>76.8</v>
      </c>
      <c r="U280" s="355">
        <f>$S280*DE_Cost!$B$1</f>
        <v>9.6</v>
      </c>
      <c r="V280" s="355"/>
      <c r="W280" s="355"/>
      <c r="X280" s="355">
        <f t="shared" si="13"/>
        <v>4</v>
      </c>
      <c r="Y280" s="355">
        <f t="shared" si="14"/>
        <v>32</v>
      </c>
      <c r="Z280" s="352" t="s">
        <v>42</v>
      </c>
      <c r="AA280" s="352"/>
      <c r="AB280" s="353"/>
      <c r="AC280" s="353"/>
      <c r="AD280" s="482"/>
      <c r="AE280" s="487">
        <f t="shared" si="15"/>
        <v>11699.341757098262</v>
      </c>
    </row>
    <row r="281" spans="1:31" ht="72" customHeight="1">
      <c r="A281" s="368" t="s">
        <v>1858</v>
      </c>
      <c r="B281" s="367" t="s">
        <v>1859</v>
      </c>
      <c r="C281" s="357" t="s">
        <v>1887</v>
      </c>
      <c r="D281" s="357" t="s">
        <v>1888</v>
      </c>
      <c r="E281" s="357" t="s">
        <v>1889</v>
      </c>
      <c r="F281" s="351" t="s">
        <v>1890</v>
      </c>
      <c r="G281" s="349" t="s">
        <v>1505</v>
      </c>
      <c r="H281" s="365" t="s">
        <v>1891</v>
      </c>
      <c r="I281" s="351" t="s">
        <v>1892</v>
      </c>
      <c r="J281" s="350"/>
      <c r="K281" s="349" t="s">
        <v>398</v>
      </c>
      <c r="L281" s="348"/>
      <c r="M281" s="348"/>
      <c r="N281" s="370" t="s">
        <v>1893</v>
      </c>
      <c r="O281" s="351" t="s">
        <v>1892</v>
      </c>
      <c r="P281" s="352" t="s">
        <v>2596</v>
      </c>
      <c r="Q281" s="352"/>
      <c r="R281" s="352"/>
      <c r="S281" s="352">
        <v>15</v>
      </c>
      <c r="T281" s="352">
        <f>$S281*DE_Cost!$B$1*8</f>
        <v>144</v>
      </c>
      <c r="U281" s="355">
        <f>$S281*DE_Cost!$B$1</f>
        <v>18</v>
      </c>
      <c r="V281" s="355"/>
      <c r="W281" s="355"/>
      <c r="X281" s="355">
        <f t="shared" si="13"/>
        <v>4</v>
      </c>
      <c r="Y281" s="355">
        <f t="shared" si="14"/>
        <v>60</v>
      </c>
      <c r="Z281" s="352" t="s">
        <v>42</v>
      </c>
      <c r="AA281" s="352"/>
      <c r="AB281" s="353"/>
      <c r="AC281" s="353"/>
      <c r="AD281" s="482"/>
      <c r="AE281" s="487">
        <f t="shared" si="15"/>
        <v>21936.265794559236</v>
      </c>
    </row>
    <row r="282" spans="1:31" ht="38.25" customHeight="1">
      <c r="A282" s="368" t="s">
        <v>1858</v>
      </c>
      <c r="B282" s="367" t="s">
        <v>1859</v>
      </c>
      <c r="C282" s="357" t="s">
        <v>1887</v>
      </c>
      <c r="D282" s="357" t="s">
        <v>1894</v>
      </c>
      <c r="E282" s="357" t="s">
        <v>1895</v>
      </c>
      <c r="F282" s="351" t="s">
        <v>1896</v>
      </c>
      <c r="G282" s="349" t="s">
        <v>1505</v>
      </c>
      <c r="H282" s="365" t="s">
        <v>1897</v>
      </c>
      <c r="I282" s="351" t="s">
        <v>1898</v>
      </c>
      <c r="J282" s="350"/>
      <c r="K282" s="349" t="s">
        <v>398</v>
      </c>
      <c r="L282" s="348"/>
      <c r="M282" s="348"/>
      <c r="N282" s="370" t="s">
        <v>1899</v>
      </c>
      <c r="O282" s="351" t="s">
        <v>1898</v>
      </c>
      <c r="P282" s="352" t="s">
        <v>2596</v>
      </c>
      <c r="Q282" s="352"/>
      <c r="R282" s="352"/>
      <c r="S282" s="352">
        <v>15</v>
      </c>
      <c r="T282" s="352">
        <f>$S282*DE_Cost!$B$1*8</f>
        <v>144</v>
      </c>
      <c r="U282" s="355">
        <f>$S282*DE_Cost!$B$1</f>
        <v>18</v>
      </c>
      <c r="V282" s="355"/>
      <c r="W282" s="355"/>
      <c r="X282" s="355">
        <f t="shared" si="13"/>
        <v>4</v>
      </c>
      <c r="Y282" s="355">
        <f t="shared" si="14"/>
        <v>60</v>
      </c>
      <c r="Z282" s="352" t="s">
        <v>42</v>
      </c>
      <c r="AA282" s="352"/>
      <c r="AB282" s="353"/>
      <c r="AC282" s="353"/>
      <c r="AD282" s="482"/>
      <c r="AE282" s="487">
        <f t="shared" si="15"/>
        <v>21936.265794559236</v>
      </c>
    </row>
    <row r="283" spans="1:31" ht="38.25" customHeight="1">
      <c r="A283" s="368" t="s">
        <v>1858</v>
      </c>
      <c r="B283" s="367" t="s">
        <v>1859</v>
      </c>
      <c r="C283" s="357" t="s">
        <v>1887</v>
      </c>
      <c r="D283" s="357" t="s">
        <v>1900</v>
      </c>
      <c r="E283" s="357" t="s">
        <v>1901</v>
      </c>
      <c r="F283" s="351" t="s">
        <v>1902</v>
      </c>
      <c r="G283" s="349" t="s">
        <v>1505</v>
      </c>
      <c r="H283" s="361" t="s">
        <v>1903</v>
      </c>
      <c r="I283" s="351" t="s">
        <v>1904</v>
      </c>
      <c r="J283" s="350" t="s">
        <v>1905</v>
      </c>
      <c r="K283" s="349" t="s">
        <v>398</v>
      </c>
      <c r="L283" s="348"/>
      <c r="M283" s="348"/>
      <c r="N283" s="370" t="s">
        <v>1906</v>
      </c>
      <c r="O283" s="351" t="s">
        <v>1907</v>
      </c>
      <c r="P283" s="352" t="s">
        <v>2596</v>
      </c>
      <c r="Q283" s="352"/>
      <c r="R283" s="352"/>
      <c r="S283" s="352">
        <v>15</v>
      </c>
      <c r="T283" s="352">
        <f>$S283*DE_Cost!$B$1*8</f>
        <v>144</v>
      </c>
      <c r="U283" s="355">
        <f>$S283*DE_Cost!$B$1</f>
        <v>18</v>
      </c>
      <c r="V283" s="355"/>
      <c r="W283" s="355"/>
      <c r="X283" s="355">
        <f t="shared" si="13"/>
        <v>4</v>
      </c>
      <c r="Y283" s="355">
        <f t="shared" si="14"/>
        <v>60</v>
      </c>
      <c r="Z283" s="352" t="s">
        <v>42</v>
      </c>
      <c r="AA283" s="352"/>
      <c r="AB283" s="353">
        <v>1103</v>
      </c>
      <c r="AC283" s="353"/>
      <c r="AD283" s="482"/>
      <c r="AE283" s="487">
        <f t="shared" si="15"/>
        <v>21936.265794559236</v>
      </c>
    </row>
    <row r="284" spans="1:31" ht="101" customHeight="1">
      <c r="A284" s="368" t="s">
        <v>1858</v>
      </c>
      <c r="B284" s="367" t="s">
        <v>1859</v>
      </c>
      <c r="C284" s="357" t="s">
        <v>1887</v>
      </c>
      <c r="D284" s="357" t="s">
        <v>1908</v>
      </c>
      <c r="E284" s="357" t="s">
        <v>1909</v>
      </c>
      <c r="F284" s="351" t="s">
        <v>1910</v>
      </c>
      <c r="G284" s="349" t="s">
        <v>1505</v>
      </c>
      <c r="H284" s="365" t="s">
        <v>1911</v>
      </c>
      <c r="I284" s="351" t="s">
        <v>1912</v>
      </c>
      <c r="J284" s="350"/>
      <c r="K284" s="349" t="s">
        <v>398</v>
      </c>
      <c r="L284" s="348" t="s">
        <v>1913</v>
      </c>
      <c r="M284" s="348"/>
      <c r="N284" s="370" t="s">
        <v>1914</v>
      </c>
      <c r="O284" s="351" t="s">
        <v>1912</v>
      </c>
      <c r="P284" s="352" t="s">
        <v>2596</v>
      </c>
      <c r="Q284" s="352"/>
      <c r="R284" s="352"/>
      <c r="S284" s="352">
        <v>15</v>
      </c>
      <c r="T284" s="352">
        <f>$S284*DE_Cost!$B$1*8</f>
        <v>144</v>
      </c>
      <c r="U284" s="355">
        <f>$S284*DE_Cost!$B$1</f>
        <v>18</v>
      </c>
      <c r="V284" s="355"/>
      <c r="W284" s="355"/>
      <c r="X284" s="355">
        <f t="shared" si="13"/>
        <v>4</v>
      </c>
      <c r="Y284" s="355">
        <f t="shared" si="14"/>
        <v>60</v>
      </c>
      <c r="Z284" s="352" t="s">
        <v>42</v>
      </c>
      <c r="AA284" s="352"/>
      <c r="AB284" s="353"/>
      <c r="AC284" s="353"/>
      <c r="AD284" s="482"/>
      <c r="AE284" s="487">
        <f t="shared" si="15"/>
        <v>21936.265794559236</v>
      </c>
    </row>
    <row r="285" spans="1:31" ht="408" customHeight="1">
      <c r="A285" s="368" t="s">
        <v>1915</v>
      </c>
      <c r="B285" s="367" t="s">
        <v>1916</v>
      </c>
      <c r="C285" s="357" t="s">
        <v>1917</v>
      </c>
      <c r="D285" s="357" t="s">
        <v>1918</v>
      </c>
      <c r="E285" s="357" t="s">
        <v>1919</v>
      </c>
      <c r="F285" s="351" t="s">
        <v>1920</v>
      </c>
      <c r="G285" s="349" t="s">
        <v>1566</v>
      </c>
      <c r="H285" s="365" t="s">
        <v>1921</v>
      </c>
      <c r="I285" s="351" t="s">
        <v>1922</v>
      </c>
      <c r="J285" s="350" t="s">
        <v>1923</v>
      </c>
      <c r="K285" s="349" t="s">
        <v>1566</v>
      </c>
      <c r="L285" s="348"/>
      <c r="M285" s="348"/>
      <c r="N285" s="366" t="s">
        <v>1924</v>
      </c>
      <c r="O285" s="351" t="s">
        <v>1925</v>
      </c>
      <c r="P285" s="352" t="s">
        <v>2595</v>
      </c>
      <c r="Q285" s="352"/>
      <c r="R285" s="352"/>
      <c r="S285" s="352">
        <v>30</v>
      </c>
      <c r="T285" s="352">
        <f>$S285*DE_Cost!$B$1*8</f>
        <v>288</v>
      </c>
      <c r="U285" s="355">
        <f>$S285*DE_Cost!$B$1</f>
        <v>36</v>
      </c>
      <c r="V285" s="355"/>
      <c r="W285" s="355"/>
      <c r="X285" s="355">
        <f t="shared" si="13"/>
        <v>7</v>
      </c>
      <c r="Y285" s="355">
        <f t="shared" si="14"/>
        <v>210</v>
      </c>
      <c r="Z285" s="352" t="s">
        <v>42</v>
      </c>
      <c r="AA285" s="352"/>
      <c r="AB285" s="353"/>
      <c r="AC285" s="353"/>
      <c r="AD285" s="482"/>
      <c r="AE285" s="487">
        <f t="shared" si="15"/>
        <v>76776.930280957342</v>
      </c>
    </row>
    <row r="286" spans="1:31" ht="409.6">
      <c r="A286" s="368" t="s">
        <v>1915</v>
      </c>
      <c r="B286" s="367" t="s">
        <v>1916</v>
      </c>
      <c r="C286" s="357" t="s">
        <v>1917</v>
      </c>
      <c r="D286" s="357" t="s">
        <v>1926</v>
      </c>
      <c r="E286" s="357" t="s">
        <v>1927</v>
      </c>
      <c r="F286" s="351" t="s">
        <v>1928</v>
      </c>
      <c r="G286" s="349" t="s">
        <v>1929</v>
      </c>
      <c r="H286" s="365" t="s">
        <v>1930</v>
      </c>
      <c r="I286" s="351" t="s">
        <v>1931</v>
      </c>
      <c r="J286" s="350" t="s">
        <v>1932</v>
      </c>
      <c r="K286" s="349" t="s">
        <v>1562</v>
      </c>
      <c r="L286" s="348" t="s">
        <v>1933</v>
      </c>
      <c r="M286" s="348"/>
      <c r="N286" s="370" t="s">
        <v>1934</v>
      </c>
      <c r="O286" s="351" t="s">
        <v>1935</v>
      </c>
      <c r="P286" s="352" t="s">
        <v>2595</v>
      </c>
      <c r="Q286" s="352"/>
      <c r="R286" s="352"/>
      <c r="S286" s="352">
        <v>30</v>
      </c>
      <c r="T286" s="352">
        <f>$S286*DE_Cost!$B$1*8</f>
        <v>288</v>
      </c>
      <c r="U286" s="355">
        <f>$S286*DE_Cost!$B$1</f>
        <v>36</v>
      </c>
      <c r="V286" s="355"/>
      <c r="W286" s="355"/>
      <c r="X286" s="355">
        <f t="shared" si="13"/>
        <v>7</v>
      </c>
      <c r="Y286" s="355">
        <f t="shared" si="14"/>
        <v>210</v>
      </c>
      <c r="Z286" s="352" t="s">
        <v>42</v>
      </c>
      <c r="AA286" s="352"/>
      <c r="AB286" s="353"/>
      <c r="AC286" s="353"/>
      <c r="AD286" s="482"/>
      <c r="AE286" s="487">
        <f t="shared" si="15"/>
        <v>76776.930280957342</v>
      </c>
    </row>
    <row r="287" spans="1:31" ht="126">
      <c r="A287" s="368" t="s">
        <v>1915</v>
      </c>
      <c r="B287" s="367" t="s">
        <v>1916</v>
      </c>
      <c r="C287" s="357" t="s">
        <v>1917</v>
      </c>
      <c r="D287" s="357" t="s">
        <v>1936</v>
      </c>
      <c r="E287" s="357" t="s">
        <v>1937</v>
      </c>
      <c r="F287" s="351" t="s">
        <v>1938</v>
      </c>
      <c r="G287" s="349" t="s">
        <v>1250</v>
      </c>
      <c r="H287" s="365" t="s">
        <v>1939</v>
      </c>
      <c r="I287" s="351" t="s">
        <v>1940</v>
      </c>
      <c r="J287" s="350"/>
      <c r="K287" s="349" t="s">
        <v>1250</v>
      </c>
      <c r="L287" s="348" t="s">
        <v>1941</v>
      </c>
      <c r="M287" s="348"/>
      <c r="N287" s="366" t="s">
        <v>1942</v>
      </c>
      <c r="O287" s="351" t="s">
        <v>1940</v>
      </c>
      <c r="P287" s="352" t="s">
        <v>2595</v>
      </c>
      <c r="Q287" s="352"/>
      <c r="R287" s="352"/>
      <c r="S287" s="352">
        <v>12</v>
      </c>
      <c r="T287" s="352">
        <f>$S287*DE_Cost!$B$1*8</f>
        <v>115.19999999999999</v>
      </c>
      <c r="U287" s="355">
        <f>$S287*DE_Cost!$B$1</f>
        <v>14.399999999999999</v>
      </c>
      <c r="V287" s="355"/>
      <c r="W287" s="355"/>
      <c r="X287" s="355">
        <f t="shared" si="13"/>
        <v>7</v>
      </c>
      <c r="Y287" s="355">
        <f t="shared" si="14"/>
        <v>84</v>
      </c>
      <c r="Z287" s="352" t="s">
        <v>42</v>
      </c>
      <c r="AA287" s="352"/>
      <c r="AB287" s="353"/>
      <c r="AC287" s="353"/>
      <c r="AD287" s="482"/>
      <c r="AE287" s="487">
        <f t="shared" si="15"/>
        <v>30710.772112382936</v>
      </c>
    </row>
    <row r="288" spans="1:31" ht="409.6">
      <c r="A288" s="368" t="s">
        <v>1768</v>
      </c>
      <c r="B288" s="367" t="s">
        <v>1916</v>
      </c>
      <c r="C288" s="357" t="s">
        <v>1917</v>
      </c>
      <c r="D288" s="357" t="s">
        <v>1943</v>
      </c>
      <c r="E288" s="357" t="s">
        <v>1944</v>
      </c>
      <c r="F288" s="351" t="s">
        <v>1945</v>
      </c>
      <c r="G288" s="369" t="s">
        <v>1946</v>
      </c>
      <c r="H288" s="365" t="s">
        <v>1947</v>
      </c>
      <c r="I288" s="351" t="s">
        <v>1948</v>
      </c>
      <c r="J288" s="350" t="s">
        <v>1949</v>
      </c>
      <c r="K288" s="349" t="s">
        <v>1950</v>
      </c>
      <c r="L288" s="348" t="s">
        <v>1951</v>
      </c>
      <c r="M288" s="348"/>
      <c r="N288" s="366" t="s">
        <v>1952</v>
      </c>
      <c r="O288" s="351" t="s">
        <v>1953</v>
      </c>
      <c r="P288" s="352" t="s">
        <v>2595</v>
      </c>
      <c r="Q288" s="352"/>
      <c r="R288" s="352"/>
      <c r="S288" s="352">
        <v>30</v>
      </c>
      <c r="T288" s="352">
        <f>$S288*DE_Cost!$B$1*8</f>
        <v>288</v>
      </c>
      <c r="U288" s="355">
        <f>$S288*DE_Cost!$B$1</f>
        <v>36</v>
      </c>
      <c r="V288" s="355"/>
      <c r="W288" s="355"/>
      <c r="X288" s="355">
        <f t="shared" si="13"/>
        <v>7</v>
      </c>
      <c r="Y288" s="355">
        <f t="shared" si="14"/>
        <v>210</v>
      </c>
      <c r="Z288" s="352" t="s">
        <v>42</v>
      </c>
      <c r="AA288" s="352"/>
      <c r="AB288" s="353"/>
      <c r="AC288" s="353"/>
      <c r="AD288" s="482"/>
      <c r="AE288" s="487">
        <f t="shared" si="15"/>
        <v>76776.930280957342</v>
      </c>
    </row>
    <row r="289" spans="1:31" ht="409.6">
      <c r="A289" s="368" t="s">
        <v>1768</v>
      </c>
      <c r="B289" s="367" t="s">
        <v>1916</v>
      </c>
      <c r="C289" s="357" t="s">
        <v>1917</v>
      </c>
      <c r="D289" s="357" t="s">
        <v>1954</v>
      </c>
      <c r="E289" s="357" t="s">
        <v>1955</v>
      </c>
      <c r="F289" s="351" t="s">
        <v>1956</v>
      </c>
      <c r="G289" s="369" t="s">
        <v>1320</v>
      </c>
      <c r="H289" s="365" t="s">
        <v>1957</v>
      </c>
      <c r="I289" s="351" t="s">
        <v>1958</v>
      </c>
      <c r="J289" s="350" t="s">
        <v>1959</v>
      </c>
      <c r="K289" s="349" t="s">
        <v>1320</v>
      </c>
      <c r="L289" s="348" t="s">
        <v>1960</v>
      </c>
      <c r="M289" s="348"/>
      <c r="N289" s="366" t="s">
        <v>1961</v>
      </c>
      <c r="O289" s="351" t="s">
        <v>1962</v>
      </c>
      <c r="P289" s="352" t="s">
        <v>2595</v>
      </c>
      <c r="Q289" s="352"/>
      <c r="R289" s="352"/>
      <c r="S289" s="352">
        <v>50</v>
      </c>
      <c r="T289" s="352">
        <f>$S289*DE_Cost!$B$1*8</f>
        <v>480</v>
      </c>
      <c r="U289" s="355">
        <f>$S289*DE_Cost!$B$1</f>
        <v>60</v>
      </c>
      <c r="V289" s="355"/>
      <c r="W289" s="355"/>
      <c r="X289" s="355">
        <f t="shared" si="13"/>
        <v>7</v>
      </c>
      <c r="Y289" s="355">
        <f t="shared" si="14"/>
        <v>350</v>
      </c>
      <c r="Z289" s="352" t="s">
        <v>42</v>
      </c>
      <c r="AA289" s="352"/>
      <c r="AB289" s="353"/>
      <c r="AC289" s="353"/>
      <c r="AD289" s="482"/>
      <c r="AE289" s="487">
        <f t="shared" si="15"/>
        <v>127961.55046826223</v>
      </c>
    </row>
    <row r="290" spans="1:31" ht="409.6">
      <c r="A290" s="368" t="s">
        <v>1768</v>
      </c>
      <c r="B290" s="367" t="s">
        <v>1916</v>
      </c>
      <c r="C290" s="357" t="s">
        <v>1917</v>
      </c>
      <c r="D290" s="357" t="s">
        <v>1963</v>
      </c>
      <c r="E290" s="357" t="s">
        <v>1964</v>
      </c>
      <c r="F290" s="351" t="s">
        <v>1965</v>
      </c>
      <c r="G290" s="369" t="s">
        <v>1320</v>
      </c>
      <c r="H290" s="365" t="s">
        <v>1966</v>
      </c>
      <c r="I290" s="351" t="s">
        <v>1967</v>
      </c>
      <c r="J290" s="350" t="s">
        <v>1968</v>
      </c>
      <c r="K290" s="349" t="s">
        <v>1320</v>
      </c>
      <c r="L290" s="348" t="s">
        <v>1969</v>
      </c>
      <c r="M290" s="348"/>
      <c r="N290" s="366" t="s">
        <v>1966</v>
      </c>
      <c r="O290" s="351" t="s">
        <v>1970</v>
      </c>
      <c r="P290" s="352" t="s">
        <v>2595</v>
      </c>
      <c r="Q290" s="352"/>
      <c r="R290" s="352"/>
      <c r="S290" s="352">
        <v>10</v>
      </c>
      <c r="T290" s="352">
        <f>$S290*DE_Cost!$B$1*8</f>
        <v>96</v>
      </c>
      <c r="U290" s="355">
        <f>$S290*DE_Cost!$B$1</f>
        <v>12</v>
      </c>
      <c r="V290" s="355"/>
      <c r="W290" s="355"/>
      <c r="X290" s="355">
        <f t="shared" si="13"/>
        <v>7</v>
      </c>
      <c r="Y290" s="355">
        <f t="shared" si="14"/>
        <v>70</v>
      </c>
      <c r="Z290" s="352" t="s">
        <v>42</v>
      </c>
      <c r="AA290" s="352"/>
      <c r="AB290" s="353"/>
      <c r="AC290" s="353"/>
      <c r="AD290" s="482"/>
      <c r="AE290" s="487">
        <f t="shared" si="15"/>
        <v>25592.310093652446</v>
      </c>
    </row>
    <row r="291" spans="1:31" ht="363">
      <c r="A291" s="368" t="s">
        <v>1915</v>
      </c>
      <c r="B291" s="367" t="s">
        <v>1916</v>
      </c>
      <c r="C291" s="357" t="s">
        <v>1917</v>
      </c>
      <c r="D291" s="357" t="s">
        <v>1971</v>
      </c>
      <c r="E291" s="357" t="s">
        <v>1972</v>
      </c>
      <c r="F291" s="351" t="s">
        <v>1973</v>
      </c>
      <c r="G291" s="349" t="s">
        <v>1579</v>
      </c>
      <c r="H291" s="365" t="s">
        <v>1974</v>
      </c>
      <c r="I291" s="351" t="s">
        <v>1975</v>
      </c>
      <c r="J291" s="350"/>
      <c r="K291" s="349"/>
      <c r="L291" s="348"/>
      <c r="M291" s="348"/>
      <c r="N291" s="366" t="s">
        <v>1974</v>
      </c>
      <c r="O291" s="351" t="s">
        <v>1976</v>
      </c>
      <c r="P291" s="352" t="s">
        <v>2595</v>
      </c>
      <c r="Q291" s="352"/>
      <c r="R291" s="352"/>
      <c r="S291" s="352">
        <v>30</v>
      </c>
      <c r="T291" s="352">
        <f>$S291*DE_Cost!$B$1*8</f>
        <v>288</v>
      </c>
      <c r="U291" s="355">
        <f>$S291*DE_Cost!$B$1</f>
        <v>36</v>
      </c>
      <c r="V291" s="355"/>
      <c r="W291" s="355"/>
      <c r="X291" s="355">
        <f t="shared" si="13"/>
        <v>7</v>
      </c>
      <c r="Y291" s="355">
        <f t="shared" si="14"/>
        <v>210</v>
      </c>
      <c r="Z291" s="352" t="s">
        <v>42</v>
      </c>
      <c r="AA291" s="352"/>
      <c r="AB291" s="353"/>
      <c r="AC291" s="353"/>
      <c r="AD291" s="482"/>
      <c r="AE291" s="487">
        <f t="shared" si="15"/>
        <v>76776.930280957342</v>
      </c>
    </row>
    <row r="292" spans="1:31" ht="408" customHeight="1">
      <c r="A292" s="368" t="s">
        <v>1768</v>
      </c>
      <c r="B292" s="367" t="s">
        <v>1916</v>
      </c>
      <c r="C292" s="357" t="s">
        <v>1917</v>
      </c>
      <c r="D292" s="357" t="s">
        <v>1977</v>
      </c>
      <c r="E292" s="357" t="s">
        <v>1978</v>
      </c>
      <c r="F292" s="351" t="s">
        <v>1979</v>
      </c>
      <c r="G292" s="369" t="s">
        <v>1320</v>
      </c>
      <c r="H292" s="365" t="s">
        <v>1980</v>
      </c>
      <c r="I292" s="351" t="s">
        <v>1981</v>
      </c>
      <c r="J292" s="350" t="s">
        <v>1982</v>
      </c>
      <c r="K292" s="349" t="s">
        <v>1320</v>
      </c>
      <c r="L292" s="348" t="s">
        <v>1983</v>
      </c>
      <c r="M292" s="348"/>
      <c r="N292" s="366" t="s">
        <v>1984</v>
      </c>
      <c r="O292" s="351" t="s">
        <v>1985</v>
      </c>
      <c r="P292" s="352" t="s">
        <v>2595</v>
      </c>
      <c r="Q292" s="352"/>
      <c r="R292" s="352"/>
      <c r="S292" s="352">
        <v>35</v>
      </c>
      <c r="T292" s="352">
        <f>$S292*DE_Cost!$B$1*8</f>
        <v>336</v>
      </c>
      <c r="U292" s="355">
        <f>$S292*DE_Cost!$B$1</f>
        <v>42</v>
      </c>
      <c r="V292" s="355"/>
      <c r="W292" s="355"/>
      <c r="X292" s="355">
        <f t="shared" si="13"/>
        <v>7</v>
      </c>
      <c r="Y292" s="355">
        <f t="shared" si="14"/>
        <v>245</v>
      </c>
      <c r="Z292" s="352" t="s">
        <v>42</v>
      </c>
      <c r="AA292" s="352"/>
      <c r="AB292" s="353"/>
      <c r="AC292" s="353"/>
      <c r="AD292" s="482"/>
      <c r="AE292" s="487">
        <f t="shared" si="15"/>
        <v>89573.085327783556</v>
      </c>
    </row>
    <row r="293" spans="1:31" ht="114" customHeight="1">
      <c r="A293" s="368" t="s">
        <v>1768</v>
      </c>
      <c r="B293" s="367" t="s">
        <v>1916</v>
      </c>
      <c r="C293" s="357" t="s">
        <v>1986</v>
      </c>
      <c r="D293" s="357" t="s">
        <v>1987</v>
      </c>
      <c r="E293" s="357" t="s">
        <v>1988</v>
      </c>
      <c r="F293" s="351" t="s">
        <v>1989</v>
      </c>
      <c r="G293" s="349" t="s">
        <v>137</v>
      </c>
      <c r="H293" s="365" t="s">
        <v>1990</v>
      </c>
      <c r="I293" s="351" t="s">
        <v>1991</v>
      </c>
      <c r="J293" s="350"/>
      <c r="K293" s="349" t="s">
        <v>139</v>
      </c>
      <c r="L293" s="348"/>
      <c r="M293" s="348"/>
      <c r="N293" s="366" t="s">
        <v>1992</v>
      </c>
      <c r="O293" s="351" t="s">
        <v>1993</v>
      </c>
      <c r="P293" s="352" t="s">
        <v>2596</v>
      </c>
      <c r="Q293" s="352"/>
      <c r="R293" s="352"/>
      <c r="S293" s="352">
        <v>30</v>
      </c>
      <c r="T293" s="352">
        <f>$S293*DE_Cost!$B$1*8</f>
        <v>288</v>
      </c>
      <c r="U293" s="355">
        <f>$S293*DE_Cost!$B$1</f>
        <v>36</v>
      </c>
      <c r="V293" s="355"/>
      <c r="W293" s="355"/>
      <c r="X293" s="355">
        <f t="shared" ref="X293:X296" si="16">IF(TRIM(P293)="", 0, LEN(P293) - LEN(SUBSTITUTE(P293, "&amp;", "")) + 1)</f>
        <v>4</v>
      </c>
      <c r="Y293" s="355">
        <f t="shared" si="14"/>
        <v>120</v>
      </c>
      <c r="Z293" s="352" t="s">
        <v>42</v>
      </c>
      <c r="AA293" s="352"/>
      <c r="AB293" s="353"/>
      <c r="AC293" s="353"/>
      <c r="AD293" s="482"/>
      <c r="AE293" s="487">
        <f t="shared" si="15"/>
        <v>43872.531589118473</v>
      </c>
    </row>
    <row r="294" spans="1:31" ht="131" customHeight="1">
      <c r="A294" s="368" t="s">
        <v>1768</v>
      </c>
      <c r="B294" s="367" t="s">
        <v>1916</v>
      </c>
      <c r="C294" s="357" t="s">
        <v>1986</v>
      </c>
      <c r="D294" s="357" t="s">
        <v>1994</v>
      </c>
      <c r="E294" s="357" t="s">
        <v>1995</v>
      </c>
      <c r="F294" s="351" t="s">
        <v>1996</v>
      </c>
      <c r="G294" s="349" t="s">
        <v>137</v>
      </c>
      <c r="H294" s="365" t="s">
        <v>1997</v>
      </c>
      <c r="I294" s="351" t="s">
        <v>1998</v>
      </c>
      <c r="J294" s="350"/>
      <c r="K294" s="349" t="s">
        <v>139</v>
      </c>
      <c r="L294" s="348"/>
      <c r="M294" s="348"/>
      <c r="N294" s="366" t="s">
        <v>1997</v>
      </c>
      <c r="O294" s="351" t="s">
        <v>1998</v>
      </c>
      <c r="P294" s="352" t="s">
        <v>2596</v>
      </c>
      <c r="Q294" s="352"/>
      <c r="R294" s="352"/>
      <c r="S294" s="352">
        <v>20</v>
      </c>
      <c r="T294" s="352">
        <f>$S294*DE_Cost!$B$1*8</f>
        <v>192</v>
      </c>
      <c r="U294" s="355">
        <f>$S294*DE_Cost!$B$1</f>
        <v>24</v>
      </c>
      <c r="V294" s="355"/>
      <c r="W294" s="355"/>
      <c r="X294" s="355">
        <f t="shared" si="16"/>
        <v>4</v>
      </c>
      <c r="Y294" s="355">
        <f t="shared" ref="Y294:Y296" si="17">S294 * X294</f>
        <v>80</v>
      </c>
      <c r="Z294" s="352" t="s">
        <v>42</v>
      </c>
      <c r="AA294" s="352"/>
      <c r="AB294" s="353"/>
      <c r="AC294" s="353"/>
      <c r="AD294" s="482"/>
      <c r="AE294" s="487">
        <f t="shared" ref="AE294:AE296" si="18">(Y294 / $AE$2) * $AC$2</f>
        <v>29248.354392745652</v>
      </c>
    </row>
    <row r="295" spans="1:31" ht="101" customHeight="1">
      <c r="A295" s="368" t="s">
        <v>1768</v>
      </c>
      <c r="B295" s="367" t="s">
        <v>1916</v>
      </c>
      <c r="C295" s="357" t="s">
        <v>1986</v>
      </c>
      <c r="D295" s="357" t="s">
        <v>1999</v>
      </c>
      <c r="E295" s="357" t="s">
        <v>2000</v>
      </c>
      <c r="F295" s="351" t="s">
        <v>2001</v>
      </c>
      <c r="G295" s="349" t="s">
        <v>137</v>
      </c>
      <c r="H295" s="365" t="s">
        <v>2544</v>
      </c>
      <c r="I295" s="351" t="s">
        <v>2003</v>
      </c>
      <c r="J295" s="350"/>
      <c r="K295" s="349" t="s">
        <v>139</v>
      </c>
      <c r="L295" s="348"/>
      <c r="M295" s="348"/>
      <c r="N295" s="366" t="s">
        <v>2004</v>
      </c>
      <c r="O295" s="351" t="s">
        <v>2005</v>
      </c>
      <c r="P295" s="352" t="s">
        <v>2596</v>
      </c>
      <c r="Q295" s="352"/>
      <c r="R295" s="352"/>
      <c r="S295" s="352">
        <v>20</v>
      </c>
      <c r="T295" s="352">
        <f>$S295*DE_Cost!$B$1*8</f>
        <v>192</v>
      </c>
      <c r="U295" s="355">
        <f>$S295*DE_Cost!$B$1</f>
        <v>24</v>
      </c>
      <c r="V295" s="355"/>
      <c r="W295" s="355"/>
      <c r="X295" s="355">
        <f t="shared" si="16"/>
        <v>4</v>
      </c>
      <c r="Y295" s="355">
        <f t="shared" si="17"/>
        <v>80</v>
      </c>
      <c r="Z295" s="352" t="s">
        <v>42</v>
      </c>
      <c r="AA295" s="352"/>
      <c r="AB295" s="353"/>
      <c r="AC295" s="353"/>
      <c r="AD295" s="482"/>
      <c r="AE295" s="487">
        <f t="shared" si="18"/>
        <v>29248.354392745652</v>
      </c>
    </row>
    <row r="296" spans="1:31" ht="409" customHeight="1">
      <c r="A296" s="368" t="s">
        <v>1768</v>
      </c>
      <c r="B296" s="367" t="s">
        <v>1916</v>
      </c>
      <c r="C296" s="357" t="s">
        <v>1986</v>
      </c>
      <c r="D296" s="357" t="s">
        <v>2006</v>
      </c>
      <c r="E296" s="357" t="s">
        <v>2007</v>
      </c>
      <c r="F296" s="351" t="s">
        <v>2008</v>
      </c>
      <c r="G296" s="349" t="s">
        <v>137</v>
      </c>
      <c r="H296" s="365" t="s">
        <v>2009</v>
      </c>
      <c r="I296" s="351" t="s">
        <v>2543</v>
      </c>
      <c r="J296" s="350" t="s">
        <v>2011</v>
      </c>
      <c r="K296" s="349"/>
      <c r="L296" s="348"/>
      <c r="M296" s="348"/>
      <c r="N296" s="366" t="s">
        <v>2009</v>
      </c>
      <c r="O296" s="351" t="s">
        <v>2012</v>
      </c>
      <c r="P296" s="352" t="s">
        <v>2596</v>
      </c>
      <c r="Q296" s="352"/>
      <c r="R296" s="352"/>
      <c r="S296" s="352">
        <v>40</v>
      </c>
      <c r="T296" s="352">
        <f>$S296*DE_Cost!$B$1*8</f>
        <v>384</v>
      </c>
      <c r="U296" s="355">
        <f>$S296*DE_Cost!$B$1</f>
        <v>48</v>
      </c>
      <c r="V296" s="355"/>
      <c r="W296" s="355"/>
      <c r="X296" s="355">
        <f t="shared" si="16"/>
        <v>4</v>
      </c>
      <c r="Y296" s="355">
        <f t="shared" si="17"/>
        <v>160</v>
      </c>
      <c r="Z296" s="352" t="s">
        <v>42</v>
      </c>
      <c r="AA296" s="352"/>
      <c r="AB296" s="353"/>
      <c r="AC296" s="353"/>
      <c r="AD296" s="482"/>
      <c r="AE296" s="487">
        <f t="shared" si="18"/>
        <v>58496.708785491304</v>
      </c>
    </row>
    <row r="297" spans="1:31" ht="38.25" hidden="1" customHeight="1">
      <c r="A297" s="364"/>
      <c r="B297" s="363"/>
      <c r="C297" s="350"/>
      <c r="D297" s="356"/>
      <c r="E297" s="357"/>
      <c r="F297" s="349"/>
      <c r="G297" s="349"/>
      <c r="H297" s="365"/>
      <c r="I297" s="350"/>
      <c r="J297" s="350"/>
      <c r="K297" s="349"/>
      <c r="L297" s="348"/>
      <c r="M297" s="348"/>
      <c r="N297" s="359"/>
      <c r="O297" s="359"/>
      <c r="P297" s="349"/>
      <c r="Q297" s="349"/>
      <c r="R297" s="352"/>
      <c r="S297" s="352"/>
      <c r="T297" s="352"/>
      <c r="U297" s="355"/>
      <c r="V297" s="355"/>
      <c r="W297" s="355"/>
      <c r="X297" s="355"/>
      <c r="Y297" s="355"/>
      <c r="Z297" s="352"/>
      <c r="AA297" s="352"/>
      <c r="AB297" s="353"/>
      <c r="AC297" s="353"/>
      <c r="AD297" s="482"/>
      <c r="AE297" s="482"/>
    </row>
    <row r="298" spans="1:31" ht="12">
      <c r="N298" s="335"/>
      <c r="O298" s="335"/>
      <c r="P298" s="335"/>
      <c r="Q298" s="335"/>
      <c r="R298" s="335"/>
      <c r="S298" s="335"/>
      <c r="T298" s="335"/>
      <c r="U298" s="335"/>
      <c r="V298" s="335"/>
      <c r="W298" s="335"/>
      <c r="X298" s="335"/>
      <c r="Y298" s="335"/>
      <c r="Z298" s="335"/>
      <c r="AA298" s="335"/>
    </row>
    <row r="299" spans="1:31" ht="12">
      <c r="N299" s="335"/>
      <c r="O299" s="335"/>
      <c r="P299" s="335"/>
      <c r="Q299" s="335"/>
      <c r="R299" s="335"/>
      <c r="S299" s="335"/>
      <c r="T299" s="335"/>
      <c r="U299" s="335"/>
      <c r="V299" s="335"/>
      <c r="W299" s="335"/>
      <c r="X299" s="335"/>
      <c r="Y299" s="335"/>
      <c r="Z299" s="335"/>
      <c r="AA299" s="335"/>
    </row>
    <row r="300" spans="1:31" ht="12">
      <c r="N300" s="335"/>
      <c r="O300" s="335"/>
      <c r="P300" s="335"/>
      <c r="Q300" s="335"/>
      <c r="R300" s="335"/>
      <c r="S300" s="335"/>
      <c r="T300" s="335"/>
      <c r="U300" s="335"/>
      <c r="V300" s="335"/>
      <c r="W300" s="335"/>
      <c r="X300" s="335"/>
      <c r="Y300" s="335"/>
      <c r="Z300" s="335"/>
      <c r="AA300" s="335"/>
    </row>
    <row r="301" spans="1:31" ht="12">
      <c r="N301" s="335"/>
      <c r="O301" s="335"/>
      <c r="P301" s="335"/>
      <c r="Q301" s="335"/>
      <c r="R301" s="335"/>
      <c r="S301" s="335"/>
      <c r="T301" s="335"/>
      <c r="U301" s="335"/>
      <c r="V301" s="335"/>
      <c r="W301" s="335"/>
      <c r="X301" s="335"/>
      <c r="Y301" s="335"/>
      <c r="Z301" s="335"/>
      <c r="AA301" s="335"/>
    </row>
    <row r="302" spans="1:31" ht="12">
      <c r="N302" s="335"/>
      <c r="O302" s="335"/>
      <c r="P302" s="335"/>
      <c r="Q302" s="335"/>
      <c r="R302" s="335"/>
      <c r="S302" s="335"/>
      <c r="T302" s="335"/>
      <c r="U302" s="335"/>
      <c r="V302" s="335"/>
      <c r="W302" s="335"/>
      <c r="X302" s="335"/>
      <c r="Y302" s="335"/>
      <c r="Z302" s="335"/>
      <c r="AA302" s="335"/>
    </row>
    <row r="303" spans="1:31" ht="12">
      <c r="N303" s="335"/>
      <c r="O303" s="335"/>
      <c r="P303" s="335"/>
      <c r="Q303" s="335"/>
      <c r="R303" s="335"/>
      <c r="S303" s="335"/>
      <c r="T303" s="335"/>
      <c r="U303" s="335"/>
      <c r="V303" s="335"/>
      <c r="W303" s="335"/>
      <c r="X303" s="335"/>
      <c r="Y303" s="335"/>
      <c r="Z303" s="335"/>
      <c r="AA303" s="335"/>
    </row>
    <row r="304" spans="1:31" ht="12">
      <c r="N304" s="335"/>
      <c r="O304" s="335"/>
      <c r="P304" s="335"/>
      <c r="Q304" s="335"/>
      <c r="R304" s="335"/>
      <c r="S304" s="335"/>
      <c r="T304" s="335"/>
      <c r="U304" s="335"/>
      <c r="V304" s="335"/>
      <c r="W304" s="335"/>
      <c r="X304" s="335"/>
      <c r="Y304" s="335"/>
      <c r="Z304" s="335"/>
      <c r="AA304" s="335"/>
    </row>
    <row r="305" spans="14:27" ht="12">
      <c r="N305" s="335"/>
      <c r="O305" s="335"/>
      <c r="P305" s="335"/>
      <c r="Q305" s="335"/>
      <c r="R305" s="335"/>
      <c r="S305" s="335"/>
      <c r="T305" s="335"/>
      <c r="U305" s="335"/>
      <c r="V305" s="335"/>
      <c r="W305" s="335"/>
      <c r="X305" s="335"/>
      <c r="Y305" s="335"/>
      <c r="Z305" s="335"/>
      <c r="AA305" s="335"/>
    </row>
    <row r="306" spans="14:27" ht="12">
      <c r="N306" s="335"/>
      <c r="O306" s="335"/>
      <c r="P306" s="335"/>
      <c r="Q306" s="335"/>
      <c r="R306" s="335"/>
      <c r="S306" s="335"/>
      <c r="T306" s="335"/>
      <c r="U306" s="335"/>
      <c r="V306" s="335"/>
      <c r="W306" s="335"/>
      <c r="X306" s="335"/>
      <c r="Y306" s="335"/>
      <c r="Z306" s="335"/>
      <c r="AA306" s="335"/>
    </row>
    <row r="307" spans="14:27" ht="12">
      <c r="N307" s="335"/>
      <c r="O307" s="335"/>
      <c r="P307" s="335"/>
      <c r="Q307" s="335"/>
      <c r="R307" s="335"/>
      <c r="S307" s="335"/>
      <c r="T307" s="335"/>
      <c r="U307" s="335"/>
      <c r="V307" s="335"/>
      <c r="W307" s="335"/>
      <c r="X307" s="335"/>
      <c r="Y307" s="335"/>
      <c r="Z307" s="335"/>
      <c r="AA307" s="335"/>
    </row>
    <row r="308" spans="14:27" ht="12">
      <c r="N308" s="335"/>
      <c r="O308" s="335"/>
      <c r="P308" s="335"/>
      <c r="Q308" s="335"/>
      <c r="R308" s="335"/>
      <c r="S308" s="335"/>
      <c r="T308" s="335"/>
      <c r="U308" s="335"/>
      <c r="V308" s="335"/>
      <c r="W308" s="335"/>
      <c r="X308" s="335"/>
      <c r="Y308" s="335"/>
      <c r="Z308" s="335"/>
      <c r="AA308" s="335"/>
    </row>
    <row r="309" spans="14:27" ht="12">
      <c r="N309" s="335"/>
      <c r="O309" s="335"/>
      <c r="P309" s="335"/>
      <c r="Q309" s="335"/>
      <c r="R309" s="335"/>
      <c r="S309" s="335"/>
      <c r="T309" s="335"/>
      <c r="U309" s="335"/>
      <c r="V309" s="335"/>
      <c r="W309" s="335"/>
      <c r="X309" s="335"/>
      <c r="Y309" s="335"/>
      <c r="Z309" s="335"/>
      <c r="AA309" s="335"/>
    </row>
    <row r="310" spans="14:27" ht="12">
      <c r="N310" s="335"/>
      <c r="O310" s="335"/>
      <c r="P310" s="335"/>
      <c r="Q310" s="335"/>
      <c r="R310" s="335"/>
      <c r="S310" s="335"/>
      <c r="T310" s="335"/>
      <c r="U310" s="335"/>
      <c r="V310" s="335"/>
      <c r="W310" s="335"/>
      <c r="X310" s="335"/>
      <c r="Y310" s="335"/>
      <c r="Z310" s="335"/>
      <c r="AA310" s="335"/>
    </row>
    <row r="311" spans="14:27" ht="12">
      <c r="N311" s="335"/>
      <c r="O311" s="335"/>
      <c r="P311" s="335"/>
      <c r="Q311" s="335"/>
      <c r="R311" s="335"/>
      <c r="S311" s="335"/>
      <c r="T311" s="335"/>
      <c r="U311" s="335"/>
      <c r="V311" s="335"/>
      <c r="W311" s="335"/>
      <c r="X311" s="335"/>
      <c r="Y311" s="335"/>
      <c r="Z311" s="335"/>
      <c r="AA311" s="335"/>
    </row>
    <row r="312" spans="14:27" ht="12">
      <c r="N312" s="335"/>
      <c r="O312" s="335"/>
      <c r="P312" s="335"/>
      <c r="Q312" s="335"/>
      <c r="R312" s="335"/>
      <c r="S312" s="335"/>
      <c r="T312" s="335"/>
      <c r="U312" s="335"/>
      <c r="V312" s="335"/>
      <c r="W312" s="335"/>
      <c r="X312" s="335"/>
      <c r="Y312" s="335"/>
      <c r="Z312" s="335"/>
      <c r="AA312" s="335"/>
    </row>
    <row r="313" spans="14:27" ht="12">
      <c r="N313" s="335"/>
      <c r="O313" s="335"/>
      <c r="P313" s="335"/>
      <c r="Q313" s="335"/>
      <c r="R313" s="335"/>
      <c r="S313" s="335"/>
      <c r="T313" s="335"/>
      <c r="U313" s="335"/>
      <c r="V313" s="335"/>
      <c r="W313" s="335"/>
      <c r="X313" s="335"/>
      <c r="Y313" s="335"/>
      <c r="Z313" s="335"/>
      <c r="AA313" s="335"/>
    </row>
    <row r="314" spans="14:27" ht="12">
      <c r="N314" s="335"/>
      <c r="O314" s="335"/>
      <c r="P314" s="335"/>
      <c r="Q314" s="335"/>
      <c r="R314" s="335"/>
      <c r="S314" s="335"/>
      <c r="T314" s="335"/>
      <c r="U314" s="335"/>
      <c r="V314" s="335"/>
      <c r="W314" s="335"/>
      <c r="X314" s="335"/>
      <c r="Y314" s="335"/>
      <c r="Z314" s="335"/>
      <c r="AA314" s="335"/>
    </row>
    <row r="315" spans="14:27" ht="12">
      <c r="N315" s="335"/>
      <c r="O315" s="335"/>
      <c r="P315" s="335"/>
      <c r="Q315" s="335"/>
      <c r="R315" s="335"/>
      <c r="S315" s="335"/>
      <c r="T315" s="335"/>
      <c r="U315" s="335"/>
      <c r="V315" s="335"/>
      <c r="W315" s="335"/>
      <c r="X315" s="335"/>
      <c r="Y315" s="335"/>
      <c r="Z315" s="335"/>
      <c r="AA315" s="335"/>
    </row>
    <row r="316" spans="14:27" ht="12">
      <c r="N316" s="335"/>
      <c r="O316" s="335"/>
      <c r="P316" s="335"/>
      <c r="Q316" s="335"/>
      <c r="R316" s="335"/>
      <c r="S316" s="335"/>
      <c r="T316" s="335"/>
      <c r="U316" s="335"/>
      <c r="V316" s="335"/>
      <c r="W316" s="335"/>
      <c r="X316" s="335"/>
      <c r="Y316" s="335"/>
      <c r="Z316" s="335"/>
      <c r="AA316" s="335"/>
    </row>
    <row r="317" spans="14:27" ht="12">
      <c r="N317" s="335"/>
      <c r="O317" s="335"/>
      <c r="P317" s="335"/>
      <c r="Q317" s="335"/>
      <c r="R317" s="335"/>
      <c r="S317" s="335"/>
      <c r="T317" s="335"/>
      <c r="U317" s="335"/>
      <c r="V317" s="335"/>
      <c r="W317" s="335"/>
      <c r="X317" s="335"/>
      <c r="Y317" s="335"/>
      <c r="Z317" s="335"/>
      <c r="AA317" s="335"/>
    </row>
    <row r="318" spans="14:27" ht="12">
      <c r="N318" s="335"/>
      <c r="O318" s="335"/>
      <c r="P318" s="335"/>
      <c r="Q318" s="335"/>
      <c r="R318" s="335"/>
      <c r="S318" s="335"/>
      <c r="T318" s="335"/>
      <c r="U318" s="335"/>
      <c r="V318" s="335"/>
      <c r="W318" s="335"/>
      <c r="X318" s="335"/>
      <c r="Y318" s="335"/>
      <c r="Z318" s="335"/>
      <c r="AA318" s="335"/>
    </row>
    <row r="319" spans="14:27" ht="12">
      <c r="N319" s="335"/>
      <c r="O319" s="335"/>
      <c r="P319" s="335"/>
      <c r="Q319" s="335"/>
      <c r="R319" s="335"/>
      <c r="S319" s="335"/>
      <c r="T319" s="335"/>
      <c r="U319" s="335"/>
      <c r="V319" s="335"/>
      <c r="W319" s="335"/>
      <c r="X319" s="335"/>
      <c r="Y319" s="335"/>
      <c r="Z319" s="335"/>
      <c r="AA319" s="335"/>
    </row>
    <row r="320" spans="14:27" ht="12">
      <c r="N320" s="335"/>
      <c r="O320" s="335"/>
      <c r="P320" s="335"/>
      <c r="Q320" s="335"/>
      <c r="R320" s="335"/>
      <c r="S320" s="335"/>
      <c r="T320" s="335"/>
      <c r="U320" s="335"/>
      <c r="V320" s="335"/>
      <c r="W320" s="335"/>
      <c r="X320" s="335"/>
      <c r="Y320" s="335"/>
      <c r="Z320" s="335"/>
      <c r="AA320" s="335"/>
    </row>
    <row r="321" spans="14:27" ht="12">
      <c r="N321" s="335"/>
      <c r="O321" s="335"/>
      <c r="P321" s="335"/>
      <c r="Q321" s="335"/>
      <c r="R321" s="335"/>
      <c r="S321" s="335"/>
      <c r="T321" s="335"/>
      <c r="U321" s="335"/>
      <c r="V321" s="335"/>
      <c r="W321" s="335"/>
      <c r="X321" s="335"/>
      <c r="Y321" s="335"/>
      <c r="Z321" s="335"/>
      <c r="AA321" s="335"/>
    </row>
    <row r="322" spans="14:27" ht="12">
      <c r="N322" s="335"/>
      <c r="O322" s="335"/>
      <c r="P322" s="335"/>
      <c r="Q322" s="335"/>
      <c r="R322" s="335"/>
      <c r="S322" s="335"/>
      <c r="T322" s="335"/>
      <c r="U322" s="335"/>
      <c r="V322" s="335"/>
      <c r="W322" s="335"/>
      <c r="X322" s="335"/>
      <c r="Y322" s="335"/>
      <c r="Z322" s="335"/>
      <c r="AA322" s="335"/>
    </row>
    <row r="323" spans="14:27" ht="12">
      <c r="N323" s="335"/>
      <c r="O323" s="335"/>
      <c r="P323" s="335"/>
      <c r="Q323" s="335"/>
      <c r="R323" s="335"/>
      <c r="S323" s="335"/>
      <c r="T323" s="335"/>
      <c r="U323" s="335"/>
      <c r="V323" s="335"/>
      <c r="W323" s="335"/>
      <c r="X323" s="335"/>
      <c r="Y323" s="335"/>
      <c r="Z323" s="335"/>
      <c r="AA323" s="335"/>
    </row>
    <row r="324" spans="14:27" ht="12">
      <c r="N324" s="335"/>
      <c r="O324" s="335"/>
      <c r="P324" s="335"/>
      <c r="Q324" s="335"/>
      <c r="R324" s="335"/>
      <c r="S324" s="335"/>
      <c r="T324" s="335"/>
      <c r="U324" s="335"/>
      <c r="V324" s="335"/>
      <c r="W324" s="335"/>
      <c r="X324" s="335"/>
      <c r="Y324" s="335"/>
      <c r="Z324" s="335"/>
      <c r="AA324" s="335"/>
    </row>
    <row r="325" spans="14:27" ht="12">
      <c r="N325" s="335"/>
      <c r="O325" s="335"/>
      <c r="P325" s="335"/>
      <c r="Q325" s="335"/>
      <c r="R325" s="335"/>
      <c r="S325" s="335"/>
      <c r="T325" s="335"/>
      <c r="U325" s="335"/>
      <c r="V325" s="335"/>
      <c r="W325" s="335"/>
      <c r="X325" s="335"/>
      <c r="Y325" s="335"/>
      <c r="Z325" s="335"/>
      <c r="AA325" s="335"/>
    </row>
    <row r="326" spans="14:27" ht="12">
      <c r="N326" s="335"/>
      <c r="O326" s="335"/>
      <c r="P326" s="335"/>
      <c r="Q326" s="335"/>
      <c r="R326" s="335"/>
      <c r="S326" s="335"/>
      <c r="T326" s="335"/>
      <c r="U326" s="335"/>
      <c r="V326" s="335"/>
      <c r="W326" s="335"/>
      <c r="X326" s="335"/>
      <c r="Y326" s="335"/>
      <c r="Z326" s="335"/>
      <c r="AA326" s="335"/>
    </row>
    <row r="327" spans="14:27" ht="12">
      <c r="N327" s="335"/>
      <c r="O327" s="335"/>
      <c r="P327" s="335"/>
      <c r="Q327" s="335"/>
      <c r="R327" s="335"/>
      <c r="S327" s="335"/>
      <c r="T327" s="335"/>
      <c r="U327" s="335"/>
      <c r="V327" s="335"/>
      <c r="W327" s="335"/>
      <c r="X327" s="335"/>
      <c r="Y327" s="335"/>
      <c r="Z327" s="335"/>
      <c r="AA327" s="335"/>
    </row>
    <row r="328" spans="14:27" ht="12">
      <c r="N328" s="335"/>
      <c r="O328" s="335"/>
      <c r="P328" s="335"/>
      <c r="Q328" s="335"/>
      <c r="R328" s="335"/>
      <c r="S328" s="335"/>
      <c r="T328" s="335"/>
      <c r="U328" s="335"/>
      <c r="V328" s="335"/>
      <c r="W328" s="335"/>
      <c r="X328" s="335"/>
      <c r="Y328" s="335"/>
      <c r="Z328" s="335"/>
      <c r="AA328" s="335"/>
    </row>
    <row r="329" spans="14:27" ht="12">
      <c r="N329" s="335"/>
      <c r="O329" s="335"/>
      <c r="P329" s="335"/>
      <c r="Q329" s="335"/>
      <c r="R329" s="335"/>
      <c r="S329" s="335"/>
      <c r="T329" s="335"/>
      <c r="U329" s="335"/>
      <c r="V329" s="335"/>
      <c r="W329" s="335"/>
      <c r="X329" s="335"/>
      <c r="Y329" s="335"/>
      <c r="Z329" s="335"/>
      <c r="AA329" s="335"/>
    </row>
    <row r="330" spans="14:27" ht="12">
      <c r="N330" s="335"/>
      <c r="O330" s="335"/>
      <c r="P330" s="335"/>
      <c r="Q330" s="335"/>
      <c r="R330" s="335"/>
      <c r="S330" s="335"/>
      <c r="T330" s="335"/>
      <c r="U330" s="335"/>
      <c r="V330" s="335"/>
      <c r="W330" s="335"/>
      <c r="X330" s="335"/>
      <c r="Y330" s="335"/>
      <c r="Z330" s="335"/>
      <c r="AA330" s="335"/>
    </row>
    <row r="331" spans="14:27" ht="12">
      <c r="N331" s="335"/>
      <c r="O331" s="335"/>
      <c r="P331" s="335"/>
      <c r="Q331" s="335"/>
      <c r="R331" s="335"/>
      <c r="S331" s="335"/>
      <c r="T331" s="335"/>
      <c r="U331" s="335"/>
      <c r="V331" s="335"/>
      <c r="W331" s="335"/>
      <c r="X331" s="335"/>
      <c r="Y331" s="335"/>
      <c r="Z331" s="335"/>
      <c r="AA331" s="335"/>
    </row>
    <row r="332" spans="14:27" ht="12">
      <c r="N332" s="335"/>
      <c r="O332" s="335"/>
      <c r="P332" s="335"/>
      <c r="Q332" s="335"/>
      <c r="R332" s="335"/>
      <c r="S332" s="335"/>
      <c r="T332" s="335"/>
      <c r="U332" s="335"/>
      <c r="V332" s="335"/>
      <c r="W332" s="335"/>
      <c r="X332" s="335"/>
      <c r="Y332" s="335"/>
      <c r="Z332" s="335"/>
      <c r="AA332" s="335"/>
    </row>
    <row r="333" spans="14:27" ht="12">
      <c r="N333" s="335"/>
      <c r="O333" s="335"/>
      <c r="P333" s="335"/>
      <c r="Q333" s="335"/>
      <c r="R333" s="335"/>
      <c r="S333" s="335"/>
      <c r="T333" s="335"/>
      <c r="U333" s="335"/>
      <c r="V333" s="335"/>
      <c r="W333" s="335"/>
      <c r="X333" s="335"/>
      <c r="Y333" s="335"/>
      <c r="Z333" s="335"/>
      <c r="AA333" s="335"/>
    </row>
    <row r="334" spans="14:27" ht="12">
      <c r="N334" s="335"/>
      <c r="O334" s="335"/>
      <c r="P334" s="335"/>
      <c r="Q334" s="335"/>
      <c r="R334" s="335"/>
      <c r="S334" s="335"/>
      <c r="T334" s="335"/>
      <c r="U334" s="335"/>
      <c r="V334" s="335"/>
      <c r="W334" s="335"/>
      <c r="X334" s="335"/>
      <c r="Y334" s="335"/>
      <c r="Z334" s="335"/>
      <c r="AA334" s="335"/>
    </row>
    <row r="335" spans="14:27" ht="12">
      <c r="N335" s="335"/>
      <c r="O335" s="335"/>
      <c r="P335" s="335"/>
      <c r="Q335" s="335"/>
      <c r="R335" s="335"/>
      <c r="S335" s="335"/>
      <c r="T335" s="335"/>
      <c r="U335" s="335"/>
      <c r="V335" s="335"/>
      <c r="W335" s="335"/>
      <c r="X335" s="335"/>
      <c r="Y335" s="335"/>
      <c r="Z335" s="335"/>
      <c r="AA335" s="335"/>
    </row>
    <row r="336" spans="14:27" ht="12">
      <c r="N336" s="335"/>
      <c r="O336" s="335"/>
      <c r="P336" s="335"/>
      <c r="Q336" s="335"/>
      <c r="R336" s="335"/>
      <c r="S336" s="335"/>
      <c r="T336" s="335"/>
      <c r="U336" s="335"/>
      <c r="V336" s="335"/>
      <c r="W336" s="335"/>
      <c r="X336" s="335"/>
      <c r="Y336" s="335"/>
      <c r="Z336" s="335"/>
      <c r="AA336" s="335"/>
    </row>
    <row r="337" spans="14:27" ht="12">
      <c r="N337" s="335"/>
      <c r="O337" s="335"/>
      <c r="P337" s="335"/>
      <c r="Q337" s="335"/>
      <c r="R337" s="335"/>
      <c r="S337" s="335"/>
      <c r="T337" s="335"/>
      <c r="U337" s="335"/>
      <c r="V337" s="335"/>
      <c r="W337" s="335"/>
      <c r="X337" s="335"/>
      <c r="Y337" s="335"/>
      <c r="Z337" s="335"/>
      <c r="AA337" s="335"/>
    </row>
    <row r="338" spans="14:27" ht="12">
      <c r="N338" s="335"/>
      <c r="O338" s="335"/>
      <c r="P338" s="335"/>
      <c r="Q338" s="335"/>
      <c r="R338" s="335"/>
      <c r="S338" s="335"/>
      <c r="T338" s="335"/>
      <c r="U338" s="335"/>
      <c r="V338" s="335"/>
      <c r="W338" s="335"/>
      <c r="X338" s="335"/>
      <c r="Y338" s="335"/>
      <c r="Z338" s="335"/>
      <c r="AA338" s="335"/>
    </row>
    <row r="339" spans="14:27" ht="12">
      <c r="N339" s="335"/>
      <c r="O339" s="335"/>
      <c r="P339" s="335"/>
      <c r="Q339" s="335"/>
      <c r="R339" s="335"/>
      <c r="S339" s="335"/>
      <c r="T339" s="335"/>
      <c r="U339" s="335"/>
      <c r="V339" s="335"/>
      <c r="W339" s="335"/>
      <c r="X339" s="335"/>
      <c r="Y339" s="335"/>
      <c r="Z339" s="335"/>
      <c r="AA339" s="335"/>
    </row>
    <row r="340" spans="14:27" ht="12">
      <c r="N340" s="335"/>
      <c r="O340" s="335"/>
      <c r="P340" s="335"/>
      <c r="Q340" s="335"/>
      <c r="R340" s="335"/>
      <c r="S340" s="335"/>
      <c r="T340" s="335"/>
      <c r="U340" s="335"/>
      <c r="V340" s="335"/>
      <c r="W340" s="335"/>
      <c r="X340" s="335"/>
      <c r="Y340" s="335"/>
      <c r="Z340" s="335"/>
      <c r="AA340" s="335"/>
    </row>
    <row r="341" spans="14:27" ht="12">
      <c r="N341" s="335"/>
      <c r="O341" s="335"/>
      <c r="P341" s="335"/>
      <c r="Q341" s="335"/>
      <c r="R341" s="335"/>
      <c r="S341" s="335"/>
      <c r="T341" s="335"/>
      <c r="U341" s="335"/>
      <c r="V341" s="335"/>
      <c r="W341" s="335"/>
      <c r="X341" s="335"/>
      <c r="Y341" s="335"/>
      <c r="Z341" s="335"/>
      <c r="AA341" s="335"/>
    </row>
    <row r="342" spans="14:27" ht="12">
      <c r="N342" s="335"/>
      <c r="O342" s="335"/>
      <c r="P342" s="335"/>
      <c r="Q342" s="335"/>
      <c r="R342" s="335"/>
      <c r="S342" s="335"/>
      <c r="T342" s="335"/>
      <c r="U342" s="335"/>
      <c r="V342" s="335"/>
      <c r="W342" s="335"/>
      <c r="X342" s="335"/>
      <c r="Y342" s="335"/>
      <c r="Z342" s="335"/>
      <c r="AA342" s="335"/>
    </row>
    <row r="343" spans="14:27" ht="12">
      <c r="N343" s="335"/>
      <c r="O343" s="335"/>
      <c r="P343" s="335"/>
      <c r="Q343" s="335"/>
      <c r="R343" s="335"/>
      <c r="S343" s="335"/>
      <c r="T343" s="335"/>
      <c r="U343" s="335"/>
      <c r="V343" s="335"/>
      <c r="W343" s="335"/>
      <c r="X343" s="335"/>
      <c r="Y343" s="335"/>
      <c r="Z343" s="335"/>
      <c r="AA343" s="335"/>
    </row>
    <row r="344" spans="14:27" ht="12">
      <c r="N344" s="335"/>
      <c r="O344" s="335"/>
      <c r="P344" s="335"/>
      <c r="Q344" s="335"/>
      <c r="R344" s="335"/>
      <c r="S344" s="335"/>
      <c r="T344" s="335"/>
      <c r="U344" s="335"/>
      <c r="V344" s="335"/>
      <c r="W344" s="335"/>
      <c r="X344" s="335"/>
      <c r="Y344" s="335"/>
      <c r="Z344" s="335"/>
      <c r="AA344" s="335"/>
    </row>
    <row r="345" spans="14:27" ht="12">
      <c r="N345" s="335"/>
      <c r="O345" s="335"/>
      <c r="P345" s="335"/>
      <c r="Q345" s="335"/>
      <c r="R345" s="335"/>
      <c r="S345" s="335"/>
      <c r="T345" s="335"/>
      <c r="U345" s="335"/>
      <c r="V345" s="335"/>
      <c r="W345" s="335"/>
      <c r="X345" s="335"/>
      <c r="Y345" s="335"/>
      <c r="Z345" s="335"/>
      <c r="AA345" s="335"/>
    </row>
    <row r="346" spans="14:27" ht="12">
      <c r="N346" s="335"/>
      <c r="O346" s="335"/>
      <c r="P346" s="335"/>
      <c r="Q346" s="335"/>
      <c r="R346" s="335"/>
      <c r="S346" s="335"/>
      <c r="T346" s="335"/>
      <c r="U346" s="335"/>
      <c r="V346" s="335"/>
      <c r="W346" s="335"/>
      <c r="X346" s="335"/>
      <c r="Y346" s="335"/>
      <c r="Z346" s="335"/>
      <c r="AA346" s="335"/>
    </row>
    <row r="347" spans="14:27" ht="12">
      <c r="N347" s="335"/>
      <c r="O347" s="335"/>
      <c r="P347" s="335"/>
      <c r="Q347" s="335"/>
      <c r="R347" s="335"/>
      <c r="S347" s="335"/>
      <c r="T347" s="335"/>
      <c r="U347" s="335"/>
      <c r="V347" s="335"/>
      <c r="W347" s="335"/>
      <c r="X347" s="335"/>
      <c r="Y347" s="335"/>
      <c r="Z347" s="335"/>
      <c r="AA347" s="335"/>
    </row>
    <row r="348" spans="14:27" ht="12">
      <c r="N348" s="335"/>
      <c r="O348" s="335"/>
      <c r="P348" s="335"/>
      <c r="Q348" s="335"/>
      <c r="R348" s="335"/>
      <c r="S348" s="335"/>
      <c r="T348" s="335"/>
      <c r="U348" s="335"/>
      <c r="V348" s="335"/>
      <c r="W348" s="335"/>
      <c r="X348" s="335"/>
      <c r="Y348" s="335"/>
      <c r="Z348" s="335"/>
      <c r="AA348" s="335"/>
    </row>
    <row r="349" spans="14:27" ht="12">
      <c r="N349" s="335"/>
      <c r="O349" s="335"/>
      <c r="P349" s="335"/>
      <c r="Q349" s="335"/>
      <c r="R349" s="335"/>
      <c r="S349" s="335"/>
      <c r="T349" s="335"/>
      <c r="U349" s="335"/>
      <c r="V349" s="335"/>
      <c r="W349" s="335"/>
      <c r="X349" s="335"/>
      <c r="Y349" s="335"/>
      <c r="Z349" s="335"/>
      <c r="AA349" s="335"/>
    </row>
    <row r="350" spans="14:27" ht="12">
      <c r="N350" s="335"/>
      <c r="O350" s="335"/>
      <c r="P350" s="335"/>
      <c r="Q350" s="335"/>
      <c r="R350" s="335"/>
      <c r="S350" s="335"/>
      <c r="T350" s="335"/>
      <c r="U350" s="335"/>
      <c r="V350" s="335"/>
      <c r="W350" s="335"/>
      <c r="X350" s="335"/>
      <c r="Y350" s="335"/>
      <c r="Z350" s="335"/>
      <c r="AA350" s="335"/>
    </row>
    <row r="351" spans="14:27" ht="12">
      <c r="N351" s="335"/>
      <c r="O351" s="335"/>
      <c r="P351" s="335"/>
      <c r="Q351" s="335"/>
      <c r="R351" s="335"/>
      <c r="S351" s="335"/>
      <c r="T351" s="335"/>
      <c r="U351" s="335"/>
      <c r="V351" s="335"/>
      <c r="W351" s="335"/>
      <c r="X351" s="335"/>
      <c r="Y351" s="335"/>
      <c r="Z351" s="335"/>
      <c r="AA351" s="335"/>
    </row>
    <row r="352" spans="14:27" ht="12">
      <c r="N352" s="335"/>
      <c r="O352" s="335"/>
      <c r="P352" s="335"/>
      <c r="Q352" s="335"/>
      <c r="R352" s="335"/>
      <c r="S352" s="335"/>
      <c r="T352" s="335"/>
      <c r="U352" s="335"/>
      <c r="V352" s="335"/>
      <c r="W352" s="335"/>
      <c r="X352" s="335"/>
      <c r="Y352" s="335"/>
      <c r="Z352" s="335"/>
      <c r="AA352" s="335"/>
    </row>
    <row r="353" spans="14:27" ht="12">
      <c r="N353" s="335"/>
      <c r="O353" s="335"/>
      <c r="P353" s="335"/>
      <c r="Q353" s="335"/>
      <c r="R353" s="335"/>
      <c r="S353" s="335"/>
      <c r="T353" s="335"/>
      <c r="U353" s="335"/>
      <c r="V353" s="335"/>
      <c r="W353" s="335"/>
      <c r="X353" s="335"/>
      <c r="Y353" s="335"/>
      <c r="Z353" s="335"/>
      <c r="AA353" s="335"/>
    </row>
    <row r="354" spans="14:27" ht="12">
      <c r="N354" s="335"/>
      <c r="O354" s="335"/>
      <c r="P354" s="335"/>
      <c r="Q354" s="335"/>
      <c r="R354" s="335"/>
      <c r="S354" s="335"/>
      <c r="T354" s="335"/>
      <c r="U354" s="335"/>
      <c r="V354" s="335"/>
      <c r="W354" s="335"/>
      <c r="X354" s="335"/>
      <c r="Y354" s="335"/>
      <c r="Z354" s="335"/>
      <c r="AA354" s="335"/>
    </row>
    <row r="355" spans="14:27" ht="12">
      <c r="N355" s="335"/>
      <c r="O355" s="335"/>
      <c r="P355" s="335"/>
      <c r="Q355" s="335"/>
      <c r="R355" s="335"/>
      <c r="S355" s="335"/>
      <c r="T355" s="335"/>
      <c r="U355" s="335"/>
      <c r="V355" s="335"/>
      <c r="W355" s="335"/>
      <c r="X355" s="335"/>
      <c r="Y355" s="335"/>
      <c r="Z355" s="335"/>
      <c r="AA355" s="335"/>
    </row>
    <row r="356" spans="14:27" ht="12">
      <c r="N356" s="335"/>
      <c r="O356" s="335"/>
      <c r="P356" s="335"/>
      <c r="Q356" s="335"/>
      <c r="R356" s="335"/>
      <c r="S356" s="335"/>
      <c r="T356" s="335"/>
      <c r="U356" s="335"/>
      <c r="V356" s="335"/>
      <c r="W356" s="335"/>
      <c r="X356" s="335"/>
      <c r="Y356" s="335"/>
      <c r="Z356" s="335"/>
      <c r="AA356" s="335"/>
    </row>
    <row r="357" spans="14:27" ht="12">
      <c r="N357" s="335"/>
      <c r="O357" s="335"/>
      <c r="P357" s="335"/>
      <c r="Q357" s="335"/>
      <c r="R357" s="335"/>
      <c r="S357" s="335"/>
      <c r="T357" s="335"/>
      <c r="U357" s="335"/>
      <c r="V357" s="335"/>
      <c r="W357" s="335"/>
      <c r="X357" s="335"/>
      <c r="Y357" s="335"/>
      <c r="Z357" s="335"/>
      <c r="AA357" s="335"/>
    </row>
    <row r="358" spans="14:27" ht="12">
      <c r="N358" s="335"/>
      <c r="O358" s="335"/>
      <c r="P358" s="335"/>
      <c r="Q358" s="335"/>
      <c r="R358" s="335"/>
      <c r="S358" s="335"/>
      <c r="T358" s="335"/>
      <c r="U358" s="335"/>
      <c r="V358" s="335"/>
      <c r="W358" s="335"/>
      <c r="X358" s="335"/>
      <c r="Y358" s="335"/>
      <c r="Z358" s="335"/>
      <c r="AA358" s="335"/>
    </row>
    <row r="359" spans="14:27" ht="12">
      <c r="N359" s="335"/>
      <c r="O359" s="335"/>
      <c r="P359" s="335"/>
      <c r="Q359" s="335"/>
      <c r="R359" s="335"/>
      <c r="S359" s="335"/>
      <c r="T359" s="335"/>
      <c r="U359" s="335"/>
      <c r="V359" s="335"/>
      <c r="W359" s="335"/>
      <c r="X359" s="335"/>
      <c r="Y359" s="335"/>
      <c r="Z359" s="335"/>
      <c r="AA359" s="335"/>
    </row>
    <row r="360" spans="14:27" ht="12">
      <c r="N360" s="335"/>
      <c r="O360" s="335"/>
      <c r="P360" s="335"/>
      <c r="Q360" s="335"/>
      <c r="R360" s="335"/>
      <c r="S360" s="335"/>
      <c r="T360" s="335"/>
      <c r="U360" s="335"/>
      <c r="V360" s="335"/>
      <c r="W360" s="335"/>
      <c r="X360" s="335"/>
      <c r="Y360" s="335"/>
      <c r="Z360" s="335"/>
      <c r="AA360" s="335"/>
    </row>
    <row r="361" spans="14:27" ht="12">
      <c r="N361" s="335"/>
      <c r="O361" s="335"/>
      <c r="P361" s="335"/>
      <c r="Q361" s="335"/>
      <c r="R361" s="335"/>
      <c r="S361" s="335"/>
      <c r="T361" s="335"/>
      <c r="U361" s="335"/>
      <c r="V361" s="335"/>
      <c r="W361" s="335"/>
      <c r="X361" s="335"/>
      <c r="Y361" s="335"/>
      <c r="Z361" s="335"/>
      <c r="AA361" s="335"/>
    </row>
    <row r="362" spans="14:27" ht="12">
      <c r="N362" s="335"/>
      <c r="O362" s="335"/>
      <c r="P362" s="335"/>
      <c r="Q362" s="335"/>
      <c r="R362" s="335"/>
      <c r="S362" s="335"/>
      <c r="T362" s="335"/>
      <c r="U362" s="335"/>
      <c r="V362" s="335"/>
      <c r="W362" s="335"/>
      <c r="X362" s="335"/>
      <c r="Y362" s="335"/>
      <c r="Z362" s="335"/>
      <c r="AA362" s="335"/>
    </row>
    <row r="363" spans="14:27" ht="12">
      <c r="N363" s="335"/>
      <c r="O363" s="335"/>
      <c r="P363" s="335"/>
      <c r="Q363" s="335"/>
      <c r="R363" s="335"/>
      <c r="S363" s="335"/>
      <c r="T363" s="335"/>
      <c r="U363" s="335"/>
      <c r="V363" s="335"/>
      <c r="W363" s="335"/>
      <c r="X363" s="335"/>
      <c r="Y363" s="335"/>
      <c r="Z363" s="335"/>
      <c r="AA363" s="335"/>
    </row>
    <row r="364" spans="14:27" ht="12">
      <c r="N364" s="335"/>
      <c r="O364" s="335"/>
      <c r="P364" s="335"/>
      <c r="Q364" s="335"/>
      <c r="R364" s="335"/>
      <c r="S364" s="335"/>
      <c r="T364" s="335"/>
      <c r="U364" s="335"/>
      <c r="V364" s="335"/>
      <c r="W364" s="335"/>
      <c r="X364" s="335"/>
      <c r="Y364" s="335"/>
      <c r="Z364" s="335"/>
      <c r="AA364" s="335"/>
    </row>
    <row r="365" spans="14:27" ht="12">
      <c r="N365" s="335"/>
      <c r="O365" s="335"/>
      <c r="P365" s="335"/>
      <c r="Q365" s="335"/>
      <c r="R365" s="335"/>
      <c r="S365" s="335"/>
      <c r="T365" s="335"/>
      <c r="U365" s="335"/>
      <c r="V365" s="335"/>
      <c r="W365" s="335"/>
      <c r="X365" s="335"/>
      <c r="Y365" s="335"/>
      <c r="Z365" s="335"/>
      <c r="AA365" s="335"/>
    </row>
    <row r="366" spans="14:27" ht="12">
      <c r="N366" s="335"/>
      <c r="O366" s="335"/>
      <c r="P366" s="335"/>
      <c r="Q366" s="335"/>
      <c r="R366" s="335"/>
      <c r="S366" s="335"/>
      <c r="T366" s="335"/>
      <c r="U366" s="335"/>
      <c r="V366" s="335"/>
      <c r="W366" s="335"/>
      <c r="X366" s="335"/>
      <c r="Y366" s="335"/>
      <c r="Z366" s="335"/>
      <c r="AA366" s="335"/>
    </row>
    <row r="367" spans="14:27" ht="12">
      <c r="N367" s="335"/>
      <c r="O367" s="335"/>
      <c r="P367" s="335"/>
      <c r="Q367" s="335"/>
      <c r="R367" s="335"/>
      <c r="S367" s="335"/>
      <c r="T367" s="335"/>
      <c r="U367" s="335"/>
      <c r="V367" s="335"/>
      <c r="W367" s="335"/>
      <c r="X367" s="335"/>
      <c r="Y367" s="335"/>
      <c r="Z367" s="335"/>
      <c r="AA367" s="335"/>
    </row>
    <row r="368" spans="14:27" ht="12">
      <c r="N368" s="335"/>
      <c r="O368" s="335"/>
      <c r="P368" s="335"/>
      <c r="Q368" s="335"/>
      <c r="R368" s="335"/>
      <c r="S368" s="335"/>
      <c r="T368" s="335"/>
      <c r="U368" s="335"/>
      <c r="V368" s="335"/>
      <c r="W368" s="335"/>
      <c r="X368" s="335"/>
      <c r="Y368" s="335"/>
      <c r="Z368" s="335"/>
      <c r="AA368" s="335"/>
    </row>
    <row r="369" spans="1:31" ht="12">
      <c r="N369" s="335"/>
      <c r="O369" s="335"/>
      <c r="P369" s="335"/>
      <c r="Q369" s="335"/>
      <c r="R369" s="335"/>
      <c r="S369" s="335"/>
      <c r="T369" s="335"/>
      <c r="U369" s="335"/>
      <c r="V369" s="335"/>
      <c r="W369" s="335"/>
      <c r="X369" s="335"/>
      <c r="Y369" s="335"/>
      <c r="Z369" s="335"/>
      <c r="AA369" s="335"/>
    </row>
    <row r="370" spans="1:31" ht="12">
      <c r="N370" s="335"/>
      <c r="O370" s="335"/>
      <c r="P370" s="335"/>
      <c r="Q370" s="335"/>
      <c r="R370" s="335"/>
      <c r="S370" s="335"/>
      <c r="T370" s="335"/>
      <c r="U370" s="335"/>
      <c r="V370" s="335"/>
      <c r="W370" s="335"/>
      <c r="X370" s="335"/>
      <c r="Y370" s="335"/>
      <c r="Z370" s="335"/>
      <c r="AA370" s="335"/>
    </row>
    <row r="371" spans="1:31" ht="12">
      <c r="N371" s="335"/>
      <c r="O371" s="335"/>
      <c r="P371" s="335"/>
      <c r="Q371" s="335"/>
      <c r="R371" s="335"/>
      <c r="S371" s="335"/>
      <c r="T371" s="335"/>
      <c r="U371" s="335"/>
      <c r="V371" s="335"/>
      <c r="W371" s="335"/>
      <c r="X371" s="335"/>
      <c r="Y371" s="335"/>
      <c r="Z371" s="335"/>
      <c r="AA371" s="335"/>
    </row>
    <row r="372" spans="1:31" ht="12">
      <c r="N372" s="335"/>
      <c r="O372" s="335"/>
      <c r="P372" s="335"/>
      <c r="Q372" s="335"/>
      <c r="R372" s="335"/>
      <c r="S372" s="335"/>
      <c r="T372" s="335"/>
      <c r="U372" s="335"/>
      <c r="V372" s="335"/>
      <c r="W372" s="335"/>
      <c r="X372" s="335"/>
      <c r="Y372" s="335"/>
      <c r="Z372" s="335"/>
      <c r="AA372" s="335"/>
    </row>
    <row r="373" spans="1:31" ht="12">
      <c r="N373" s="335"/>
      <c r="O373" s="335"/>
      <c r="P373" s="335"/>
      <c r="Q373" s="335"/>
      <c r="R373" s="335"/>
      <c r="S373" s="335"/>
      <c r="T373" s="335"/>
      <c r="U373" s="335"/>
      <c r="V373" s="335"/>
      <c r="W373" s="335"/>
      <c r="X373" s="335"/>
      <c r="Y373" s="335"/>
      <c r="Z373" s="335"/>
      <c r="AA373" s="335"/>
    </row>
    <row r="374" spans="1:31" ht="12">
      <c r="N374" s="335"/>
      <c r="O374" s="335"/>
      <c r="P374" s="335"/>
      <c r="Q374" s="335"/>
      <c r="R374" s="335"/>
      <c r="S374" s="335"/>
      <c r="T374" s="335"/>
      <c r="U374" s="335"/>
      <c r="V374" s="335"/>
      <c r="W374" s="335"/>
      <c r="X374" s="335"/>
      <c r="Y374" s="335"/>
      <c r="Z374" s="335"/>
      <c r="AA374" s="335"/>
    </row>
    <row r="375" spans="1:31" ht="12">
      <c r="N375" s="335"/>
      <c r="O375" s="335"/>
      <c r="P375" s="335"/>
      <c r="Q375" s="335"/>
      <c r="R375" s="335"/>
      <c r="S375" s="335"/>
      <c r="T375" s="335"/>
      <c r="U375" s="335"/>
      <c r="V375" s="335"/>
      <c r="W375" s="335"/>
      <c r="X375" s="335"/>
      <c r="Y375" s="335"/>
      <c r="Z375" s="335"/>
      <c r="AA375" s="335"/>
    </row>
    <row r="376" spans="1:31" ht="11">
      <c r="A376" s="335"/>
      <c r="B376" s="335"/>
      <c r="C376" s="335"/>
      <c r="D376" s="335"/>
      <c r="E376" s="335"/>
      <c r="F376" s="335"/>
      <c r="G376" s="335"/>
      <c r="H376" s="335"/>
      <c r="I376" s="335"/>
      <c r="J376" s="335"/>
      <c r="K376" s="335"/>
      <c r="L376" s="335"/>
      <c r="M376" s="335"/>
      <c r="N376" s="335"/>
      <c r="O376" s="335"/>
      <c r="P376" s="335"/>
      <c r="Q376" s="335"/>
      <c r="R376" s="335"/>
      <c r="S376" s="335"/>
      <c r="T376" s="335"/>
      <c r="U376" s="335"/>
      <c r="V376" s="335"/>
      <c r="W376" s="335"/>
      <c r="X376" s="335"/>
      <c r="Y376" s="335"/>
      <c r="Z376" s="335"/>
      <c r="AA376" s="335"/>
      <c r="AD376" s="335"/>
      <c r="AE376" s="335"/>
    </row>
    <row r="377" spans="1:31" ht="11">
      <c r="A377" s="335"/>
      <c r="B377" s="335"/>
      <c r="C377" s="335"/>
      <c r="D377" s="335"/>
      <c r="E377" s="335"/>
      <c r="F377" s="335"/>
      <c r="G377" s="335"/>
      <c r="H377" s="335"/>
      <c r="I377" s="335"/>
      <c r="J377" s="335"/>
      <c r="K377" s="335"/>
      <c r="L377" s="335"/>
      <c r="M377" s="335"/>
      <c r="N377" s="335"/>
      <c r="O377" s="335"/>
      <c r="P377" s="335"/>
      <c r="Q377" s="335"/>
      <c r="R377" s="335"/>
      <c r="S377" s="335"/>
      <c r="T377" s="335"/>
      <c r="U377" s="335"/>
      <c r="V377" s="335"/>
      <c r="W377" s="335"/>
      <c r="X377" s="335"/>
      <c r="Y377" s="335"/>
      <c r="Z377" s="335"/>
      <c r="AA377" s="335"/>
      <c r="AD377" s="335"/>
      <c r="AE377" s="335"/>
    </row>
    <row r="378" spans="1:31" ht="11">
      <c r="A378" s="335"/>
      <c r="B378" s="335"/>
      <c r="C378" s="335"/>
      <c r="D378" s="335"/>
      <c r="E378" s="335"/>
      <c r="F378" s="335"/>
      <c r="G378" s="335"/>
      <c r="H378" s="335"/>
      <c r="I378" s="335"/>
      <c r="J378" s="335"/>
      <c r="K378" s="335"/>
      <c r="L378" s="335"/>
      <c r="M378" s="335"/>
      <c r="N378" s="335"/>
      <c r="O378" s="335"/>
      <c r="P378" s="335"/>
      <c r="Q378" s="335"/>
      <c r="R378" s="335"/>
      <c r="S378" s="335"/>
      <c r="T378" s="335"/>
      <c r="U378" s="335"/>
      <c r="V378" s="335"/>
      <c r="W378" s="335"/>
      <c r="X378" s="335"/>
      <c r="Y378" s="335"/>
      <c r="Z378" s="335"/>
      <c r="AA378" s="335"/>
      <c r="AD378" s="335"/>
      <c r="AE378" s="335"/>
    </row>
    <row r="379" spans="1:31" ht="11">
      <c r="A379" s="335"/>
      <c r="B379" s="335"/>
      <c r="C379" s="335"/>
      <c r="D379" s="335"/>
      <c r="E379" s="335"/>
      <c r="F379" s="335"/>
      <c r="G379" s="335"/>
      <c r="H379" s="335"/>
      <c r="I379" s="335"/>
      <c r="J379" s="335"/>
      <c r="K379" s="335"/>
      <c r="L379" s="335"/>
      <c r="M379" s="335"/>
      <c r="N379" s="335"/>
      <c r="O379" s="335"/>
      <c r="P379" s="335"/>
      <c r="Q379" s="335"/>
      <c r="R379" s="335"/>
      <c r="S379" s="335"/>
      <c r="T379" s="335"/>
      <c r="U379" s="335"/>
      <c r="V379" s="335"/>
      <c r="W379" s="335"/>
      <c r="X379" s="335"/>
      <c r="Y379" s="335"/>
      <c r="Z379" s="335"/>
      <c r="AA379" s="335"/>
      <c r="AD379" s="335"/>
      <c r="AE379" s="335"/>
    </row>
    <row r="380" spans="1:31" ht="11">
      <c r="A380" s="335"/>
      <c r="B380" s="335"/>
      <c r="C380" s="335"/>
      <c r="D380" s="335"/>
      <c r="E380" s="335"/>
      <c r="F380" s="335"/>
      <c r="G380" s="335"/>
      <c r="H380" s="335"/>
      <c r="I380" s="335"/>
      <c r="J380" s="335"/>
      <c r="K380" s="335"/>
      <c r="L380" s="335"/>
      <c r="M380" s="335"/>
      <c r="N380" s="335"/>
      <c r="O380" s="335"/>
      <c r="P380" s="335"/>
      <c r="Q380" s="335"/>
      <c r="R380" s="335"/>
      <c r="S380" s="335"/>
      <c r="T380" s="335"/>
      <c r="U380" s="335"/>
      <c r="V380" s="335"/>
      <c r="W380" s="335"/>
      <c r="X380" s="335"/>
      <c r="Y380" s="335"/>
      <c r="Z380" s="335"/>
      <c r="AA380" s="335"/>
      <c r="AD380" s="335"/>
      <c r="AE380" s="335"/>
    </row>
    <row r="381" spans="1:31" ht="11">
      <c r="A381" s="335"/>
      <c r="B381" s="335"/>
      <c r="C381" s="335"/>
      <c r="D381" s="335"/>
      <c r="E381" s="335"/>
      <c r="F381" s="335"/>
      <c r="G381" s="335"/>
      <c r="H381" s="335"/>
      <c r="I381" s="335"/>
      <c r="J381" s="335"/>
      <c r="K381" s="335"/>
      <c r="L381" s="335"/>
      <c r="M381" s="335"/>
      <c r="N381" s="335"/>
      <c r="O381" s="335"/>
      <c r="P381" s="335"/>
      <c r="Q381" s="335"/>
      <c r="R381" s="335"/>
      <c r="S381" s="335"/>
      <c r="T381" s="335"/>
      <c r="U381" s="335"/>
      <c r="V381" s="335"/>
      <c r="W381" s="335"/>
      <c r="X381" s="335"/>
      <c r="Y381" s="335"/>
      <c r="Z381" s="335"/>
      <c r="AA381" s="335"/>
      <c r="AD381" s="335"/>
      <c r="AE381" s="335"/>
    </row>
    <row r="382" spans="1:31" ht="11">
      <c r="A382" s="335"/>
      <c r="B382" s="335"/>
      <c r="C382" s="335"/>
      <c r="D382" s="335"/>
      <c r="E382" s="335"/>
      <c r="F382" s="335"/>
      <c r="G382" s="335"/>
      <c r="H382" s="335"/>
      <c r="I382" s="335"/>
      <c r="J382" s="335"/>
      <c r="K382" s="335"/>
      <c r="L382" s="335"/>
      <c r="M382" s="335"/>
      <c r="N382" s="335"/>
      <c r="O382" s="335"/>
      <c r="P382" s="335"/>
      <c r="Q382" s="335"/>
      <c r="R382" s="335"/>
      <c r="S382" s="335"/>
      <c r="T382" s="335"/>
      <c r="U382" s="335"/>
      <c r="V382" s="335"/>
      <c r="W382" s="335"/>
      <c r="X382" s="335"/>
      <c r="Y382" s="335"/>
      <c r="Z382" s="335"/>
      <c r="AA382" s="335"/>
      <c r="AD382" s="335"/>
      <c r="AE382" s="335"/>
    </row>
    <row r="383" spans="1:31" ht="11">
      <c r="A383" s="335"/>
      <c r="B383" s="335"/>
      <c r="C383" s="335"/>
      <c r="D383" s="335"/>
      <c r="E383" s="335"/>
      <c r="F383" s="335"/>
      <c r="G383" s="335"/>
      <c r="H383" s="335"/>
      <c r="I383" s="335"/>
      <c r="J383" s="335"/>
      <c r="K383" s="335"/>
      <c r="L383" s="335"/>
      <c r="M383" s="335"/>
      <c r="N383" s="335"/>
      <c r="O383" s="335"/>
      <c r="P383" s="335"/>
      <c r="Q383" s="335"/>
      <c r="R383" s="335"/>
      <c r="S383" s="335"/>
      <c r="T383" s="335"/>
      <c r="U383" s="335"/>
      <c r="V383" s="335"/>
      <c r="W383" s="335"/>
      <c r="X383" s="335"/>
      <c r="Y383" s="335"/>
      <c r="Z383" s="335"/>
      <c r="AA383" s="335"/>
      <c r="AD383" s="335"/>
      <c r="AE383" s="335"/>
    </row>
    <row r="384" spans="1:31" ht="11">
      <c r="A384" s="335"/>
      <c r="B384" s="335"/>
      <c r="C384" s="335"/>
      <c r="D384" s="335"/>
      <c r="E384" s="335"/>
      <c r="F384" s="335"/>
      <c r="G384" s="335"/>
      <c r="H384" s="335"/>
      <c r="I384" s="335"/>
      <c r="J384" s="335"/>
      <c r="K384" s="335"/>
      <c r="L384" s="335"/>
      <c r="M384" s="335"/>
      <c r="N384" s="335"/>
      <c r="O384" s="335"/>
      <c r="P384" s="335"/>
      <c r="Q384" s="335"/>
      <c r="R384" s="335"/>
      <c r="S384" s="335"/>
      <c r="T384" s="335"/>
      <c r="U384" s="335"/>
      <c r="V384" s="335"/>
      <c r="W384" s="335"/>
      <c r="X384" s="335"/>
      <c r="Y384" s="335"/>
      <c r="Z384" s="335"/>
      <c r="AA384" s="335"/>
      <c r="AD384" s="335"/>
      <c r="AE384" s="335"/>
    </row>
    <row r="385" s="335" customFormat="1" ht="11"/>
    <row r="386" s="335" customFormat="1" ht="11"/>
    <row r="387" s="335" customFormat="1" ht="11"/>
    <row r="388" s="335" customFormat="1" ht="11"/>
    <row r="389" s="335" customFormat="1" ht="11"/>
    <row r="390" s="335" customFormat="1" ht="11"/>
    <row r="391" s="335" customFormat="1" ht="11"/>
    <row r="392" s="335" customFormat="1" ht="11"/>
    <row r="393" s="335" customFormat="1" ht="11"/>
    <row r="394" s="335" customFormat="1" ht="11"/>
    <row r="395" s="335" customFormat="1" ht="11"/>
    <row r="396" s="335" customFormat="1" ht="11"/>
    <row r="397" s="335" customFormat="1" ht="11"/>
    <row r="398" s="335" customFormat="1" ht="11"/>
    <row r="399" s="335" customFormat="1" ht="11"/>
    <row r="400" s="335" customFormat="1" ht="11"/>
    <row r="401" s="335" customFormat="1" ht="11"/>
    <row r="402" s="335" customFormat="1" ht="11"/>
    <row r="403" s="335" customFormat="1" ht="11"/>
    <row r="404" s="335" customFormat="1" ht="11"/>
    <row r="405" s="335" customFormat="1" ht="11"/>
    <row r="406" s="335" customFormat="1" ht="11"/>
    <row r="407" s="335" customFormat="1" ht="11"/>
    <row r="408" s="335" customFormat="1" ht="11"/>
    <row r="409" s="335" customFormat="1" ht="11"/>
    <row r="410" s="335" customFormat="1" ht="11"/>
    <row r="411" s="335" customFormat="1" ht="11"/>
    <row r="412" s="335" customFormat="1" ht="11"/>
    <row r="413" s="335" customFormat="1" ht="11"/>
    <row r="414" s="335" customFormat="1" ht="11"/>
    <row r="415" s="335" customFormat="1" ht="11"/>
    <row r="416" s="335" customFormat="1" ht="11"/>
    <row r="417" s="335" customFormat="1" ht="11"/>
    <row r="418" s="335" customFormat="1" ht="11"/>
    <row r="419" s="335" customFormat="1" ht="11"/>
    <row r="420" s="335" customFormat="1" ht="11"/>
    <row r="421" s="335" customFormat="1" ht="11"/>
    <row r="422" s="335" customFormat="1" ht="11"/>
    <row r="423" s="335" customFormat="1" ht="11"/>
    <row r="424" s="335" customFormat="1" ht="11"/>
    <row r="425" s="335" customFormat="1" ht="11"/>
    <row r="426" s="335" customFormat="1" ht="11"/>
    <row r="427" s="335" customFormat="1" ht="11"/>
    <row r="428" s="335" customFormat="1" ht="11"/>
    <row r="429" s="335" customFormat="1" ht="11"/>
    <row r="430" s="335" customFormat="1" ht="11"/>
    <row r="431" s="335" customFormat="1" ht="11"/>
    <row r="432" s="335" customFormat="1" ht="11"/>
    <row r="433" s="335" customFormat="1" ht="11"/>
    <row r="434" s="335" customFormat="1" ht="11"/>
    <row r="435" s="335" customFormat="1" ht="11"/>
    <row r="436" s="335" customFormat="1" ht="11"/>
    <row r="437" s="335" customFormat="1" ht="11"/>
    <row r="438" s="335" customFormat="1" ht="11"/>
    <row r="439" s="335" customFormat="1" ht="11"/>
    <row r="440" s="335" customFormat="1" ht="11"/>
    <row r="441" s="335" customFormat="1" ht="11"/>
    <row r="442" s="335" customFormat="1" ht="11"/>
    <row r="443" s="335" customFormat="1" ht="11"/>
    <row r="444" s="335" customFormat="1" ht="11"/>
    <row r="445" s="335" customFormat="1" ht="11"/>
    <row r="446" s="335" customFormat="1" ht="11"/>
    <row r="447" s="335" customFormat="1" ht="11"/>
    <row r="448" s="335" customFormat="1" ht="11"/>
    <row r="449" s="335" customFormat="1" ht="11"/>
    <row r="450" s="335" customFormat="1" ht="11"/>
    <row r="451" s="335" customFormat="1" ht="11"/>
    <row r="452" s="335" customFormat="1" ht="11"/>
    <row r="453" s="335" customFormat="1" ht="11"/>
    <row r="454" s="335" customFormat="1" ht="11"/>
    <row r="455" s="335" customFormat="1" ht="11"/>
    <row r="456" s="335" customFormat="1" ht="11"/>
    <row r="457" s="335" customFormat="1" ht="11"/>
    <row r="458" s="335" customFormat="1" ht="11"/>
    <row r="459" s="335" customFormat="1" ht="11"/>
    <row r="460" s="335" customFormat="1" ht="11"/>
    <row r="461" s="335" customFormat="1" ht="11"/>
    <row r="462" s="335" customFormat="1" ht="11"/>
    <row r="463" s="335" customFormat="1" ht="11"/>
    <row r="464" s="335" customFormat="1" ht="11"/>
    <row r="465" s="335" customFormat="1" ht="11"/>
    <row r="466" s="335" customFormat="1" ht="11"/>
    <row r="467" s="335" customFormat="1" ht="11"/>
    <row r="468" s="335" customFormat="1" ht="11"/>
    <row r="469" s="335" customFormat="1" ht="11"/>
    <row r="470" s="335" customFormat="1" ht="11"/>
    <row r="471" s="335" customFormat="1" ht="11"/>
    <row r="472" s="335" customFormat="1" ht="11"/>
    <row r="473" s="335" customFormat="1" ht="11"/>
    <row r="474" s="335" customFormat="1" ht="11"/>
    <row r="475" s="335" customFormat="1" ht="11"/>
    <row r="476" s="335" customFormat="1" ht="11"/>
    <row r="477" s="335" customFormat="1" ht="11"/>
    <row r="478" s="335" customFormat="1" ht="11"/>
    <row r="479" s="335" customFormat="1" ht="11"/>
    <row r="480" s="335" customFormat="1" ht="11"/>
    <row r="481" s="335" customFormat="1" ht="11"/>
    <row r="482" s="335" customFormat="1" ht="11"/>
    <row r="483" s="335" customFormat="1" ht="11"/>
    <row r="484" s="335" customFormat="1" ht="11"/>
    <row r="485" s="335" customFormat="1" ht="11"/>
    <row r="486" s="335" customFormat="1" ht="11"/>
    <row r="487" s="335" customFormat="1" ht="11"/>
    <row r="488" s="335" customFormat="1" ht="11"/>
    <row r="489" s="335" customFormat="1" ht="11"/>
    <row r="490" s="335" customFormat="1" ht="11"/>
    <row r="491" s="335" customFormat="1" ht="11"/>
    <row r="492" s="335" customFormat="1" ht="11"/>
    <row r="493" s="335" customFormat="1" ht="11"/>
    <row r="494" s="335" customFormat="1" ht="11"/>
    <row r="495" s="335" customFormat="1" ht="11"/>
    <row r="496" s="335" customFormat="1" ht="11"/>
    <row r="497" s="335" customFormat="1" ht="11"/>
    <row r="498" s="335" customFormat="1" ht="11"/>
    <row r="499" s="335" customFormat="1" ht="11"/>
    <row r="500" s="335" customFormat="1" ht="11"/>
    <row r="501" s="335" customFormat="1" ht="11"/>
    <row r="502" s="335" customFormat="1" ht="11"/>
    <row r="503" s="335" customFormat="1" ht="11"/>
    <row r="504" s="335" customFormat="1" ht="11"/>
    <row r="505" s="335" customFormat="1" ht="11"/>
    <row r="506" s="335" customFormat="1" ht="11"/>
    <row r="507" s="335" customFormat="1" ht="11"/>
    <row r="508" s="335" customFormat="1" ht="11"/>
    <row r="509" s="335" customFormat="1" ht="11"/>
    <row r="510" s="335" customFormat="1" ht="11"/>
    <row r="511" s="335" customFormat="1" ht="11"/>
    <row r="512" s="335" customFormat="1" ht="11"/>
    <row r="513" s="335" customFormat="1" ht="11"/>
    <row r="514" s="335" customFormat="1" ht="11"/>
    <row r="515" s="335" customFormat="1" ht="11"/>
    <row r="516" s="335" customFormat="1" ht="11"/>
    <row r="517" s="335" customFormat="1" ht="11"/>
    <row r="518" s="335" customFormat="1" ht="11"/>
    <row r="519" s="335" customFormat="1" ht="11"/>
    <row r="520" s="335" customFormat="1" ht="11"/>
    <row r="521" s="335" customFormat="1" ht="11"/>
    <row r="522" s="335" customFormat="1" ht="11"/>
    <row r="523" s="335" customFormat="1" ht="11"/>
    <row r="524" s="335" customFormat="1" ht="11"/>
    <row r="525" s="335" customFormat="1" ht="11"/>
    <row r="526" s="335" customFormat="1" ht="11"/>
    <row r="527" s="335" customFormat="1" ht="11"/>
    <row r="528" s="335" customFormat="1" ht="11"/>
    <row r="529" s="335" customFormat="1" ht="11"/>
    <row r="530" s="335" customFormat="1" ht="11"/>
    <row r="531" s="335" customFormat="1" ht="11"/>
    <row r="532" s="335" customFormat="1" ht="11"/>
    <row r="533" s="335" customFormat="1" ht="11"/>
    <row r="534" s="335" customFormat="1" ht="11"/>
    <row r="535" s="335" customFormat="1" ht="11"/>
    <row r="536" s="335" customFormat="1" ht="11"/>
    <row r="537" s="335" customFormat="1" ht="11"/>
    <row r="538" s="335" customFormat="1" ht="11"/>
    <row r="539" s="335" customFormat="1" ht="11"/>
    <row r="540" s="335" customFormat="1" ht="11"/>
    <row r="541" s="335" customFormat="1" ht="11"/>
    <row r="542" s="335" customFormat="1" ht="11"/>
    <row r="543" s="335" customFormat="1" ht="11"/>
    <row r="544" s="335" customFormat="1" ht="11"/>
    <row r="545" s="335" customFormat="1" ht="11"/>
    <row r="546" s="335" customFormat="1" ht="11"/>
    <row r="547" s="335" customFormat="1" ht="11"/>
    <row r="548" s="335" customFormat="1" ht="11"/>
    <row r="549" s="335" customFormat="1" ht="11"/>
    <row r="550" s="335" customFormat="1" ht="11"/>
    <row r="551" s="335" customFormat="1" ht="11"/>
    <row r="552" s="335" customFormat="1" ht="11"/>
    <row r="553" s="335" customFormat="1" ht="11"/>
    <row r="554" s="335" customFormat="1" ht="11"/>
    <row r="555" s="335" customFormat="1" ht="11"/>
    <row r="556" s="335" customFormat="1" ht="11"/>
    <row r="557" s="335" customFormat="1" ht="11"/>
    <row r="558" s="335" customFormat="1" ht="11"/>
    <row r="559" s="335" customFormat="1" ht="11"/>
    <row r="560" s="335" customFormat="1" ht="11"/>
    <row r="561" s="335" customFormat="1" ht="11"/>
    <row r="562" s="335" customFormat="1" ht="11"/>
    <row r="563" s="335" customFormat="1" ht="11"/>
    <row r="564" s="335" customFormat="1" ht="11"/>
    <row r="565" s="335" customFormat="1" ht="11"/>
    <row r="566" s="335" customFormat="1" ht="11"/>
    <row r="567" s="335" customFormat="1" ht="11"/>
    <row r="568" s="335" customFormat="1" ht="11"/>
    <row r="569" s="335" customFormat="1" ht="11"/>
    <row r="570" s="335" customFormat="1" ht="11"/>
    <row r="571" s="335" customFormat="1" ht="11"/>
    <row r="572" s="335" customFormat="1" ht="11"/>
    <row r="573" s="335" customFormat="1" ht="11"/>
    <row r="574" s="335" customFormat="1" ht="11"/>
    <row r="575" s="335" customFormat="1" ht="11"/>
    <row r="576" s="335" customFormat="1" ht="11"/>
    <row r="577" s="335" customFormat="1" ht="11"/>
    <row r="578" s="335" customFormat="1" ht="11"/>
    <row r="579" s="335" customFormat="1" ht="11"/>
    <row r="580" s="335" customFormat="1" ht="11"/>
    <row r="581" s="335" customFormat="1" ht="11"/>
    <row r="582" s="335" customFormat="1" ht="11"/>
    <row r="583" s="335" customFormat="1" ht="11"/>
    <row r="584" s="335" customFormat="1" ht="11"/>
    <row r="585" s="335" customFormat="1" ht="11"/>
    <row r="586" s="335" customFormat="1" ht="11"/>
    <row r="587" s="335" customFormat="1" ht="11"/>
    <row r="588" s="335" customFormat="1" ht="11"/>
    <row r="589" s="335" customFormat="1" ht="11"/>
    <row r="590" s="335" customFormat="1" ht="11"/>
    <row r="591" s="335" customFormat="1" ht="11"/>
    <row r="592" s="335" customFormat="1" ht="11"/>
    <row r="593" s="335" customFormat="1" ht="11"/>
    <row r="594" s="335" customFormat="1" ht="11"/>
    <row r="595" s="335" customFormat="1" ht="11"/>
    <row r="596" s="335" customFormat="1" ht="11"/>
    <row r="597" s="335" customFormat="1" ht="11"/>
    <row r="598" s="335" customFormat="1" ht="11"/>
    <row r="599" s="335" customFormat="1" ht="11"/>
    <row r="600" s="335" customFormat="1" ht="11"/>
    <row r="601" s="335" customFormat="1" ht="11"/>
    <row r="602" s="335" customFormat="1" ht="11"/>
    <row r="603" s="335" customFormat="1" ht="11"/>
    <row r="604" s="335" customFormat="1" ht="11"/>
    <row r="605" s="335" customFormat="1" ht="11"/>
    <row r="606" s="335" customFormat="1" ht="11"/>
    <row r="607" s="335" customFormat="1" ht="11"/>
    <row r="608" s="335" customFormat="1" ht="11"/>
    <row r="609" s="335" customFormat="1" ht="11"/>
    <row r="610" s="335" customFormat="1" ht="11"/>
    <row r="611" s="335" customFormat="1" ht="11"/>
    <row r="612" s="335" customFormat="1" ht="11"/>
    <row r="613" s="335" customFormat="1" ht="11"/>
    <row r="614" s="335" customFormat="1" ht="11"/>
    <row r="615" s="335" customFormat="1" ht="11"/>
    <row r="616" s="335" customFormat="1" ht="11"/>
    <row r="617" s="335" customFormat="1" ht="11"/>
    <row r="618" s="335" customFormat="1" ht="11"/>
    <row r="619" s="335" customFormat="1" ht="11"/>
    <row r="620" s="335" customFormat="1" ht="11"/>
    <row r="621" s="335" customFormat="1" ht="11"/>
    <row r="622" s="335" customFormat="1" ht="11"/>
    <row r="623" s="335" customFormat="1" ht="11"/>
    <row r="624" s="335" customFormat="1" ht="11"/>
    <row r="625" s="335" customFormat="1" ht="11"/>
    <row r="626" s="335" customFormat="1" ht="11"/>
    <row r="627" s="335" customFormat="1" ht="11"/>
    <row r="628" s="335" customFormat="1" ht="11"/>
    <row r="629" s="335" customFormat="1" ht="11"/>
    <row r="630" s="335" customFormat="1" ht="11"/>
    <row r="631" s="335" customFormat="1" ht="11"/>
    <row r="632" s="335" customFormat="1" ht="11"/>
    <row r="633" s="335" customFormat="1" ht="11"/>
    <row r="634" s="335" customFormat="1" ht="11"/>
    <row r="635" s="335" customFormat="1" ht="11"/>
    <row r="636" s="335" customFormat="1" ht="11"/>
    <row r="637" s="335" customFormat="1" ht="11"/>
    <row r="638" s="335" customFormat="1" ht="11"/>
    <row r="639" s="335" customFormat="1" ht="11"/>
    <row r="640" s="335" customFormat="1" ht="11"/>
    <row r="641" s="335" customFormat="1" ht="11"/>
    <row r="642" s="335" customFormat="1" ht="11"/>
    <row r="643" s="335" customFormat="1" ht="11"/>
    <row r="644" s="335" customFormat="1" ht="11"/>
    <row r="645" s="335" customFormat="1" ht="11"/>
    <row r="646" s="335" customFormat="1" ht="11"/>
    <row r="647" s="335" customFormat="1" ht="11"/>
    <row r="648" s="335" customFormat="1" ht="11"/>
    <row r="649" s="335" customFormat="1" ht="11"/>
    <row r="650" s="335" customFormat="1" ht="11"/>
    <row r="651" s="335" customFormat="1" ht="11"/>
    <row r="652" s="335" customFormat="1" ht="11"/>
    <row r="653" s="335" customFormat="1" ht="11"/>
    <row r="654" s="335" customFormat="1" ht="11"/>
    <row r="655" s="335" customFormat="1" ht="11"/>
    <row r="656" s="335" customFormat="1" ht="11"/>
    <row r="657" s="335" customFormat="1" ht="11"/>
    <row r="658" s="335" customFormat="1" ht="11"/>
    <row r="659" s="335" customFormat="1" ht="11"/>
    <row r="660" s="335" customFormat="1" ht="11"/>
    <row r="661" s="335" customFormat="1" ht="11"/>
    <row r="662" s="335" customFormat="1" ht="11"/>
    <row r="663" s="335" customFormat="1" ht="11"/>
    <row r="664" s="335" customFormat="1" ht="11"/>
    <row r="665" s="335" customFormat="1" ht="11"/>
    <row r="666" s="335" customFormat="1" ht="11"/>
    <row r="667" s="335" customFormat="1" ht="11"/>
    <row r="668" s="335" customFormat="1" ht="11"/>
    <row r="669" s="335" customFormat="1" ht="11"/>
    <row r="670" s="335" customFormat="1" ht="11"/>
    <row r="671" s="335" customFormat="1" ht="11"/>
    <row r="672" s="335" customFormat="1" ht="11"/>
    <row r="673" s="335" customFormat="1" ht="11"/>
    <row r="674" s="335" customFormat="1" ht="11"/>
    <row r="675" s="335" customFormat="1" ht="11"/>
    <row r="676" s="335" customFormat="1" ht="11"/>
    <row r="677" s="335" customFormat="1" ht="11"/>
    <row r="678" s="335" customFormat="1" ht="11"/>
    <row r="679" s="335" customFormat="1" ht="11"/>
    <row r="680" s="335" customFormat="1" ht="11"/>
    <row r="681" s="335" customFormat="1" ht="11"/>
    <row r="682" s="335" customFormat="1" ht="11"/>
    <row r="683" s="335" customFormat="1" ht="11"/>
    <row r="684" s="335" customFormat="1" ht="11"/>
    <row r="685" s="335" customFormat="1" ht="11"/>
    <row r="686" s="335" customFormat="1" ht="11"/>
    <row r="687" s="335" customFormat="1" ht="11"/>
    <row r="688" s="335" customFormat="1" ht="11"/>
    <row r="689" s="335" customFormat="1" ht="11"/>
    <row r="690" s="335" customFormat="1" ht="11"/>
    <row r="691" s="335" customFormat="1" ht="11"/>
    <row r="692" s="335" customFormat="1" ht="11"/>
    <row r="693" s="335" customFormat="1" ht="11"/>
    <row r="694" s="335" customFormat="1" ht="11"/>
    <row r="695" s="335" customFormat="1" ht="11"/>
    <row r="696" s="335" customFormat="1" ht="11"/>
    <row r="697" s="335" customFormat="1" ht="11"/>
    <row r="698" s="335" customFormat="1" ht="11"/>
    <row r="699" s="335" customFormat="1" ht="11"/>
    <row r="700" s="335" customFormat="1" ht="11"/>
    <row r="701" s="335" customFormat="1" ht="11"/>
    <row r="702" s="335" customFormat="1" ht="11"/>
    <row r="703" s="335" customFormat="1" ht="11"/>
    <row r="704" s="335" customFormat="1" ht="11"/>
    <row r="705" s="335" customFormat="1" ht="11"/>
    <row r="706" s="335" customFormat="1" ht="11"/>
    <row r="707" s="335" customFormat="1" ht="11"/>
    <row r="708" s="335" customFormat="1" ht="11"/>
    <row r="709" s="335" customFormat="1" ht="11"/>
    <row r="710" s="335" customFormat="1" ht="11"/>
    <row r="711" s="335" customFormat="1" ht="11"/>
    <row r="712" s="335" customFormat="1" ht="11"/>
    <row r="713" s="335" customFormat="1" ht="11"/>
    <row r="714" s="335" customFormat="1" ht="11"/>
    <row r="715" s="335" customFormat="1" ht="11"/>
    <row r="716" s="335" customFormat="1" ht="11"/>
    <row r="717" s="335" customFormat="1" ht="11"/>
    <row r="718" s="335" customFormat="1" ht="11"/>
    <row r="719" s="335" customFormat="1" ht="11"/>
    <row r="720" s="335" customFormat="1" ht="11"/>
    <row r="721" s="335" customFormat="1" ht="11"/>
    <row r="722" s="335" customFormat="1" ht="11"/>
    <row r="723" s="335" customFormat="1" ht="11"/>
    <row r="724" s="335" customFormat="1" ht="11"/>
    <row r="725" s="335" customFormat="1" ht="11"/>
    <row r="726" s="335" customFormat="1" ht="11"/>
    <row r="727" s="335" customFormat="1" ht="11"/>
    <row r="728" s="335" customFormat="1" ht="11"/>
    <row r="729" s="335" customFormat="1" ht="11"/>
    <row r="730" s="335" customFormat="1" ht="11"/>
    <row r="731" s="335" customFormat="1" ht="11"/>
    <row r="732" s="335" customFormat="1" ht="11"/>
    <row r="733" s="335" customFormat="1" ht="11"/>
    <row r="734" s="335" customFormat="1" ht="11"/>
    <row r="735" s="335" customFormat="1" ht="11"/>
    <row r="736" s="335" customFormat="1" ht="11"/>
    <row r="737" s="335" customFormat="1" ht="11"/>
    <row r="738" s="335" customFormat="1" ht="11"/>
    <row r="739" s="335" customFormat="1" ht="11"/>
    <row r="740" s="335" customFormat="1" ht="11"/>
    <row r="741" s="335" customFormat="1" ht="11"/>
    <row r="742" s="335" customFormat="1" ht="11"/>
    <row r="743" s="335" customFormat="1" ht="11"/>
    <row r="744" s="335" customFormat="1" ht="11"/>
    <row r="745" s="335" customFormat="1" ht="11"/>
    <row r="746" s="335" customFormat="1" ht="11"/>
    <row r="747" s="335" customFormat="1" ht="11"/>
    <row r="748" s="335" customFormat="1" ht="11"/>
    <row r="749" s="335" customFormat="1" ht="11"/>
    <row r="750" s="335" customFormat="1" ht="11"/>
    <row r="751" s="335" customFormat="1" ht="11"/>
    <row r="752" s="335" customFormat="1" ht="11"/>
    <row r="753" s="335" customFormat="1" ht="11"/>
    <row r="754" s="335" customFormat="1" ht="11"/>
    <row r="755" s="335" customFormat="1" ht="11"/>
    <row r="756" s="335" customFormat="1" ht="11"/>
    <row r="757" s="335" customFormat="1" ht="11"/>
    <row r="758" s="335" customFormat="1" ht="11"/>
    <row r="759" s="335" customFormat="1" ht="11"/>
    <row r="760" s="335" customFormat="1" ht="11"/>
    <row r="761" s="335" customFormat="1" ht="11"/>
    <row r="762" s="335" customFormat="1" ht="11"/>
    <row r="763" s="335" customFormat="1" ht="11"/>
    <row r="764" s="335" customFormat="1" ht="11"/>
    <row r="765" s="335" customFormat="1" ht="11"/>
    <row r="766" s="335" customFormat="1" ht="11"/>
    <row r="767" s="335" customFormat="1" ht="11"/>
    <row r="768" s="335" customFormat="1" ht="11"/>
    <row r="769" s="335" customFormat="1" ht="11"/>
    <row r="770" s="335" customFormat="1" ht="11"/>
    <row r="771" s="335" customFormat="1" ht="11"/>
    <row r="772" s="335" customFormat="1" ht="11"/>
    <row r="773" s="335" customFormat="1" ht="11"/>
    <row r="774" s="335" customFormat="1" ht="11"/>
    <row r="775" s="335" customFormat="1" ht="11"/>
    <row r="776" s="335" customFormat="1" ht="11"/>
    <row r="777" s="335" customFormat="1" ht="11"/>
    <row r="778" s="335" customFormat="1" ht="11"/>
    <row r="779" s="335" customFormat="1" ht="11"/>
    <row r="780" s="335" customFormat="1" ht="11"/>
    <row r="781" s="335" customFormat="1" ht="11"/>
    <row r="782" s="335" customFormat="1" ht="11"/>
    <row r="783" s="335" customFormat="1" ht="11"/>
    <row r="784" s="335" customFormat="1" ht="11"/>
    <row r="785" s="335" customFormat="1" ht="11"/>
    <row r="786" s="335" customFormat="1" ht="11"/>
    <row r="787" s="335" customFormat="1" ht="11"/>
    <row r="788" s="335" customFormat="1" ht="11"/>
    <row r="789" s="335" customFormat="1" ht="11"/>
    <row r="790" s="335" customFormat="1" ht="11"/>
    <row r="791" s="335" customFormat="1" ht="11"/>
    <row r="792" s="335" customFormat="1" ht="11"/>
    <row r="793" s="335" customFormat="1" ht="11"/>
    <row r="794" s="335" customFormat="1" ht="11"/>
    <row r="795" s="335" customFormat="1" ht="11"/>
    <row r="796" s="335" customFormat="1" ht="11"/>
    <row r="797" s="335" customFormat="1" ht="11"/>
    <row r="798" s="335" customFormat="1" ht="11"/>
    <row r="799" s="335" customFormat="1" ht="11"/>
    <row r="800" s="335" customFormat="1" ht="11"/>
    <row r="801" s="335" customFormat="1" ht="11"/>
    <row r="802" s="335" customFormat="1" ht="11"/>
    <row r="803" s="335" customFormat="1" ht="11"/>
    <row r="804" s="335" customFormat="1" ht="11"/>
    <row r="805" s="335" customFormat="1" ht="11"/>
    <row r="806" s="335" customFormat="1" ht="11"/>
    <row r="807" s="335" customFormat="1" ht="11"/>
    <row r="808" s="335" customFormat="1" ht="11"/>
    <row r="809" s="335" customFormat="1" ht="11"/>
    <row r="810" s="335" customFormat="1" ht="11"/>
    <row r="811" s="335" customFormat="1" ht="11"/>
    <row r="812" s="335" customFormat="1" ht="11"/>
    <row r="813" s="335" customFormat="1" ht="11"/>
    <row r="814" s="335" customFormat="1" ht="11"/>
    <row r="815" s="335" customFormat="1" ht="11"/>
    <row r="816" s="335" customFormat="1" ht="11"/>
    <row r="817" s="335" customFormat="1" ht="11"/>
    <row r="818" s="335" customFormat="1" ht="11"/>
    <row r="819" s="335" customFormat="1" ht="11"/>
    <row r="820" s="335" customFormat="1" ht="11"/>
    <row r="821" s="335" customFormat="1" ht="11"/>
    <row r="822" s="335" customFormat="1" ht="11"/>
    <row r="823" s="335" customFormat="1" ht="11"/>
    <row r="824" s="335" customFormat="1" ht="11"/>
    <row r="825" s="335" customFormat="1" ht="11"/>
    <row r="826" s="335" customFormat="1" ht="11"/>
    <row r="827" s="335" customFormat="1" ht="11"/>
    <row r="828" s="335" customFormat="1" ht="11"/>
    <row r="829" s="335" customFormat="1" ht="11"/>
    <row r="830" s="335" customFormat="1" ht="11"/>
    <row r="831" s="335" customFormat="1" ht="11"/>
    <row r="832" s="335" customFormat="1" ht="11"/>
    <row r="833" s="335" customFormat="1" ht="11"/>
    <row r="834" s="335" customFormat="1" ht="11"/>
    <row r="835" s="335" customFormat="1" ht="11"/>
    <row r="836" s="335" customFormat="1" ht="11"/>
    <row r="837" s="335" customFormat="1" ht="11"/>
    <row r="838" s="335" customFormat="1" ht="11"/>
    <row r="839" s="335" customFormat="1" ht="11"/>
    <row r="840" s="335" customFormat="1" ht="11"/>
    <row r="841" s="335" customFormat="1" ht="11"/>
    <row r="842" s="335" customFormat="1" ht="11"/>
    <row r="843" s="335" customFormat="1" ht="11"/>
    <row r="844" s="335" customFormat="1" ht="11"/>
    <row r="845" s="335" customFormat="1" ht="11"/>
    <row r="846" s="335" customFormat="1" ht="11"/>
    <row r="847" s="335" customFormat="1" ht="11"/>
    <row r="848" s="335" customFormat="1" ht="11"/>
    <row r="849" s="335" customFormat="1" ht="11"/>
    <row r="850" s="335" customFormat="1" ht="11"/>
    <row r="851" s="335" customFormat="1" ht="11"/>
    <row r="852" s="335" customFormat="1" ht="11"/>
    <row r="853" s="335" customFormat="1" ht="11"/>
    <row r="854" s="335" customFormat="1" ht="11"/>
    <row r="855" s="335" customFormat="1" ht="11"/>
    <row r="856" s="335" customFormat="1" ht="11"/>
    <row r="857" s="335" customFormat="1" ht="11"/>
    <row r="858" s="335" customFormat="1" ht="11"/>
    <row r="859" s="335" customFormat="1" ht="11"/>
    <row r="860" s="335" customFormat="1" ht="11"/>
    <row r="861" s="335" customFormat="1" ht="11"/>
    <row r="862" s="335" customFormat="1" ht="11"/>
    <row r="863" s="335" customFormat="1" ht="11"/>
    <row r="864" s="335" customFormat="1" ht="11"/>
    <row r="865" s="335" customFormat="1" ht="11"/>
    <row r="866" s="335" customFormat="1" ht="11"/>
    <row r="867" s="335" customFormat="1" ht="11"/>
    <row r="868" s="335" customFormat="1" ht="11"/>
    <row r="869" s="335" customFormat="1" ht="11"/>
    <row r="870" s="335" customFormat="1" ht="11"/>
    <row r="871" s="335" customFormat="1" ht="11"/>
    <row r="872" s="335" customFormat="1" ht="11"/>
    <row r="873" s="335" customFormat="1" ht="11"/>
    <row r="874" s="335" customFormat="1" ht="11"/>
    <row r="875" s="335" customFormat="1" ht="11"/>
    <row r="876" s="335" customFormat="1" ht="11"/>
    <row r="877" s="335" customFormat="1" ht="11"/>
    <row r="878" s="335" customFormat="1" ht="11"/>
    <row r="879" s="335" customFormat="1" ht="11"/>
    <row r="880" s="335" customFormat="1" ht="11"/>
    <row r="881" s="335" customFormat="1" ht="11"/>
    <row r="882" s="335" customFormat="1" ht="11"/>
    <row r="883" s="335" customFormat="1" ht="11"/>
    <row r="884" s="335" customFormat="1" ht="11"/>
    <row r="885" s="335" customFormat="1" ht="11"/>
    <row r="886" s="335" customFormat="1" ht="11"/>
    <row r="887" s="335" customFormat="1" ht="11"/>
    <row r="888" s="335" customFormat="1" ht="11"/>
    <row r="889" s="335" customFormat="1" ht="11"/>
    <row r="890" s="335" customFormat="1" ht="11"/>
    <row r="891" s="335" customFormat="1" ht="11"/>
    <row r="892" s="335" customFormat="1" ht="11"/>
    <row r="893" s="335" customFormat="1" ht="11"/>
    <row r="894" s="335" customFormat="1" ht="11"/>
    <row r="895" s="335" customFormat="1" ht="11"/>
    <row r="896" s="335" customFormat="1" ht="11"/>
    <row r="897" s="335" customFormat="1" ht="11"/>
    <row r="898" s="335" customFormat="1" ht="11"/>
    <row r="899" s="335" customFormat="1" ht="11"/>
    <row r="900" s="335" customFormat="1" ht="11"/>
    <row r="901" s="335" customFormat="1" ht="11"/>
    <row r="902" s="335" customFormat="1" ht="11"/>
    <row r="903" s="335" customFormat="1" ht="11"/>
    <row r="904" s="335" customFormat="1" ht="11"/>
    <row r="905" s="335" customFormat="1" ht="11"/>
    <row r="906" s="335" customFormat="1" ht="11"/>
    <row r="907" s="335" customFormat="1" ht="11"/>
    <row r="908" s="335" customFormat="1" ht="11"/>
    <row r="909" s="335" customFormat="1" ht="11"/>
    <row r="910" s="335" customFormat="1" ht="11"/>
    <row r="911" s="335" customFormat="1" ht="11"/>
    <row r="912" s="335" customFormat="1" ht="11"/>
    <row r="913" s="335" customFormat="1" ht="11"/>
    <row r="914" s="335" customFormat="1" ht="11"/>
    <row r="915" s="335" customFormat="1" ht="11"/>
    <row r="916" s="335" customFormat="1" ht="11"/>
    <row r="917" s="335" customFormat="1" ht="11"/>
    <row r="918" s="335" customFormat="1" ht="11"/>
    <row r="919" s="335" customFormat="1" ht="11"/>
    <row r="920" s="335" customFormat="1" ht="11"/>
    <row r="921" s="335" customFormat="1" ht="11"/>
    <row r="922" s="335" customFormat="1" ht="11"/>
    <row r="923" s="335" customFormat="1" ht="11"/>
    <row r="924" s="335" customFormat="1" ht="11"/>
    <row r="925" s="335" customFormat="1" ht="11"/>
    <row r="926" s="335" customFormat="1" ht="11"/>
    <row r="927" s="335" customFormat="1" ht="11"/>
    <row r="928" s="335" customFormat="1" ht="11"/>
    <row r="929" s="335" customFormat="1" ht="11"/>
    <row r="930" s="335" customFormat="1" ht="11"/>
    <row r="931" s="335" customFormat="1" ht="11"/>
    <row r="932" s="335" customFormat="1" ht="11"/>
    <row r="933" s="335" customFormat="1" ht="11"/>
    <row r="934" s="335" customFormat="1" ht="11"/>
    <row r="935" s="335" customFormat="1" ht="11"/>
    <row r="936" s="335" customFormat="1" ht="11"/>
    <row r="937" s="335" customFormat="1" ht="11"/>
    <row r="938" s="335" customFormat="1" ht="11"/>
    <row r="939" s="335" customFormat="1" ht="11"/>
    <row r="940" s="335" customFormat="1" ht="11"/>
    <row r="941" s="335" customFormat="1" ht="11"/>
    <row r="942" s="335" customFormat="1" ht="11"/>
    <row r="943" s="335" customFormat="1" ht="11"/>
    <row r="944" s="335" customFormat="1" ht="11"/>
    <row r="945" s="335" customFormat="1" ht="11"/>
    <row r="946" s="335" customFormat="1" ht="11"/>
    <row r="947" s="335" customFormat="1" ht="11"/>
    <row r="948" s="335" customFormat="1" ht="11"/>
    <row r="949" s="335" customFormat="1" ht="11"/>
    <row r="950" s="335" customFormat="1" ht="11"/>
    <row r="951" s="335" customFormat="1" ht="11"/>
    <row r="952" s="335" customFormat="1" ht="11"/>
    <row r="953" s="335" customFormat="1" ht="11"/>
    <row r="954" s="335" customFormat="1" ht="11"/>
    <row r="955" s="335" customFormat="1" ht="11"/>
    <row r="956" s="335" customFormat="1" ht="11"/>
    <row r="957" s="335" customFormat="1" ht="11"/>
    <row r="958" s="335" customFormat="1" ht="11"/>
    <row r="959" s="335" customFormat="1" ht="11"/>
    <row r="960" s="335" customFormat="1" ht="11"/>
    <row r="961" s="335" customFormat="1" ht="11"/>
    <row r="962" s="335" customFormat="1" ht="11"/>
    <row r="963" s="335" customFormat="1" ht="11"/>
    <row r="964" s="335" customFormat="1" ht="11"/>
    <row r="965" s="335" customFormat="1" ht="11"/>
    <row r="966" s="335" customFormat="1" ht="11"/>
    <row r="967" s="335" customFormat="1" ht="11"/>
    <row r="968" s="335" customFormat="1" ht="11"/>
    <row r="969" s="335" customFormat="1" ht="11"/>
    <row r="970" s="335" customFormat="1" ht="11"/>
    <row r="971" s="335" customFormat="1" ht="11"/>
    <row r="972" s="335" customFormat="1" ht="11"/>
    <row r="973" s="335" customFormat="1" ht="11"/>
    <row r="974" s="335" customFormat="1" ht="11"/>
    <row r="975" s="335" customFormat="1" ht="11"/>
    <row r="976" s="335" customFormat="1" ht="11"/>
    <row r="977" s="335" customFormat="1" ht="11"/>
    <row r="978" s="335" customFormat="1" ht="11"/>
    <row r="979" s="335" customFormat="1" ht="11"/>
    <row r="980" s="335" customFormat="1" ht="11"/>
    <row r="981" s="335" customFormat="1" ht="11"/>
    <row r="982" s="335" customFormat="1" ht="11"/>
    <row r="983" s="335" customFormat="1" ht="11"/>
    <row r="984" s="335" customFormat="1" ht="11"/>
    <row r="985" s="335" customFormat="1" ht="11"/>
    <row r="986" s="335" customFormat="1" ht="11"/>
    <row r="987" s="335" customFormat="1" ht="11"/>
    <row r="988" s="335" customFormat="1" ht="11"/>
    <row r="989" s="335" customFormat="1" ht="11"/>
    <row r="990" s="335" customFormat="1" ht="11"/>
    <row r="991" s="335" customFormat="1" ht="11"/>
    <row r="992" s="335" customFormat="1" ht="11"/>
    <row r="993" s="335" customFormat="1" ht="11"/>
    <row r="994" s="335" customFormat="1" ht="11"/>
    <row r="995" s="335" customFormat="1" ht="11"/>
    <row r="996" s="335" customFormat="1" ht="11"/>
    <row r="997" s="335" customFormat="1" ht="11"/>
    <row r="998" s="335" customFormat="1" ht="11"/>
    <row r="999" s="335" customFormat="1" ht="11"/>
    <row r="1000" s="335" customFormat="1" ht="11"/>
    <row r="1001" s="335" customFormat="1" ht="11"/>
    <row r="1002" s="335" customFormat="1" ht="11"/>
    <row r="1003" s="335" customFormat="1" ht="11"/>
    <row r="1004" s="335" customFormat="1" ht="11"/>
    <row r="1005" s="335" customFormat="1" ht="11"/>
    <row r="1006" s="335" customFormat="1" ht="11"/>
    <row r="1007" s="335" customFormat="1" ht="11"/>
    <row r="1008" s="335" customFormat="1" ht="11"/>
    <row r="1009" s="335" customFormat="1" ht="11"/>
    <row r="1010" s="335" customFormat="1" ht="11"/>
    <row r="1011" s="335" customFormat="1" ht="11"/>
    <row r="1012" s="335" customFormat="1" ht="11"/>
    <row r="1013" s="335" customFormat="1" ht="11"/>
    <row r="1014" s="335" customFormat="1" ht="11"/>
    <row r="1015" s="335" customFormat="1" ht="11"/>
    <row r="1016" s="335" customFormat="1" ht="11"/>
    <row r="1017" s="335" customFormat="1" ht="11"/>
    <row r="1018" s="335" customFormat="1" ht="11"/>
    <row r="1019" s="335" customFormat="1" ht="11"/>
    <row r="1020" s="335" customFormat="1" ht="11"/>
    <row r="1021" s="335" customFormat="1" ht="11"/>
    <row r="1022" s="335" customFormat="1" ht="11"/>
    <row r="1023" s="335" customFormat="1" ht="11"/>
    <row r="1024" s="335" customFormat="1" ht="11"/>
    <row r="1025" s="335" customFormat="1" ht="11"/>
    <row r="1026" s="335" customFormat="1" ht="11"/>
    <row r="1027" s="335" customFormat="1" ht="11"/>
    <row r="1028" s="335" customFormat="1" ht="11"/>
    <row r="1029" s="335" customFormat="1" ht="11"/>
    <row r="1030" s="335" customFormat="1" ht="11"/>
    <row r="1031" s="335" customFormat="1" ht="11"/>
    <row r="1032" s="335" customFormat="1" ht="11"/>
    <row r="1033" s="335" customFormat="1" ht="11"/>
    <row r="1034" s="335" customFormat="1" ht="11"/>
    <row r="1035" s="335" customFormat="1" ht="11"/>
    <row r="1036" s="335" customFormat="1" ht="11"/>
    <row r="1037" s="335" customFormat="1" ht="11"/>
    <row r="1038" s="335" customFormat="1" ht="11"/>
    <row r="1039" s="335" customFormat="1" ht="11"/>
    <row r="1040" s="335" customFormat="1" ht="11"/>
    <row r="1041" s="335" customFormat="1" ht="11"/>
    <row r="1042" s="335" customFormat="1" ht="11"/>
    <row r="1043" s="335" customFormat="1" ht="11"/>
    <row r="1044" s="335" customFormat="1" ht="11"/>
    <row r="1045" s="335" customFormat="1" ht="11"/>
    <row r="1046" s="335" customFormat="1" ht="11"/>
    <row r="1047" s="335" customFormat="1" ht="11"/>
    <row r="1048" s="335" customFormat="1" ht="11"/>
    <row r="1049" s="335" customFormat="1" ht="11"/>
    <row r="1050" s="335" customFormat="1" ht="11"/>
    <row r="1051" s="335" customFormat="1" ht="11"/>
    <row r="1052" s="335" customFormat="1" ht="11"/>
    <row r="1053" s="335" customFormat="1" ht="11"/>
    <row r="1054" s="335" customFormat="1" ht="11"/>
    <row r="1055" s="335" customFormat="1" ht="11"/>
    <row r="1056" s="335" customFormat="1" ht="11"/>
    <row r="1057" s="335" customFormat="1" ht="11"/>
    <row r="1058" s="335" customFormat="1" ht="11"/>
    <row r="1059" s="335" customFormat="1" ht="11"/>
    <row r="1060" s="335" customFormat="1" ht="11"/>
    <row r="1061" s="335" customFormat="1" ht="11"/>
    <row r="1062" s="335" customFormat="1" ht="11"/>
    <row r="1063" s="335" customFormat="1" ht="11"/>
    <row r="1064" s="335" customFormat="1" ht="11"/>
    <row r="1065" s="335" customFormat="1" ht="11"/>
    <row r="1066" s="335" customFormat="1" ht="11"/>
    <row r="1067" s="335" customFormat="1" ht="11"/>
    <row r="1068" s="335" customFormat="1" ht="11"/>
    <row r="1069" s="335" customFormat="1" ht="11"/>
    <row r="1070" s="335" customFormat="1" ht="11"/>
    <row r="1071" s="335" customFormat="1" ht="11"/>
    <row r="1072" s="335" customFormat="1" ht="11"/>
    <row r="1073" s="335" customFormat="1" ht="11"/>
    <row r="1074" s="335" customFormat="1" ht="11"/>
    <row r="1075" s="335" customFormat="1" ht="11"/>
    <row r="1076" s="335" customFormat="1" ht="11"/>
    <row r="1077" s="335" customFormat="1" ht="11"/>
    <row r="1078" s="335" customFormat="1" ht="11"/>
    <row r="1079" s="335" customFormat="1" ht="11"/>
    <row r="1080" s="335" customFormat="1" ht="11"/>
    <row r="1081" s="335" customFormat="1" ht="11"/>
    <row r="1082" s="335" customFormat="1" ht="11"/>
    <row r="1083" s="335" customFormat="1" ht="11"/>
    <row r="1084" s="335" customFormat="1" ht="11"/>
    <row r="1085" s="335" customFormat="1" ht="11"/>
    <row r="1086" s="335" customFormat="1" ht="11"/>
    <row r="1087" s="335" customFormat="1" ht="11"/>
    <row r="1088" s="335" customFormat="1" ht="11"/>
    <row r="1089" s="335" customFormat="1" ht="11"/>
    <row r="1090" s="335" customFormat="1" ht="11"/>
    <row r="1091" s="335" customFormat="1" ht="11"/>
    <row r="1092" s="335" customFormat="1" ht="11"/>
    <row r="1093" s="335" customFormat="1" ht="11"/>
    <row r="1094" s="335" customFormat="1" ht="11"/>
    <row r="1095" s="335" customFormat="1" ht="11"/>
    <row r="1096" s="335" customFormat="1" ht="11"/>
    <row r="1097" s="335" customFormat="1" ht="11"/>
    <row r="1098" s="335" customFormat="1" ht="11"/>
    <row r="1099" s="335" customFormat="1" ht="11"/>
    <row r="1100" s="335" customFormat="1" ht="11"/>
    <row r="1101" s="335" customFormat="1" ht="11"/>
    <row r="1102" s="335" customFormat="1" ht="11"/>
    <row r="1103" s="335" customFormat="1" ht="11"/>
    <row r="1104" s="335" customFormat="1" ht="11"/>
    <row r="1105" s="335" customFormat="1" ht="11"/>
    <row r="1106" s="335" customFormat="1" ht="11"/>
    <row r="1107" s="335" customFormat="1" ht="11"/>
    <row r="1108" s="335" customFormat="1" ht="11"/>
    <row r="1109" s="335" customFormat="1" ht="11"/>
    <row r="1110" s="335" customFormat="1" ht="11"/>
    <row r="1111" s="335" customFormat="1" ht="11"/>
    <row r="1112" s="335" customFormat="1" ht="11"/>
    <row r="1113" s="335" customFormat="1" ht="11"/>
    <row r="1114" s="335" customFormat="1" ht="11"/>
    <row r="1115" s="335" customFormat="1" ht="11"/>
    <row r="1116" s="335" customFormat="1" ht="11"/>
    <row r="1117" s="335" customFormat="1" ht="11"/>
    <row r="1118" s="335" customFormat="1" ht="11"/>
    <row r="1119" s="335" customFormat="1" ht="11"/>
    <row r="1120" s="335" customFormat="1" ht="11"/>
    <row r="1121" s="335" customFormat="1" ht="11"/>
    <row r="1122" s="335" customFormat="1" ht="11"/>
    <row r="1123" s="335" customFormat="1" ht="11"/>
    <row r="1124" s="335" customFormat="1" ht="11"/>
    <row r="1125" s="335" customFormat="1" ht="11"/>
    <row r="1126" s="335" customFormat="1" ht="11"/>
    <row r="1127" s="335" customFormat="1" ht="11"/>
    <row r="1128" s="335" customFormat="1" ht="11"/>
    <row r="1129" s="335" customFormat="1" ht="11"/>
    <row r="1130" s="335" customFormat="1" ht="11"/>
    <row r="1131" s="335" customFormat="1" ht="11"/>
    <row r="1132" s="335" customFormat="1" ht="11"/>
    <row r="1133" s="335" customFormat="1" ht="11"/>
    <row r="1134" s="335" customFormat="1" ht="11"/>
    <row r="1135" s="335" customFormat="1" ht="11"/>
    <row r="1136" s="335" customFormat="1" ht="11"/>
    <row r="1137" s="335" customFormat="1" ht="11"/>
    <row r="1138" s="335" customFormat="1" ht="11"/>
    <row r="1139" s="335" customFormat="1" ht="11"/>
    <row r="1140" s="335" customFormat="1" ht="11"/>
    <row r="1141" s="335" customFormat="1" ht="11"/>
    <row r="1142" s="335" customFormat="1" ht="11"/>
    <row r="1143" s="335" customFormat="1" ht="11"/>
    <row r="1144" s="335" customFormat="1" ht="11"/>
    <row r="1145" s="335" customFormat="1" ht="11"/>
    <row r="1146" s="335" customFormat="1" ht="11"/>
    <row r="1147" s="335" customFormat="1" ht="11"/>
    <row r="1148" s="335" customFormat="1" ht="11"/>
    <row r="1149" s="335" customFormat="1" ht="11"/>
    <row r="1150" s="335" customFormat="1" ht="11"/>
    <row r="1151" s="335" customFormat="1" ht="11"/>
    <row r="1152" s="335" customFormat="1" ht="11"/>
    <row r="1153" s="335" customFormat="1" ht="11"/>
    <row r="1154" s="335" customFormat="1" ht="11"/>
    <row r="1155" s="335" customFormat="1" ht="11"/>
    <row r="1156" s="335" customFormat="1" ht="11"/>
    <row r="1157" s="335" customFormat="1" ht="11"/>
    <row r="1158" s="335" customFormat="1" ht="11"/>
    <row r="1159" s="335" customFormat="1" ht="11"/>
    <row r="1160" s="335" customFormat="1" ht="11"/>
    <row r="1161" s="335" customFormat="1" ht="11"/>
    <row r="1162" s="335" customFormat="1" ht="11"/>
    <row r="1163" s="335" customFormat="1" ht="11"/>
    <row r="1164" s="335" customFormat="1" ht="11"/>
    <row r="1165" s="335" customFormat="1" ht="11"/>
    <row r="1166" s="335" customFormat="1" ht="11"/>
    <row r="1167" s="335" customFormat="1" ht="11"/>
    <row r="1168" s="335" customFormat="1" ht="11"/>
    <row r="1169" s="335" customFormat="1" ht="11"/>
    <row r="1170" s="335" customFormat="1" ht="11"/>
    <row r="1171" s="335" customFormat="1" ht="11"/>
    <row r="1172" s="335" customFormat="1" ht="11"/>
    <row r="1173" s="335" customFormat="1" ht="11"/>
    <row r="1174" s="335" customFormat="1" ht="11"/>
    <row r="1175" s="335" customFormat="1" ht="11"/>
    <row r="1176" s="335" customFormat="1" ht="11"/>
    <row r="1177" s="335" customFormat="1" ht="11"/>
    <row r="1178" s="335" customFormat="1" ht="11"/>
    <row r="1179" s="335" customFormat="1" ht="11"/>
    <row r="1180" s="335" customFormat="1" ht="11"/>
    <row r="1181" s="335" customFormat="1" ht="11"/>
    <row r="1182" s="335" customFormat="1" ht="11"/>
    <row r="1183" s="335" customFormat="1" ht="11"/>
    <row r="1184" s="335" customFormat="1" ht="11"/>
    <row r="1185" s="335" customFormat="1" ht="11"/>
    <row r="1186" s="335" customFormat="1" ht="11"/>
    <row r="1187" s="335" customFormat="1" ht="11"/>
    <row r="1188" s="335" customFormat="1" ht="11"/>
    <row r="1189" s="335" customFormat="1" ht="11"/>
    <row r="1190" s="335" customFormat="1" ht="11"/>
    <row r="1191" s="335" customFormat="1" ht="11"/>
    <row r="1192" s="335" customFormat="1" ht="11"/>
    <row r="1193" s="335" customFormat="1" ht="11"/>
    <row r="1194" s="335" customFormat="1" ht="11"/>
    <row r="1195" s="335" customFormat="1" ht="11"/>
    <row r="1196" s="335" customFormat="1" ht="11"/>
    <row r="1197" s="335" customFormat="1" ht="11"/>
    <row r="1198" s="335" customFormat="1" ht="11"/>
    <row r="1199" s="335" customFormat="1" ht="11"/>
    <row r="1200" s="335" customFormat="1" ht="11"/>
    <row r="1201" s="335" customFormat="1" ht="11"/>
    <row r="1202" s="335" customFormat="1" ht="11"/>
    <row r="1203" s="335" customFormat="1" ht="11"/>
    <row r="1204" s="335" customFormat="1" ht="11"/>
    <row r="1205" s="335" customFormat="1" ht="11"/>
    <row r="1206" s="335" customFormat="1" ht="11"/>
    <row r="1207" s="335" customFormat="1" ht="11"/>
    <row r="1208" s="335" customFormat="1" ht="11"/>
    <row r="1209" s="335" customFormat="1" ht="11"/>
    <row r="1210" s="335" customFormat="1" ht="11"/>
    <row r="1211" s="335" customFormat="1" ht="11"/>
    <row r="1212" s="335" customFormat="1" ht="11"/>
    <row r="1213" s="335" customFormat="1" ht="11"/>
    <row r="1214" s="335" customFormat="1" ht="11"/>
    <row r="1215" s="335" customFormat="1" ht="11"/>
    <row r="1216" s="335" customFormat="1" ht="11"/>
    <row r="1217" s="335" customFormat="1" ht="11"/>
    <row r="1218" s="335" customFormat="1" ht="11"/>
    <row r="1219" s="335" customFormat="1" ht="11"/>
    <row r="1220" s="335" customFormat="1" ht="11"/>
    <row r="1221" s="335" customFormat="1" ht="11"/>
    <row r="1222" s="335" customFormat="1" ht="11"/>
    <row r="1223" s="335" customFormat="1" ht="11"/>
    <row r="1224" s="335" customFormat="1" ht="11"/>
    <row r="1225" s="335" customFormat="1" ht="11"/>
    <row r="1226" s="335" customFormat="1" ht="11"/>
    <row r="1227" s="335" customFormat="1" ht="11"/>
    <row r="1228" s="335" customFormat="1" ht="11"/>
    <row r="1229" s="335" customFormat="1" ht="11"/>
    <row r="1230" s="335" customFormat="1" ht="11"/>
    <row r="1231" s="335" customFormat="1" ht="11"/>
    <row r="1232" s="335" customFormat="1" ht="11"/>
    <row r="1233" s="335" customFormat="1" ht="11"/>
    <row r="1234" s="335" customFormat="1" ht="11"/>
    <row r="1235" s="335" customFormat="1" ht="11"/>
    <row r="1236" s="335" customFormat="1" ht="11"/>
    <row r="1237" s="335" customFormat="1" ht="11"/>
    <row r="1238" s="335" customFormat="1" ht="11"/>
    <row r="1239" s="335" customFormat="1" ht="11"/>
    <row r="1240" s="335" customFormat="1" ht="11"/>
    <row r="1241" s="335" customFormat="1" ht="11"/>
    <row r="1242" s="335" customFormat="1" ht="11"/>
    <row r="1243" s="335" customFormat="1" ht="11"/>
    <row r="1244" s="335" customFormat="1" ht="11"/>
    <row r="1245" s="335" customFormat="1" ht="11"/>
    <row r="1246" s="335" customFormat="1" ht="11"/>
    <row r="1247" s="335" customFormat="1" ht="11"/>
    <row r="1248" s="335" customFormat="1" ht="11"/>
    <row r="1249" s="335" customFormat="1" ht="11"/>
    <row r="1250" s="335" customFormat="1" ht="11"/>
    <row r="1251" s="335" customFormat="1" ht="11"/>
    <row r="1252" s="335" customFormat="1" ht="11"/>
    <row r="1253" s="335" customFormat="1" ht="11"/>
    <row r="1254" s="335" customFormat="1" ht="11"/>
    <row r="1255" s="335" customFormat="1" ht="11"/>
    <row r="1256" s="335" customFormat="1" ht="11"/>
    <row r="1257" s="335" customFormat="1" ht="11"/>
    <row r="1258" s="335" customFormat="1" ht="11"/>
    <row r="1259" s="335" customFormat="1" ht="11"/>
    <row r="1260" s="335" customFormat="1" ht="11"/>
    <row r="1261" s="335" customFormat="1" ht="11"/>
    <row r="1262" s="335" customFormat="1" ht="11"/>
    <row r="1263" s="335" customFormat="1" ht="11"/>
    <row r="1264" s="335" customFormat="1" ht="11"/>
    <row r="1265" s="335" customFormat="1" ht="11"/>
    <row r="1266" s="335" customFormat="1" ht="11"/>
    <row r="1267" s="335" customFormat="1" ht="11"/>
    <row r="1268" s="335" customFormat="1" ht="11"/>
    <row r="1269" s="335" customFormat="1" ht="11"/>
    <row r="1270" s="335" customFormat="1" ht="11"/>
    <row r="1271" s="335" customFormat="1" ht="11"/>
    <row r="1272" s="335" customFormat="1" ht="11"/>
    <row r="1273" s="335" customFormat="1" ht="11"/>
    <row r="1274" s="335" customFormat="1" ht="11"/>
    <row r="1275" s="335" customFormat="1" ht="11"/>
    <row r="1276" s="335" customFormat="1" ht="11"/>
    <row r="1277" s="335" customFormat="1" ht="11"/>
    <row r="1278" s="335" customFormat="1" ht="11"/>
    <row r="1279" s="335" customFormat="1" ht="11"/>
    <row r="1280" s="335" customFormat="1" ht="11"/>
    <row r="1281" s="335" customFormat="1" ht="11"/>
    <row r="1282" s="335" customFormat="1" ht="11"/>
    <row r="1283" s="335" customFormat="1" ht="11"/>
    <row r="1284" s="335" customFormat="1" ht="11"/>
    <row r="1285" s="335" customFormat="1" ht="11"/>
    <row r="1286" s="335" customFormat="1" ht="11"/>
    <row r="1287" s="335" customFormat="1" ht="11"/>
    <row r="1288" s="335" customFormat="1" ht="11"/>
    <row r="1289" s="335" customFormat="1" ht="11"/>
    <row r="1290" s="335" customFormat="1" ht="11"/>
    <row r="1291" s="335" customFormat="1" ht="11"/>
    <row r="1292" s="335" customFormat="1" ht="11"/>
    <row r="1293" s="335" customFormat="1" ht="11"/>
    <row r="1294" s="335" customFormat="1" ht="11"/>
    <row r="1295" s="335" customFormat="1" ht="11"/>
    <row r="1296" s="335" customFormat="1" ht="11"/>
    <row r="1297" s="335" customFormat="1" ht="11"/>
    <row r="1298" s="335" customFormat="1" ht="11"/>
    <row r="1299" s="335" customFormat="1" ht="11"/>
    <row r="1300" s="335" customFormat="1" ht="11"/>
    <row r="1301" s="335" customFormat="1" ht="11"/>
    <row r="1302" s="335" customFormat="1" ht="11"/>
    <row r="1303" s="335" customFormat="1" ht="11"/>
    <row r="1304" s="335" customFormat="1" ht="11"/>
    <row r="1305" s="335" customFormat="1" ht="11"/>
    <row r="1306" s="335" customFormat="1" ht="11"/>
    <row r="1307" s="335" customFormat="1" ht="11"/>
    <row r="1308" s="335" customFormat="1" ht="11"/>
    <row r="1309" s="335" customFormat="1" ht="11"/>
    <row r="1310" s="335" customFormat="1" ht="11"/>
    <row r="1311" s="335" customFormat="1" ht="11"/>
    <row r="1312" s="335" customFormat="1" ht="11"/>
    <row r="1313" s="335" customFormat="1" ht="11"/>
    <row r="1314" s="335" customFormat="1" ht="11"/>
    <row r="1315" s="335" customFormat="1" ht="11"/>
    <row r="1316" s="335" customFormat="1" ht="11"/>
    <row r="1317" s="335" customFormat="1" ht="11"/>
    <row r="1318" s="335" customFormat="1" ht="11"/>
    <row r="1319" s="335" customFormat="1" ht="11"/>
    <row r="1320" s="335" customFormat="1" ht="11"/>
    <row r="1321" s="335" customFormat="1" ht="11"/>
    <row r="1322" s="335" customFormat="1" ht="11"/>
    <row r="1323" s="335" customFormat="1" ht="11"/>
    <row r="1324" s="335" customFormat="1" ht="11"/>
    <row r="1325" s="335" customFormat="1" ht="11"/>
    <row r="1326" s="335" customFormat="1" ht="11"/>
    <row r="1327" s="335" customFormat="1" ht="11"/>
    <row r="1328" s="335" customFormat="1" ht="11"/>
    <row r="1329" s="335" customFormat="1" ht="11"/>
    <row r="1330" s="335" customFormat="1" ht="11"/>
    <row r="1331" s="335" customFormat="1" ht="11"/>
    <row r="1332" s="335" customFormat="1" ht="11"/>
    <row r="1333" s="335" customFormat="1" ht="11"/>
    <row r="1334" s="335" customFormat="1" ht="11"/>
    <row r="1335" s="335" customFormat="1" ht="11"/>
    <row r="1336" s="335" customFormat="1" ht="11"/>
    <row r="1337" s="335" customFormat="1" ht="11"/>
    <row r="1338" s="335" customFormat="1" ht="11"/>
    <row r="1339" s="335" customFormat="1" ht="11"/>
    <row r="1340" s="335" customFormat="1" ht="11"/>
    <row r="1341" s="335" customFormat="1" ht="11"/>
    <row r="1342" s="335" customFormat="1" ht="11"/>
    <row r="1343" s="335" customFormat="1" ht="11"/>
    <row r="1344" s="335" customFormat="1" ht="11"/>
    <row r="1345" s="335" customFormat="1" ht="11"/>
    <row r="1346" s="335" customFormat="1" ht="11"/>
    <row r="1347" s="335" customFormat="1" ht="11"/>
    <row r="1348" s="335" customFormat="1" ht="11"/>
    <row r="1349" s="335" customFormat="1" ht="11"/>
    <row r="1350" s="335" customFormat="1" ht="11"/>
    <row r="1351" s="335" customFormat="1" ht="11"/>
    <row r="1352" s="335" customFormat="1" ht="11"/>
    <row r="1353" s="335" customFormat="1" ht="11"/>
    <row r="1354" s="335" customFormat="1" ht="11"/>
    <row r="1355" s="335" customFormat="1" ht="11"/>
    <row r="1356" s="335" customFormat="1" ht="11"/>
    <row r="1357" s="335" customFormat="1" ht="11"/>
    <row r="1358" s="335" customFormat="1" ht="11"/>
    <row r="1359" s="335" customFormat="1" ht="11"/>
    <row r="1360" s="335" customFormat="1" ht="11"/>
    <row r="1361" s="335" customFormat="1" ht="11"/>
    <row r="1362" s="335" customFormat="1" ht="11"/>
    <row r="1363" s="335" customFormat="1" ht="11"/>
    <row r="1364" s="335" customFormat="1" ht="11"/>
    <row r="1365" s="335" customFormat="1" ht="11"/>
    <row r="1366" s="335" customFormat="1" ht="11"/>
    <row r="1367" s="335" customFormat="1" ht="11"/>
    <row r="1368" s="335" customFormat="1" ht="11"/>
    <row r="1369" s="335" customFormat="1" ht="11"/>
    <row r="1370" s="335" customFormat="1" ht="11"/>
    <row r="1371" s="335" customFormat="1" ht="11"/>
    <row r="1372" s="335" customFormat="1" ht="11"/>
    <row r="1373" s="335" customFormat="1" ht="11"/>
    <row r="1374" s="335" customFormat="1" ht="11"/>
    <row r="1375" s="335" customFormat="1" ht="11"/>
    <row r="1376" s="335" customFormat="1" ht="11"/>
    <row r="1377" s="335" customFormat="1" ht="11"/>
    <row r="1378" s="335" customFormat="1" ht="11"/>
    <row r="1379" s="335" customFormat="1" ht="11"/>
    <row r="1380" s="335" customFormat="1" ht="11"/>
    <row r="1381" s="335" customFormat="1" ht="11"/>
    <row r="1382" s="335" customFormat="1" ht="11"/>
    <row r="1383" s="335" customFormat="1" ht="11"/>
    <row r="1384" s="335" customFormat="1" ht="11"/>
    <row r="1385" s="335" customFormat="1" ht="11"/>
    <row r="1386" s="335" customFormat="1" ht="11"/>
    <row r="1387" s="335" customFormat="1" ht="11"/>
    <row r="1388" s="335" customFormat="1" ht="11"/>
    <row r="1389" s="335" customFormat="1" ht="11"/>
    <row r="1390" s="335" customFormat="1" ht="11"/>
    <row r="1391" s="335" customFormat="1" ht="11"/>
    <row r="1392" s="335" customFormat="1" ht="11"/>
    <row r="1393" s="335" customFormat="1" ht="11"/>
    <row r="1394" s="335" customFormat="1" ht="11"/>
    <row r="1395" s="335" customFormat="1" ht="11"/>
    <row r="1396" s="335" customFormat="1" ht="11"/>
    <row r="1397" s="335" customFormat="1" ht="11"/>
    <row r="1398" s="335" customFormat="1" ht="11"/>
    <row r="1399" s="335" customFormat="1" ht="11"/>
    <row r="1400" s="335" customFormat="1" ht="11"/>
    <row r="1401" s="335" customFormat="1" ht="11"/>
    <row r="1402" s="335" customFormat="1" ht="11"/>
    <row r="1403" s="335" customFormat="1" ht="11"/>
    <row r="1404" s="335" customFormat="1" ht="11"/>
    <row r="1405" s="335" customFormat="1" ht="11"/>
    <row r="1406" s="335" customFormat="1" ht="11"/>
    <row r="1407" s="335" customFormat="1" ht="11"/>
    <row r="1408" s="335" customFormat="1" ht="11"/>
    <row r="1409" s="335" customFormat="1" ht="11"/>
    <row r="1410" s="335" customFormat="1" ht="11"/>
    <row r="1411" s="335" customFormat="1" ht="11"/>
    <row r="1412" s="335" customFormat="1" ht="11"/>
    <row r="1413" s="335" customFormat="1" ht="11"/>
    <row r="1414" s="335" customFormat="1" ht="11"/>
    <row r="1415" s="335" customFormat="1" ht="11"/>
    <row r="1416" s="335" customFormat="1" ht="11"/>
    <row r="1417" s="335" customFormat="1" ht="11"/>
    <row r="1418" s="335" customFormat="1" ht="11"/>
    <row r="1419" s="335" customFormat="1" ht="11"/>
    <row r="1420" s="335" customFormat="1" ht="11"/>
    <row r="1421" s="335" customFormat="1" ht="11"/>
    <row r="1422" s="335" customFormat="1" ht="11"/>
    <row r="1423" s="335" customFormat="1" ht="11"/>
    <row r="1424" s="335" customFormat="1" ht="11"/>
    <row r="1425" s="335" customFormat="1" ht="11"/>
    <row r="1426" s="335" customFormat="1" ht="11"/>
    <row r="1427" s="335" customFormat="1" ht="11"/>
    <row r="1428" s="335" customFormat="1" ht="11"/>
    <row r="1429" s="335" customFormat="1" ht="11"/>
    <row r="1430" s="335" customFormat="1" ht="11"/>
    <row r="1431" s="335" customFormat="1" ht="11"/>
    <row r="1432" s="335" customFormat="1" ht="11"/>
    <row r="1433" s="335" customFormat="1" ht="11"/>
    <row r="1434" s="335" customFormat="1" ht="11"/>
    <row r="1435" s="335" customFormat="1" ht="11"/>
    <row r="1436" s="335" customFormat="1" ht="11"/>
    <row r="1437" s="335" customFormat="1" ht="11"/>
    <row r="1438" s="335" customFormat="1" ht="11"/>
    <row r="1439" s="335" customFormat="1" ht="11"/>
    <row r="1440" s="335" customFormat="1" ht="11"/>
    <row r="1441" s="335" customFormat="1" ht="11"/>
    <row r="1442" s="335" customFormat="1" ht="11"/>
    <row r="1443" s="335" customFormat="1" ht="11"/>
    <row r="1444" s="335" customFormat="1" ht="11"/>
    <row r="1445" s="335" customFormat="1" ht="11"/>
    <row r="1446" s="335" customFormat="1" ht="11"/>
    <row r="1447" s="335" customFormat="1" ht="11"/>
    <row r="1448" s="335" customFormat="1" ht="11"/>
    <row r="1449" s="335" customFormat="1" ht="11"/>
    <row r="1450" s="335" customFormat="1" ht="11"/>
    <row r="1451" s="335" customFormat="1" ht="11"/>
    <row r="1452" s="335" customFormat="1" ht="11"/>
    <row r="1453" s="335" customFormat="1" ht="11"/>
    <row r="1454" s="335" customFormat="1" ht="11"/>
    <row r="1455" s="335" customFormat="1" ht="11"/>
    <row r="1456" s="335" customFormat="1" ht="11"/>
    <row r="1457" s="335" customFormat="1" ht="11"/>
    <row r="1458" s="335" customFormat="1" ht="11"/>
    <row r="1459" s="335" customFormat="1" ht="11"/>
    <row r="1460" s="335" customFormat="1" ht="11"/>
    <row r="1461" s="335" customFormat="1" ht="11"/>
    <row r="1462" s="335" customFormat="1" ht="11"/>
    <row r="1463" s="335" customFormat="1" ht="11"/>
    <row r="1464" s="335" customFormat="1" ht="11"/>
    <row r="1465" s="335" customFormat="1" ht="11"/>
    <row r="1466" s="335" customFormat="1" ht="11"/>
    <row r="1467" s="335" customFormat="1" ht="11"/>
    <row r="1468" s="335" customFormat="1" ht="11"/>
    <row r="1469" s="335" customFormat="1" ht="11"/>
    <row r="1470" s="335" customFormat="1" ht="11"/>
    <row r="1471" s="335" customFormat="1" ht="11"/>
    <row r="1472" s="335" customFormat="1" ht="11"/>
    <row r="1473" s="335" customFormat="1" ht="11"/>
    <row r="1474" s="335" customFormat="1" ht="11"/>
    <row r="1475" s="335" customFormat="1" ht="11"/>
    <row r="1476" s="335" customFormat="1" ht="11"/>
    <row r="1477" s="335" customFormat="1" ht="11"/>
    <row r="1478" s="335" customFormat="1" ht="11"/>
    <row r="1479" s="335" customFormat="1" ht="11"/>
    <row r="1480" s="335" customFormat="1" ht="11"/>
    <row r="1481" s="335" customFormat="1" ht="11"/>
    <row r="1482" s="335" customFormat="1" ht="11"/>
    <row r="1483" s="335" customFormat="1" ht="11"/>
    <row r="1484" s="335" customFormat="1" ht="11"/>
    <row r="1485" s="335" customFormat="1" ht="11"/>
    <row r="1486" s="335" customFormat="1" ht="11"/>
    <row r="1487" s="335" customFormat="1" ht="11"/>
    <row r="1488" s="335" customFormat="1" ht="11"/>
    <row r="1489" s="335" customFormat="1" ht="11"/>
    <row r="1490" s="335" customFormat="1" ht="11"/>
    <row r="1491" s="335" customFormat="1" ht="11"/>
    <row r="1492" s="335" customFormat="1" ht="11"/>
    <row r="1493" s="335" customFormat="1" ht="11"/>
    <row r="1494" s="335" customFormat="1" ht="11"/>
    <row r="1495" s="335" customFormat="1" ht="11"/>
    <row r="1496" s="335" customFormat="1" ht="11"/>
    <row r="1497" s="335" customFormat="1" ht="11"/>
    <row r="1498" s="335" customFormat="1" ht="11"/>
    <row r="1499" s="335" customFormat="1" ht="11"/>
    <row r="1500" s="335" customFormat="1" ht="11"/>
    <row r="1501" s="335" customFormat="1" ht="11"/>
    <row r="1502" s="335" customFormat="1" ht="11"/>
    <row r="1503" s="335" customFormat="1" ht="11"/>
    <row r="1504" s="335" customFormat="1" ht="11"/>
    <row r="1505" s="335" customFormat="1" ht="11"/>
    <row r="1506" s="335" customFormat="1" ht="11"/>
    <row r="1507" s="335" customFormat="1" ht="11"/>
    <row r="1508" s="335" customFormat="1" ht="11"/>
    <row r="1509" s="335" customFormat="1" ht="11"/>
    <row r="1510" s="335" customFormat="1" ht="11"/>
    <row r="1511" s="335" customFormat="1" ht="11"/>
    <row r="1512" s="335" customFormat="1" ht="11"/>
    <row r="1513" s="335" customFormat="1" ht="11"/>
    <row r="1514" s="335" customFormat="1" ht="11"/>
    <row r="1515" s="335" customFormat="1" ht="11"/>
    <row r="1516" s="335" customFormat="1" ht="11"/>
    <row r="1517" s="335" customFormat="1" ht="11"/>
    <row r="1518" s="335" customFormat="1" ht="11"/>
    <row r="1519" s="335" customFormat="1" ht="11"/>
    <row r="1520" s="335" customFormat="1" ht="11"/>
    <row r="1521" s="335" customFormat="1" ht="11"/>
    <row r="1522" s="335" customFormat="1" ht="11"/>
    <row r="1523" s="335" customFormat="1" ht="11"/>
    <row r="1524" s="335" customFormat="1" ht="11"/>
    <row r="1525" s="335" customFormat="1" ht="11"/>
    <row r="1526" s="335" customFormat="1" ht="11"/>
    <row r="1527" s="335" customFormat="1" ht="11"/>
    <row r="1528" s="335" customFormat="1" ht="11"/>
    <row r="1529" s="335" customFormat="1" ht="11"/>
    <row r="1530" s="335" customFormat="1" ht="11"/>
    <row r="1531" s="335" customFormat="1" ht="11"/>
    <row r="1532" s="335" customFormat="1" ht="11"/>
    <row r="1533" s="335" customFormat="1" ht="11"/>
    <row r="1534" s="335" customFormat="1" ht="11"/>
    <row r="1535" s="335" customFormat="1" ht="11"/>
    <row r="1536" s="335" customFormat="1" ht="11"/>
    <row r="1537" s="335" customFormat="1" ht="11"/>
    <row r="1538" s="335" customFormat="1" ht="11"/>
    <row r="1539" s="335" customFormat="1" ht="11"/>
    <row r="1540" s="335" customFormat="1" ht="11"/>
    <row r="1541" s="335" customFormat="1" ht="11"/>
    <row r="1542" s="335" customFormat="1" ht="11"/>
    <row r="1543" s="335" customFormat="1" ht="11"/>
    <row r="1544" s="335" customFormat="1" ht="11"/>
    <row r="1545" s="335" customFormat="1" ht="11"/>
    <row r="1546" s="335" customFormat="1" ht="11"/>
    <row r="1547" s="335" customFormat="1" ht="11"/>
    <row r="1548" s="335" customFormat="1" ht="11"/>
    <row r="1549" s="335" customFormat="1" ht="11"/>
    <row r="1550" s="335" customFormat="1" ht="11"/>
    <row r="1551" s="335" customFormat="1" ht="11"/>
    <row r="1552" s="335" customFormat="1" ht="11"/>
    <row r="1553" s="335" customFormat="1" ht="11"/>
    <row r="1554" s="335" customFormat="1" ht="11"/>
    <row r="1555" s="335" customFormat="1" ht="11"/>
    <row r="1556" s="335" customFormat="1" ht="11"/>
    <row r="1557" s="335" customFormat="1" ht="11"/>
    <row r="1558" s="335" customFormat="1" ht="11"/>
    <row r="1559" s="335" customFormat="1" ht="11"/>
    <row r="1560" s="335" customFormat="1" ht="11"/>
    <row r="1561" s="335" customFormat="1" ht="11"/>
    <row r="1562" s="335" customFormat="1" ht="11"/>
    <row r="1563" s="335" customFormat="1" ht="11"/>
    <row r="1564" s="335" customFormat="1" ht="11"/>
    <row r="1565" s="335" customFormat="1" ht="11"/>
    <row r="1566" s="335" customFormat="1" ht="11"/>
    <row r="1567" s="335" customFormat="1" ht="11"/>
    <row r="1568" s="335" customFormat="1" ht="11"/>
    <row r="1569" s="335" customFormat="1" ht="11"/>
    <row r="1570" s="335" customFormat="1" ht="11"/>
    <row r="1571" s="335" customFormat="1" ht="11"/>
    <row r="1572" s="335" customFormat="1" ht="11"/>
    <row r="1573" s="335" customFormat="1" ht="11"/>
    <row r="1574" s="335" customFormat="1" ht="11"/>
    <row r="1575" s="335" customFormat="1" ht="11"/>
    <row r="1576" s="335" customFormat="1" ht="11"/>
    <row r="1577" s="335" customFormat="1" ht="11"/>
    <row r="1578" s="335" customFormat="1" ht="11"/>
    <row r="1579" s="335" customFormat="1" ht="11"/>
    <row r="1580" s="335" customFormat="1" ht="11"/>
    <row r="1581" s="335" customFormat="1" ht="11"/>
    <row r="1582" s="335" customFormat="1" ht="11"/>
    <row r="1583" s="335" customFormat="1" ht="11"/>
    <row r="1584" s="335" customFormat="1" ht="11"/>
    <row r="1585" s="335" customFormat="1" ht="11"/>
    <row r="1586" s="335" customFormat="1" ht="11"/>
    <row r="1587" s="335" customFormat="1" ht="11"/>
    <row r="1588" s="335" customFormat="1" ht="11"/>
    <row r="1589" s="335" customFormat="1" ht="11"/>
    <row r="1590" s="335" customFormat="1" ht="11"/>
    <row r="1591" s="335" customFormat="1" ht="11"/>
    <row r="1592" s="335" customFormat="1" ht="11"/>
    <row r="1593" s="335" customFormat="1" ht="11"/>
    <row r="1594" s="335" customFormat="1" ht="11"/>
    <row r="1595" s="335" customFormat="1" ht="11"/>
    <row r="1596" s="335" customFormat="1" ht="11"/>
    <row r="1597" s="335" customFormat="1" ht="11"/>
    <row r="1598" s="335" customFormat="1" ht="11"/>
    <row r="1599" s="335" customFormat="1" ht="11"/>
    <row r="1600" s="335" customFormat="1" ht="11"/>
    <row r="1601" s="335" customFormat="1" ht="11"/>
    <row r="1602" s="335" customFormat="1" ht="11"/>
    <row r="1603" s="335" customFormat="1" ht="11"/>
    <row r="1604" s="335" customFormat="1" ht="11"/>
    <row r="1605" s="335" customFormat="1" ht="11"/>
    <row r="1606" s="335" customFormat="1" ht="11"/>
    <row r="1607" s="335" customFormat="1" ht="11"/>
    <row r="1608" s="335" customFormat="1" ht="11"/>
    <row r="1609" s="335" customFormat="1" ht="11"/>
    <row r="1610" s="335" customFormat="1" ht="11"/>
    <row r="1611" s="335" customFormat="1" ht="11"/>
    <row r="1612" s="335" customFormat="1" ht="11"/>
    <row r="1613" s="335" customFormat="1" ht="11"/>
    <row r="1614" s="335" customFormat="1" ht="11"/>
    <row r="1615" s="335" customFormat="1" ht="11"/>
    <row r="1616" s="335" customFormat="1" ht="11"/>
    <row r="1617" s="335" customFormat="1" ht="11"/>
    <row r="1618" s="335" customFormat="1" ht="11"/>
    <row r="1619" s="335" customFormat="1" ht="11"/>
    <row r="1620" s="335" customFormat="1" ht="11"/>
    <row r="1621" s="335" customFormat="1" ht="11"/>
    <row r="1622" s="335" customFormat="1" ht="11"/>
    <row r="1623" s="335" customFormat="1" ht="11"/>
    <row r="1624" s="335" customFormat="1" ht="11"/>
    <row r="1625" s="335" customFormat="1" ht="11"/>
    <row r="1626" s="335" customFormat="1" ht="11"/>
    <row r="1627" s="335" customFormat="1" ht="11"/>
    <row r="1628" s="335" customFormat="1" ht="11"/>
    <row r="1629" s="335" customFormat="1" ht="11"/>
    <row r="1630" s="335" customFormat="1" ht="11"/>
    <row r="1631" s="335" customFormat="1" ht="11"/>
    <row r="1632" s="335" customFormat="1" ht="11"/>
    <row r="1633" s="335" customFormat="1" ht="11"/>
    <row r="1634" s="335" customFormat="1" ht="11"/>
    <row r="1635" s="335" customFormat="1" ht="11"/>
    <row r="1636" s="335" customFormat="1" ht="11"/>
    <row r="1637" s="335" customFormat="1" ht="11"/>
    <row r="1638" s="335" customFormat="1" ht="11"/>
    <row r="1639" s="335" customFormat="1" ht="11"/>
    <row r="1640" s="335" customFormat="1" ht="11"/>
    <row r="1641" s="335" customFormat="1" ht="11"/>
    <row r="1642" s="335" customFormat="1" ht="11"/>
    <row r="1643" s="335" customFormat="1" ht="11"/>
    <row r="1644" s="335" customFormat="1" ht="11"/>
    <row r="1645" s="335" customFormat="1" ht="11"/>
    <row r="1646" s="335" customFormat="1" ht="11"/>
    <row r="1647" s="335" customFormat="1" ht="11"/>
    <row r="1648" s="335" customFormat="1" ht="11"/>
    <row r="1649" s="335" customFormat="1" ht="11"/>
    <row r="1650" s="335" customFormat="1" ht="11"/>
    <row r="1651" s="335" customFormat="1" ht="11"/>
    <row r="1652" s="335" customFormat="1" ht="11"/>
    <row r="1653" s="335" customFormat="1" ht="11"/>
    <row r="1654" s="335" customFormat="1" ht="11"/>
    <row r="1655" s="335" customFormat="1" ht="11"/>
    <row r="1656" s="335" customFormat="1" ht="11"/>
    <row r="1657" s="335" customFormat="1" ht="11"/>
    <row r="1658" s="335" customFormat="1" ht="11"/>
    <row r="1659" s="335" customFormat="1" ht="11"/>
    <row r="1660" s="335" customFormat="1" ht="11"/>
    <row r="1661" s="335" customFormat="1" ht="11"/>
    <row r="1662" s="335" customFormat="1" ht="11"/>
    <row r="1663" s="335" customFormat="1" ht="11"/>
    <row r="1664" s="335" customFormat="1" ht="11"/>
    <row r="1665" s="335" customFormat="1" ht="11"/>
    <row r="1666" s="335" customFormat="1" ht="11"/>
    <row r="1667" s="335" customFormat="1" ht="11"/>
    <row r="1668" s="335" customFormat="1" ht="11"/>
    <row r="1669" s="335" customFormat="1" ht="11"/>
    <row r="1670" s="335" customFormat="1" ht="11"/>
    <row r="1671" s="335" customFormat="1" ht="11"/>
    <row r="1672" s="335" customFormat="1" ht="11"/>
    <row r="1673" s="335" customFormat="1" ht="11"/>
    <row r="1674" s="335" customFormat="1" ht="11"/>
    <row r="1675" s="335" customFormat="1" ht="11"/>
    <row r="1676" s="335" customFormat="1" ht="11"/>
    <row r="1677" s="335" customFormat="1" ht="11"/>
    <row r="1678" s="335" customFormat="1" ht="11"/>
    <row r="1679" s="335" customFormat="1" ht="11"/>
    <row r="1680" s="335" customFormat="1" ht="11"/>
    <row r="1681" s="335" customFormat="1" ht="11"/>
    <row r="1682" s="335" customFormat="1" ht="11"/>
    <row r="1683" s="335" customFormat="1" ht="11"/>
    <row r="1684" s="335" customFormat="1" ht="11"/>
    <row r="1685" s="335" customFormat="1" ht="11"/>
    <row r="1686" s="335" customFormat="1" ht="11"/>
    <row r="1687" s="335" customFormat="1" ht="11"/>
    <row r="1688" s="335" customFormat="1" ht="11"/>
    <row r="1689" s="335" customFormat="1" ht="11"/>
    <row r="1690" s="335" customFormat="1" ht="11"/>
    <row r="1691" s="335" customFormat="1" ht="11"/>
    <row r="1692" s="335" customFormat="1" ht="11"/>
    <row r="1693" s="335" customFormat="1" ht="11"/>
    <row r="1694" s="335" customFormat="1" ht="11"/>
    <row r="1695" s="335" customFormat="1" ht="11"/>
    <row r="1696" s="335" customFormat="1" ht="11"/>
    <row r="1697" s="335" customFormat="1" ht="11"/>
    <row r="1698" s="335" customFormat="1" ht="11"/>
    <row r="1699" s="335" customFormat="1" ht="11"/>
    <row r="1700" s="335" customFormat="1" ht="11"/>
    <row r="1701" s="335" customFormat="1" ht="11"/>
    <row r="1702" s="335" customFormat="1" ht="11"/>
    <row r="1703" s="335" customFormat="1" ht="11"/>
    <row r="1704" s="335" customFormat="1" ht="11"/>
    <row r="1705" s="335" customFormat="1" ht="11"/>
    <row r="1706" s="335" customFormat="1" ht="11"/>
    <row r="1707" s="335" customFormat="1" ht="11"/>
    <row r="1708" s="335" customFormat="1" ht="11"/>
    <row r="1709" s="335" customFormat="1" ht="11"/>
    <row r="1710" s="335" customFormat="1" ht="11"/>
    <row r="1711" s="335" customFormat="1" ht="11"/>
    <row r="1712" s="335" customFormat="1" ht="11"/>
    <row r="1713" s="335" customFormat="1" ht="11"/>
    <row r="1714" s="335" customFormat="1" ht="11"/>
    <row r="1715" s="335" customFormat="1" ht="11"/>
    <row r="1716" s="335" customFormat="1" ht="11"/>
    <row r="1717" s="335" customFormat="1" ht="11"/>
    <row r="1718" s="335" customFormat="1" ht="11"/>
    <row r="1719" s="335" customFormat="1" ht="11"/>
    <row r="1720" s="335" customFormat="1" ht="11"/>
    <row r="1721" s="335" customFormat="1" ht="11"/>
    <row r="1722" s="335" customFormat="1" ht="11"/>
    <row r="1723" s="335" customFormat="1" ht="11"/>
    <row r="1724" s="335" customFormat="1" ht="11"/>
    <row r="1725" s="335" customFormat="1" ht="11"/>
    <row r="1726" s="335" customFormat="1" ht="11"/>
    <row r="1727" s="335" customFormat="1" ht="11"/>
    <row r="1728" s="335" customFormat="1" ht="11"/>
    <row r="1729" s="335" customFormat="1" ht="11"/>
    <row r="1730" s="335" customFormat="1" ht="11"/>
    <row r="1731" s="335" customFormat="1" ht="11"/>
    <row r="1732" s="335" customFormat="1" ht="11"/>
    <row r="1733" s="335" customFormat="1" ht="11"/>
    <row r="1734" s="335" customFormat="1" ht="11"/>
    <row r="1735" s="335" customFormat="1" ht="11"/>
    <row r="1736" s="335" customFormat="1" ht="11"/>
    <row r="1737" s="335" customFormat="1" ht="11"/>
    <row r="1738" s="335" customFormat="1" ht="11"/>
    <row r="1739" s="335" customFormat="1" ht="11"/>
    <row r="1740" s="335" customFormat="1" ht="11"/>
    <row r="1741" s="335" customFormat="1" ht="11"/>
    <row r="1742" s="335" customFormat="1" ht="11"/>
    <row r="1743" s="335" customFormat="1" ht="11"/>
    <row r="1744" s="335" customFormat="1" ht="11"/>
    <row r="1745" s="335" customFormat="1" ht="11"/>
    <row r="1746" s="335" customFormat="1" ht="11"/>
    <row r="1747" s="335" customFormat="1" ht="11"/>
    <row r="1748" s="335" customFormat="1" ht="11"/>
    <row r="1749" s="335" customFormat="1" ht="11"/>
    <row r="1750" s="335" customFormat="1" ht="11"/>
    <row r="1751" s="335" customFormat="1" ht="11"/>
    <row r="1752" s="335" customFormat="1" ht="11"/>
    <row r="1753" s="335" customFormat="1" ht="11"/>
    <row r="1754" s="335" customFormat="1" ht="11"/>
    <row r="1755" s="335" customFormat="1" ht="11"/>
    <row r="1756" s="335" customFormat="1" ht="11"/>
    <row r="1757" s="335" customFormat="1" ht="11"/>
    <row r="1758" s="335" customFormat="1" ht="11"/>
    <row r="1759" s="335" customFormat="1" ht="11"/>
    <row r="1760" s="335" customFormat="1" ht="11"/>
    <row r="1761" s="335" customFormat="1" ht="11"/>
    <row r="1762" s="335" customFormat="1" ht="11"/>
    <row r="1763" s="335" customFormat="1" ht="11"/>
    <row r="1764" s="335" customFormat="1" ht="11"/>
    <row r="1765" s="335" customFormat="1" ht="11"/>
    <row r="1766" s="335" customFormat="1" ht="11"/>
    <row r="1767" s="335" customFormat="1" ht="11"/>
    <row r="1768" s="335" customFormat="1" ht="11"/>
    <row r="1769" s="335" customFormat="1" ht="11"/>
    <row r="1770" s="335" customFormat="1" ht="11"/>
    <row r="1771" s="335" customFormat="1" ht="11"/>
    <row r="1772" s="335" customFormat="1" ht="11"/>
    <row r="1773" s="335" customFormat="1" ht="11"/>
    <row r="1774" s="335" customFormat="1" ht="11"/>
    <row r="1775" s="335" customFormat="1" ht="11"/>
    <row r="1776" s="335" customFormat="1" ht="11"/>
    <row r="1777" s="335" customFormat="1" ht="11"/>
    <row r="1778" s="335" customFormat="1" ht="11"/>
    <row r="1779" s="335" customFormat="1" ht="11"/>
    <row r="1780" s="335" customFormat="1" ht="11"/>
    <row r="1781" s="335" customFormat="1" ht="11"/>
    <row r="1782" s="335" customFormat="1" ht="11"/>
    <row r="1783" s="335" customFormat="1" ht="11"/>
    <row r="1784" s="335" customFormat="1" ht="11"/>
    <row r="1785" s="335" customFormat="1" ht="11"/>
    <row r="1786" s="335" customFormat="1" ht="11"/>
    <row r="1787" s="335" customFormat="1" ht="11"/>
    <row r="1788" s="335" customFormat="1" ht="11"/>
    <row r="1789" s="335" customFormat="1" ht="11"/>
    <row r="1790" s="335" customFormat="1" ht="11"/>
    <row r="1791" s="335" customFormat="1" ht="11"/>
    <row r="1792" s="335" customFormat="1" ht="11"/>
    <row r="1793" s="335" customFormat="1" ht="11"/>
    <row r="1794" s="335" customFormat="1" ht="11"/>
    <row r="1795" s="335" customFormat="1" ht="11"/>
    <row r="1796" s="335" customFormat="1" ht="11"/>
    <row r="1797" s="335" customFormat="1" ht="11"/>
    <row r="1798" s="335" customFormat="1" ht="11"/>
    <row r="1799" s="335" customFormat="1" ht="11"/>
    <row r="1800" s="335" customFormat="1" ht="11"/>
    <row r="1801" s="335" customFormat="1" ht="11"/>
    <row r="1802" s="335" customFormat="1" ht="11"/>
    <row r="1803" s="335" customFormat="1" ht="11"/>
    <row r="1804" s="335" customFormat="1" ht="11"/>
    <row r="1805" s="335" customFormat="1" ht="11"/>
    <row r="1806" s="335" customFormat="1" ht="11"/>
    <row r="1807" s="335" customFormat="1" ht="11"/>
    <row r="1808" s="335" customFormat="1" ht="11"/>
    <row r="1809" s="335" customFormat="1" ht="11"/>
    <row r="1810" s="335" customFormat="1" ht="11"/>
    <row r="1811" s="335" customFormat="1" ht="11"/>
    <row r="1812" s="335" customFormat="1" ht="11"/>
    <row r="1813" s="335" customFormat="1" ht="11"/>
    <row r="1814" s="335" customFormat="1" ht="11"/>
    <row r="1815" s="335" customFormat="1" ht="11"/>
    <row r="1816" s="335" customFormat="1" ht="11"/>
    <row r="1817" s="335" customFormat="1" ht="11"/>
    <row r="1818" s="335" customFormat="1" ht="11"/>
    <row r="1819" s="335" customFormat="1" ht="11"/>
    <row r="1820" s="335" customFormat="1" ht="11"/>
    <row r="1821" s="335" customFormat="1" ht="11"/>
    <row r="1822" s="335" customFormat="1" ht="11"/>
    <row r="1823" s="335" customFormat="1" ht="11"/>
    <row r="1824" s="335" customFormat="1" ht="11"/>
    <row r="1825" s="335" customFormat="1" ht="11"/>
    <row r="1826" s="335" customFormat="1" ht="11"/>
    <row r="1827" s="335" customFormat="1" ht="11"/>
    <row r="1828" s="335" customFormat="1" ht="11"/>
    <row r="1829" s="335" customFormat="1" ht="11"/>
    <row r="1830" s="335" customFormat="1" ht="11"/>
    <row r="1831" s="335" customFormat="1" ht="11"/>
    <row r="1832" s="335" customFormat="1" ht="11"/>
    <row r="1833" s="335" customFormat="1" ht="11"/>
    <row r="1834" s="335" customFormat="1" ht="11"/>
    <row r="1835" s="335" customFormat="1" ht="11"/>
    <row r="1836" s="335" customFormat="1" ht="11"/>
    <row r="1837" s="335" customFormat="1" ht="11"/>
    <row r="1838" s="335" customFormat="1" ht="11"/>
    <row r="1839" s="335" customFormat="1" ht="11"/>
    <row r="1840" s="335" customFormat="1" ht="11"/>
    <row r="1841" s="335" customFormat="1" ht="11"/>
    <row r="1842" s="335" customFormat="1" ht="11"/>
    <row r="1843" s="335" customFormat="1" ht="11"/>
    <row r="1844" s="335" customFormat="1" ht="11"/>
    <row r="1845" s="335" customFormat="1" ht="11"/>
    <row r="1846" s="335" customFormat="1" ht="11"/>
    <row r="1847" s="335" customFormat="1" ht="11"/>
    <row r="1848" s="335" customFormat="1" ht="11"/>
    <row r="1849" s="335" customFormat="1" ht="11"/>
    <row r="1850" s="335" customFormat="1" ht="11"/>
    <row r="1851" s="335" customFormat="1" ht="11"/>
    <row r="1852" s="335" customFormat="1" ht="11"/>
    <row r="1853" s="335" customFormat="1" ht="11"/>
    <row r="1854" s="335" customFormat="1" ht="11"/>
    <row r="1855" s="335" customFormat="1" ht="11"/>
    <row r="1856" s="335" customFormat="1" ht="11"/>
    <row r="1857" s="335" customFormat="1" ht="11"/>
    <row r="1858" s="335" customFormat="1" ht="11"/>
    <row r="1859" s="335" customFormat="1" ht="11"/>
    <row r="1860" s="335" customFormat="1" ht="11"/>
    <row r="1861" s="335" customFormat="1" ht="11"/>
    <row r="1862" s="335" customFormat="1" ht="11"/>
    <row r="1863" s="335" customFormat="1" ht="11"/>
    <row r="1864" s="335" customFormat="1" ht="11"/>
    <row r="1865" s="335" customFormat="1" ht="11"/>
    <row r="1866" s="335" customFormat="1" ht="11"/>
    <row r="1867" s="335" customFormat="1" ht="11"/>
    <row r="1868" s="335" customFormat="1" ht="11"/>
    <row r="1869" s="335" customFormat="1" ht="11"/>
    <row r="1870" s="335" customFormat="1" ht="11"/>
  </sheetData>
  <autoFilter ref="V6:AD296" xr:uid="{33683397-B580-A943-B20F-D71383241ECF}"/>
  <mergeCells count="4">
    <mergeCell ref="A1:E1"/>
    <mergeCell ref="A2:B2"/>
    <mergeCell ref="A3:B3"/>
    <mergeCell ref="A4:B4"/>
  </mergeCells>
  <phoneticPr fontId="37" type="noConversion"/>
  <hyperlinks>
    <hyperlink ref="F1" location="Instructions!A1" display="Instructions!A1" xr:uid="{17B441CC-77E2-5F4F-B14B-DB409C816A3B}"/>
  </hyperlinks>
  <pageMargins left="0.7" right="0.7" top="0.75" bottom="0.75" header="0.3" footer="0.3"/>
  <pageSetup paperSize="9" scale="30" orientation="portrait" verticalDpi="0"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B2:R34"/>
  <sheetViews>
    <sheetView showGridLines="0" topLeftCell="A7" workbookViewId="0">
      <selection activeCell="I24" sqref="I24"/>
    </sheetView>
  </sheetViews>
  <sheetFormatPr baseColWidth="10" defaultColWidth="8.75" defaultRowHeight="11"/>
  <cols>
    <col min="1" max="1" width="3" customWidth="1"/>
    <col min="2" max="2" width="12.75" customWidth="1"/>
    <col min="3" max="3" width="49" bestFit="1" customWidth="1"/>
    <col min="4" max="4" width="16.75" customWidth="1"/>
    <col min="5" max="5" width="12.75" customWidth="1"/>
    <col min="6" max="6" width="14" customWidth="1"/>
    <col min="7" max="7" width="12.75" customWidth="1"/>
    <col min="8" max="8" width="14" customWidth="1"/>
    <col min="10" max="10" width="12" bestFit="1" customWidth="1"/>
    <col min="11" max="11" width="11" bestFit="1" customWidth="1"/>
  </cols>
  <sheetData>
    <row r="2" spans="2:8" ht="64">
      <c r="B2" s="4"/>
      <c r="C2" s="35" t="s">
        <v>2246</v>
      </c>
      <c r="D2" s="35" t="s">
        <v>2247</v>
      </c>
      <c r="E2" s="35" t="s">
        <v>2248</v>
      </c>
      <c r="F2" s="35" t="s">
        <v>2249</v>
      </c>
      <c r="G2" s="35" t="s">
        <v>2250</v>
      </c>
      <c r="H2" s="35" t="s">
        <v>2251</v>
      </c>
    </row>
    <row r="3" spans="2:8" ht="15">
      <c r="B3" s="546"/>
      <c r="C3" s="36" t="s">
        <v>2078</v>
      </c>
      <c r="D3" s="37" t="s">
        <v>2252</v>
      </c>
      <c r="E3" s="38">
        <v>54.263575639485225</v>
      </c>
      <c r="F3" s="38">
        <v>48.900277245104824</v>
      </c>
      <c r="G3" s="39">
        <v>376.04657918163258</v>
      </c>
      <c r="H3" s="39">
        <v>338.87892130857642</v>
      </c>
    </row>
    <row r="4" spans="2:8" ht="15">
      <c r="B4" s="546"/>
      <c r="C4" s="36" t="s">
        <v>2160</v>
      </c>
      <c r="D4" s="37" t="s">
        <v>2252</v>
      </c>
      <c r="E4" s="38">
        <v>54.263575639485225</v>
      </c>
      <c r="F4" s="38">
        <v>48.900277245104824</v>
      </c>
      <c r="G4" s="39">
        <v>376.04657918163258</v>
      </c>
      <c r="H4" s="39">
        <v>338.87892130857642</v>
      </c>
    </row>
    <row r="5" spans="2:8" ht="15">
      <c r="B5" s="5"/>
      <c r="C5" s="36" t="s">
        <v>2193</v>
      </c>
      <c r="D5" s="37" t="s">
        <v>2252</v>
      </c>
      <c r="E5" s="38">
        <v>54.263575639485225</v>
      </c>
      <c r="F5" s="38">
        <v>48.900277245104824</v>
      </c>
      <c r="G5" s="39">
        <v>376.04657918163258</v>
      </c>
      <c r="H5" s="39">
        <v>338.87892130857642</v>
      </c>
    </row>
    <row r="6" spans="2:8" ht="15">
      <c r="B6" s="5"/>
      <c r="C6" s="36" t="s">
        <v>2253</v>
      </c>
      <c r="D6" s="37" t="s">
        <v>2252</v>
      </c>
      <c r="E6" s="38">
        <v>54.263575639485225</v>
      </c>
      <c r="F6" s="38">
        <v>48.900277245104824</v>
      </c>
      <c r="G6" s="39">
        <v>376.04657918163258</v>
      </c>
      <c r="H6" s="39">
        <v>338.87892130857642</v>
      </c>
    </row>
    <row r="7" spans="2:8" ht="15">
      <c r="B7" s="546"/>
      <c r="C7" s="36" t="s">
        <v>2182</v>
      </c>
      <c r="D7" s="37" t="s">
        <v>2252</v>
      </c>
      <c r="E7" s="38">
        <v>54.263575639485225</v>
      </c>
      <c r="F7" s="38">
        <v>48.900277245104824</v>
      </c>
      <c r="G7" s="39">
        <v>376.04657918163258</v>
      </c>
      <c r="H7" s="39">
        <v>338.87892130857642</v>
      </c>
    </row>
    <row r="8" spans="2:8" ht="15">
      <c r="B8" s="546"/>
      <c r="C8" s="36" t="s">
        <v>2254</v>
      </c>
      <c r="D8" s="37" t="s">
        <v>2255</v>
      </c>
      <c r="E8" s="38">
        <v>30.327177390457042</v>
      </c>
      <c r="F8" s="38">
        <v>30.202541644218957</v>
      </c>
      <c r="G8" s="39">
        <v>210.16733931586728</v>
      </c>
      <c r="H8" s="39">
        <v>209.30361359443737</v>
      </c>
    </row>
    <row r="9" spans="2:8" ht="15">
      <c r="B9" s="546"/>
      <c r="C9" s="36" t="s">
        <v>2256</v>
      </c>
      <c r="D9" s="37" t="s">
        <v>2255</v>
      </c>
      <c r="E9" s="38">
        <v>30.327177390457042</v>
      </c>
      <c r="F9" s="38">
        <v>30.202541644218957</v>
      </c>
      <c r="G9" s="39">
        <v>210.16733931586728</v>
      </c>
      <c r="H9" s="39">
        <v>209.30361359443737</v>
      </c>
    </row>
    <row r="10" spans="2:8" ht="15">
      <c r="B10" s="546"/>
      <c r="C10" s="36" t="s">
        <v>2257</v>
      </c>
      <c r="D10" s="37" t="s">
        <v>2255</v>
      </c>
      <c r="E10" s="38">
        <v>30.327177390457042</v>
      </c>
      <c r="F10" s="38">
        <v>30.202541644218957</v>
      </c>
      <c r="G10" s="39">
        <v>210.16733931586728</v>
      </c>
      <c r="H10" s="39">
        <v>209.30361359443737</v>
      </c>
    </row>
    <row r="11" spans="2:8" ht="15">
      <c r="B11" s="546"/>
      <c r="C11" s="36" t="s">
        <v>2258</v>
      </c>
      <c r="D11" s="37" t="s">
        <v>2259</v>
      </c>
      <c r="E11" s="38">
        <v>41.868290718150817</v>
      </c>
      <c r="F11" s="38">
        <v>46.792569762143799</v>
      </c>
      <c r="G11" s="39">
        <v>290.14725467678517</v>
      </c>
      <c r="H11" s="39">
        <v>324.27250845165651</v>
      </c>
    </row>
    <row r="12" spans="2:8" ht="15">
      <c r="B12" s="5"/>
      <c r="C12" s="36" t="s">
        <v>2260</v>
      </c>
      <c r="D12" s="37" t="s">
        <v>2259</v>
      </c>
      <c r="E12" s="38">
        <v>41.868290718150817</v>
      </c>
      <c r="F12" s="38">
        <v>46.792569762143799</v>
      </c>
      <c r="G12" s="39">
        <v>290.14725467678517</v>
      </c>
      <c r="H12" s="39">
        <v>324.27250845165651</v>
      </c>
    </row>
    <row r="13" spans="2:8" ht="15">
      <c r="B13" s="546"/>
      <c r="C13" s="36" t="s">
        <v>2261</v>
      </c>
      <c r="D13" s="37" t="s">
        <v>2259</v>
      </c>
      <c r="E13" s="38">
        <v>41.868290718150817</v>
      </c>
      <c r="F13" s="38">
        <v>46.792569762143799</v>
      </c>
      <c r="G13" s="39">
        <v>290.14725467678517</v>
      </c>
      <c r="H13" s="39">
        <v>324.27250845165651</v>
      </c>
    </row>
    <row r="14" spans="2:8" ht="15">
      <c r="B14" s="546"/>
      <c r="C14" s="36" t="s">
        <v>2188</v>
      </c>
      <c r="D14" s="37" t="s">
        <v>2259</v>
      </c>
      <c r="E14" s="38">
        <v>41.868290718150817</v>
      </c>
      <c r="F14" s="38">
        <v>46.792569762143799</v>
      </c>
      <c r="G14" s="39">
        <v>290.14725467678517</v>
      </c>
      <c r="H14" s="39">
        <v>324.27250845165651</v>
      </c>
    </row>
    <row r="15" spans="2:8" ht="15">
      <c r="B15" s="546"/>
      <c r="C15" s="36" t="s">
        <v>2190</v>
      </c>
      <c r="D15" s="37" t="s">
        <v>2259</v>
      </c>
      <c r="E15" s="38">
        <v>41.868290718150817</v>
      </c>
      <c r="F15" s="38">
        <v>46.792569762143799</v>
      </c>
      <c r="G15" s="39">
        <v>290.14725467678517</v>
      </c>
      <c r="H15" s="39">
        <v>324.27250845165651</v>
      </c>
    </row>
    <row r="16" spans="2:8" ht="15">
      <c r="B16" s="546"/>
      <c r="C16" s="36" t="s">
        <v>2089</v>
      </c>
      <c r="D16" s="36" t="s">
        <v>2262</v>
      </c>
      <c r="E16" s="40">
        <v>45.401287919117493</v>
      </c>
      <c r="F16" s="40">
        <v>46.080109898365471</v>
      </c>
      <c r="G16" s="41">
        <v>314.63092527948419</v>
      </c>
      <c r="H16" s="41">
        <v>319.33516159567273</v>
      </c>
    </row>
    <row r="17" spans="2:18" ht="15">
      <c r="B17" s="546"/>
      <c r="C17" s="36" t="s">
        <v>2263</v>
      </c>
      <c r="D17" s="36" t="s">
        <v>2262</v>
      </c>
      <c r="E17" s="40">
        <v>45.401287919117493</v>
      </c>
      <c r="F17" s="40">
        <v>46.080109898365471</v>
      </c>
      <c r="G17" s="41">
        <v>314.63092527948419</v>
      </c>
      <c r="H17" s="41">
        <v>319.33516159567273</v>
      </c>
    </row>
    <row r="18" spans="2:18" ht="15">
      <c r="B18" s="546"/>
      <c r="C18" s="36" t="s">
        <v>2264</v>
      </c>
      <c r="D18" s="36" t="s">
        <v>2262</v>
      </c>
      <c r="E18" s="40">
        <v>45.401287919117493</v>
      </c>
      <c r="F18" s="40">
        <v>46.080109898365471</v>
      </c>
      <c r="G18" s="41">
        <v>314.63092527948419</v>
      </c>
      <c r="H18" s="41">
        <v>319.33516159567273</v>
      </c>
    </row>
    <row r="19" spans="2:18" ht="15">
      <c r="B19" s="546"/>
      <c r="C19" s="36" t="s">
        <v>2265</v>
      </c>
      <c r="D19" s="36" t="s">
        <v>2262</v>
      </c>
      <c r="E19" s="40">
        <v>45.401287919117493</v>
      </c>
      <c r="F19" s="40">
        <v>46.080109898365471</v>
      </c>
      <c r="G19" s="41">
        <v>314.63092527948419</v>
      </c>
      <c r="H19" s="41">
        <v>319.33516159567273</v>
      </c>
    </row>
    <row r="20" spans="2:18" ht="15">
      <c r="B20" s="546"/>
      <c r="C20" s="36" t="s">
        <v>2085</v>
      </c>
      <c r="D20" s="36" t="s">
        <v>2262</v>
      </c>
      <c r="E20" s="40">
        <v>45.401287919117493</v>
      </c>
      <c r="F20" s="40">
        <v>46.080109898365471</v>
      </c>
      <c r="G20" s="41">
        <v>314.63092527948419</v>
      </c>
      <c r="H20" s="41">
        <v>319.33516159567273</v>
      </c>
    </row>
    <row r="21" spans="2:18" ht="15">
      <c r="C21" s="36" t="s">
        <v>2091</v>
      </c>
      <c r="D21" s="36" t="s">
        <v>2266</v>
      </c>
      <c r="E21" s="40">
        <v>40.771178610484483</v>
      </c>
      <c r="F21" s="40">
        <v>36.703812569643304</v>
      </c>
      <c r="G21" s="41">
        <v>282.54426777065748</v>
      </c>
      <c r="H21" s="41">
        <v>254.35742110762808</v>
      </c>
      <c r="N21" s="2"/>
    </row>
    <row r="22" spans="2:18" ht="15">
      <c r="C22" s="36" t="s">
        <v>2267</v>
      </c>
      <c r="D22" s="36" t="s">
        <v>2268</v>
      </c>
      <c r="E22" s="40">
        <v>36.043316400754854</v>
      </c>
      <c r="F22" s="40">
        <v>37.124458874458881</v>
      </c>
      <c r="G22" s="41">
        <v>249.78018265723114</v>
      </c>
      <c r="H22" s="41">
        <v>257.27250000000004</v>
      </c>
      <c r="N22" s="2"/>
    </row>
    <row r="23" spans="2:18" ht="15">
      <c r="B23" s="546"/>
      <c r="C23" s="36" t="s">
        <v>2192</v>
      </c>
      <c r="D23" s="36" t="s">
        <v>2268</v>
      </c>
      <c r="E23" s="40">
        <v>36.043316400754854</v>
      </c>
      <c r="F23" s="40">
        <v>37.124458874458881</v>
      </c>
      <c r="G23" s="41">
        <v>249.78018265723114</v>
      </c>
      <c r="H23" s="41">
        <v>257.27250000000004</v>
      </c>
    </row>
    <row r="24" spans="2:18" ht="15">
      <c r="B24" s="546"/>
      <c r="C24" s="36" t="s">
        <v>2269</v>
      </c>
      <c r="D24" s="36" t="s">
        <v>2270</v>
      </c>
      <c r="E24" s="40">
        <v>32.76163777426688</v>
      </c>
      <c r="F24" s="40">
        <v>38.107398724031583</v>
      </c>
      <c r="G24" s="41">
        <v>227.03814977566947</v>
      </c>
      <c r="H24" s="41">
        <v>264.08427315753886</v>
      </c>
    </row>
    <row r="25" spans="2:18" ht="15">
      <c r="B25" s="546"/>
      <c r="C25" s="36" t="s">
        <v>2185</v>
      </c>
      <c r="D25" s="36" t="s">
        <v>2270</v>
      </c>
      <c r="E25" s="40">
        <v>32.76163777426688</v>
      </c>
      <c r="F25" s="40">
        <v>38.107398724031583</v>
      </c>
      <c r="G25" s="41">
        <v>227.03814977566947</v>
      </c>
      <c r="H25" s="41">
        <v>264.08427315753886</v>
      </c>
    </row>
    <row r="26" spans="2:18" ht="15">
      <c r="B26" s="546"/>
      <c r="C26" s="36" t="s">
        <v>2186</v>
      </c>
      <c r="D26" s="36" t="s">
        <v>2270</v>
      </c>
      <c r="E26" s="40">
        <v>32.76163777426688</v>
      </c>
      <c r="F26" s="40">
        <v>38.107398724031583</v>
      </c>
      <c r="G26" s="41">
        <v>227.03814977566947</v>
      </c>
      <c r="H26" s="41">
        <v>264.08427315753886</v>
      </c>
    </row>
    <row r="27" spans="2:18" ht="15">
      <c r="B27" s="5"/>
      <c r="C27" s="36" t="s">
        <v>2271</v>
      </c>
      <c r="D27" s="36" t="s">
        <v>2270</v>
      </c>
      <c r="E27" s="40">
        <v>32.76163777426688</v>
      </c>
      <c r="F27" s="40">
        <v>38.107398724031583</v>
      </c>
      <c r="G27" s="41">
        <v>227.03814977566947</v>
      </c>
      <c r="H27" s="41">
        <v>264.08427315753886</v>
      </c>
    </row>
    <row r="28" spans="2:18" ht="15">
      <c r="C28" s="36" t="s">
        <v>2272</v>
      </c>
      <c r="D28" s="36" t="s">
        <v>2273</v>
      </c>
      <c r="E28" s="40">
        <v>25.15910706041733</v>
      </c>
      <c r="F28" s="40">
        <v>14.051374642507648</v>
      </c>
      <c r="G28" s="41">
        <v>174.35261192869208</v>
      </c>
      <c r="H28" s="41">
        <v>97.376026272578002</v>
      </c>
      <c r="N28" s="2"/>
    </row>
    <row r="29" spans="2:18" ht="15">
      <c r="C29" s="36" t="s">
        <v>2274</v>
      </c>
      <c r="D29" s="36" t="s">
        <v>2275</v>
      </c>
      <c r="E29" s="40">
        <v>24.4</v>
      </c>
      <c r="F29" s="40">
        <v>27.3</v>
      </c>
      <c r="G29" s="41">
        <v>169.08</v>
      </c>
      <c r="H29" s="41">
        <v>189.21</v>
      </c>
      <c r="N29" s="2"/>
    </row>
    <row r="30" spans="2:18" ht="15">
      <c r="C30" s="36" t="s">
        <v>2276</v>
      </c>
      <c r="D30" s="36"/>
      <c r="E30" s="40" t="s">
        <v>2277</v>
      </c>
      <c r="F30" s="40">
        <v>18.889900156746513</v>
      </c>
      <c r="G30" s="40" t="s">
        <v>2277</v>
      </c>
      <c r="H30" s="41">
        <v>130.90700808625334</v>
      </c>
      <c r="J30" s="6"/>
      <c r="K30" s="7"/>
    </row>
    <row r="31" spans="2:18" ht="15">
      <c r="C31" s="36" t="s">
        <v>2278</v>
      </c>
      <c r="D31" s="36"/>
      <c r="E31" s="40" t="s">
        <v>2277</v>
      </c>
      <c r="F31" s="40">
        <v>21.425070885987324</v>
      </c>
      <c r="G31" s="40" t="s">
        <v>2277</v>
      </c>
      <c r="H31" s="41">
        <v>148.47574123989216</v>
      </c>
      <c r="J31" s="6"/>
      <c r="K31" s="7"/>
      <c r="N31" s="2"/>
      <c r="R31" s="8"/>
    </row>
    <row r="32" spans="2:18" ht="15">
      <c r="C32" s="36" t="s">
        <v>2279</v>
      </c>
      <c r="D32" s="36" t="s">
        <v>2280</v>
      </c>
      <c r="E32" s="40">
        <v>25.548340548340551</v>
      </c>
      <c r="F32" s="40" t="s">
        <v>2277</v>
      </c>
      <c r="G32" s="41">
        <v>177.05</v>
      </c>
      <c r="H32" s="40" t="s">
        <v>2277</v>
      </c>
      <c r="K32" s="9"/>
      <c r="N32" s="2"/>
    </row>
    <row r="33" spans="3:14" ht="15">
      <c r="C33" s="1"/>
      <c r="D33" s="1"/>
      <c r="E33" s="2"/>
      <c r="F33" s="2"/>
      <c r="G33" s="2"/>
      <c r="H33" s="3"/>
      <c r="N33" s="2"/>
    </row>
    <row r="34" spans="3:14" ht="15">
      <c r="C34" s="1"/>
      <c r="D34" s="1"/>
      <c r="E34" s="2"/>
      <c r="F34" s="2"/>
      <c r="G34" s="2"/>
      <c r="H34" s="3"/>
      <c r="N34" s="2"/>
    </row>
  </sheetData>
  <mergeCells count="4">
    <mergeCell ref="B3:B4"/>
    <mergeCell ref="B7:B11"/>
    <mergeCell ref="B13:B20"/>
    <mergeCell ref="B23:B26"/>
  </mergeCells>
  <phoneticPr fontId="27" type="noConversion"/>
  <pageMargins left="0.7" right="0.7" top="0.75" bottom="0.75" header="0.3" footer="0.3"/>
  <pageSetup paperSize="9" orientation="portrait" verticalDpi="0" r:id="rId1"/>
</worksheet>
</file>

<file path=customUI/customUI14.xml><?xml version="1.0" encoding="utf-8"?>
<customUI xmlns="http://schemas.microsoft.com/office/2009/07/customui">
  <ribbon>
    <tabs>
      <tab id="customTab" label="PET 2.0" insertAfterMso="TabHome">
        <group id="customGroup1" label="CostBreakDown">
          <button id="customButton1" label="SmartCopy" size="large" onAction="SmartCopy" imageMso="Copy"/>
          <button id="customButton2" label="DeleteRows" size="large" onAction="DeleteRows" imageMso="Delete"/>
          <button id="customButton3" label="InsertEmptyRow" size="large" onAction="InsertEmptyRow" imageMso="Copy"/>
        </group>
        <group id="customGroup3" label="CAPEXandOTE-OneTimeExpense">
          <button id="customButton6" label="GenerateCAPEX" size="large" onAction="Generate_CAPEX_Click" imageMso="Copy"/>
          <button id="customButton5" label="GenerateOTE" size="large" onAction="Generate_OTE_Click" imageMso="Copy"/>
        </group>
        <group id="customGroup2" label="BRDandEPICSummary">
          <button id="customButton4" label="UpdateBRDAndEPICSummary" size="large" onAction="UpdateBRDAndEPICSummary" imageMso="Copy"/>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B5NFKXAXWNRJFJE2W5D266DIQMIC5J6A:ms-officescript%3A%2F%2Fonedrive_business_sharinglink%2Fu!aHR0cHM6Ly90d2RjLW15LnNoYXJlcG9pbnQuY29tLzp1Oi9nL3BlcnNvbmFsL3RpbV9qaW5fZGlzbmV5X2NvbS9FUmV6WXBLa21yZEhyM2hvZ3hBdXA4QUJpb0VuVUhTNFlUOEFGT1ViZ282MkZR"/>
  <scriptId xmlns="" id="ms-officescript%3A%2F%2Fonedrive_business_itemlink%2F01B5NFKXCHX6IF3BRY7ZBZRJVNIQMMBTSY:ms-officescript%3A%2F%2Fonedrive_business_sharinglink%2Fu!aHR0cHM6Ly90d2RjLW15LnNoYXJlcG9pbnQuY29tLzp1Oi9nL3BlcnNvbmFsL3RpbV9qaW5fZGlzbmV5X2NvbS9FVWVfa0YyR09QNURtS2F0UkJqQXpsZ0JicUg1VFJEdGplYlY0YlVKLTFSUGtn"/>
</scriptIds>
</file>

<file path=customXml/itemProps1.xml><?xml version="1.0" encoding="utf-8"?>
<ds:datastoreItem xmlns:ds="http://schemas.openxmlformats.org/officeDocument/2006/customXml" ds:itemID="{12F5F2A2-81DE-49FB-9D39-FEC145496EEB}">
  <ds:schemaRefs>
    <ds:schemaRef ds:uri="http://schemas.datacontract.org/2004/07/Longview.Office.Excel.Model"/>
    <ds:schemaRef ds:uri="http://schemas.microsoft.com/2003/10/Serialization/Arrays"/>
    <ds:schemaRef ds:uri="http://schemas.datacontract.org/2004/07/Longview.Office.AddIn.Query"/>
    <ds:schemaRef ds:uri="http://schemas.datacontract.org/2004/07/Longview.Office.AddIn.Models"/>
  </ds:schemaRefs>
</ds:datastoreItem>
</file>

<file path=customXml/itemProps2.xml><?xml version="1.0" encoding="utf-8"?>
<ds:datastoreItem xmlns:ds="http://schemas.openxmlformats.org/officeDocument/2006/customXml" ds:itemID="{24E35BBC-FB77-7E4A-BA6F-1162FFD70711}">
  <ds:schemaRefs>
    <ds:schemaRef ds:uri="http://schemas.microsoft.com/office/extensibility/maker/v1.0"/>
    <ds:schemaRef ds:uri=""/>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7</vt:i4>
      </vt:variant>
      <vt:variant>
        <vt:lpstr>命名范围</vt:lpstr>
      </vt:variant>
      <vt:variant>
        <vt:i4>2</vt:i4>
      </vt:variant>
    </vt:vector>
  </HeadingPairs>
  <TitlesOfParts>
    <vt:vector size="9" baseType="lpstr">
      <vt:lpstr>DE_Cost</vt:lpstr>
      <vt:lpstr>Cost Breakdown</vt:lpstr>
      <vt:lpstr>BRD &amp; EPIC (2)</vt:lpstr>
      <vt:lpstr>1_Standard Part</vt:lpstr>
      <vt:lpstr>2_Customize Part</vt:lpstr>
      <vt:lpstr>BRD &amp; EPIC</vt:lpstr>
      <vt:lpstr>Rate</vt:lpstr>
      <vt:lpstr>'BRD &amp; EPIC'!Print_Area</vt:lpstr>
      <vt:lpstr>'BRD &amp; EPIC (2)'!Print_Area</vt:lpstr>
    </vt:vector>
  </TitlesOfParts>
  <Manager/>
  <Company>Walt Disney International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Sharon</dc:creator>
  <cp:keywords/>
  <dc:description/>
  <cp:lastModifiedBy>Zhang, Brian -ND</cp:lastModifiedBy>
  <cp:revision/>
  <dcterms:created xsi:type="dcterms:W3CDTF">2019-02-27T03:44:01Z</dcterms:created>
  <dcterms:modified xsi:type="dcterms:W3CDTF">2025-11-13T23:25:29Z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4XLRetrievePerWS">
    <vt:lpwstr>Y</vt:lpwstr>
  </property>
  <property fmtid="{D5CDD505-2E9C-101B-9397-08002B2CF9AE}" pid="3" name="K4XLScatterRefresh">
    <vt:lpwstr>N</vt:lpwstr>
  </property>
  <property fmtid="{D5CDD505-2E9C-101B-9397-08002B2CF9AE}" pid="4" name="K4XLVersion">
    <vt:lpwstr>10.2.3797.12</vt:lpwstr>
  </property>
  <property fmtid="{D5CDD505-2E9C-101B-9397-08002B2CF9AE}" pid="5" name="K4XL KID">
    <vt:lpwstr>lvshdp</vt:lpwstr>
  </property>
  <property fmtid="{D5CDD505-2E9C-101B-9397-08002B2CF9AE}" pid="6" name="K4XL DBKID">
    <vt:lpwstr>lvshdp</vt:lpwstr>
  </property>
  <property fmtid="{D5CDD505-2E9C-101B-9397-08002B2CF9AE}" pid="7" name="Longview.Workbook">
    <vt:lpwstr>{12F5F2A2-81DE-49FB-9D39-FEC145496EEB}</vt:lpwstr>
  </property>
  <property fmtid="{D5CDD505-2E9C-101B-9397-08002B2CF9AE}" pid="8" name="MSIP_Label_c62e0584-010f-4004-8a6a-d5c118c8b4bd_Enabled">
    <vt:lpwstr>true</vt:lpwstr>
  </property>
  <property fmtid="{D5CDD505-2E9C-101B-9397-08002B2CF9AE}" pid="9" name="MSIP_Label_c62e0584-010f-4004-8a6a-d5c118c8b4bd_SetDate">
    <vt:lpwstr>2025-01-07T03:24:42Z</vt:lpwstr>
  </property>
  <property fmtid="{D5CDD505-2E9C-101B-9397-08002B2CF9AE}" pid="10" name="MSIP_Label_c62e0584-010f-4004-8a6a-d5c118c8b4bd_Method">
    <vt:lpwstr>Privileged</vt:lpwstr>
  </property>
  <property fmtid="{D5CDD505-2E9C-101B-9397-08002B2CF9AE}" pid="11" name="MSIP_Label_c62e0584-010f-4004-8a6a-d5c118c8b4bd_Name">
    <vt:lpwstr>Internal</vt:lpwstr>
  </property>
  <property fmtid="{D5CDD505-2E9C-101B-9397-08002B2CF9AE}" pid="12" name="MSIP_Label_c62e0584-010f-4004-8a6a-d5c118c8b4bd_SiteId">
    <vt:lpwstr>56b731a8-a2ac-4c32-bf6b-616810e913c6</vt:lpwstr>
  </property>
  <property fmtid="{D5CDD505-2E9C-101B-9397-08002B2CF9AE}" pid="13" name="MSIP_Label_c62e0584-010f-4004-8a6a-d5c118c8b4bd_ActionId">
    <vt:lpwstr>fd1044b0-6526-4826-93b4-a444eeed34f9</vt:lpwstr>
  </property>
  <property fmtid="{D5CDD505-2E9C-101B-9397-08002B2CF9AE}" pid="14" name="MSIP_Label_c62e0584-010f-4004-8a6a-d5c118c8b4bd_ContentBits">
    <vt:lpwstr>0</vt:lpwstr>
  </property>
</Properties>
</file>